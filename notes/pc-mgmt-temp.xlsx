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G:\내 드라이브\PC 백업\TASKS\정보부 인수인계\0.중요대장\"/>
    </mc:Choice>
  </mc:AlternateContent>
  <x:bookViews>
    <x:workbookView xWindow="0" yWindow="0" windowWidth="22788" windowHeight="8112" tabRatio="847"/>
  </x:bookViews>
  <x:sheets>
    <x:sheet name="PC" sheetId="1" r:id="rId4"/>
    <x:sheet name="메일머지용" sheetId="2" r:id="rId5"/>
    <x:sheet name="교직원용 IP" sheetId="3" r:id="rId6"/>
    <x:sheet name="학생용 IP" sheetId="4" r:id="rId7"/>
    <x:sheet name="정보화기기 명부" sheetId="5" r:id="rId8"/>
    <x:sheet name="인창고 관련 사이트" sheetId="6" r:id="rId9"/>
    <x:sheet name="프린터 IP" sheetId="7" r:id="rId10"/>
    <x:sheet name="AP현황" sheetId="8" r:id="rId11"/>
    <x:sheet name="전자칠판" sheetId="9" r:id="rId12"/>
    <x:sheet name="교실충전함" sheetId="10" r:id="rId13"/>
    <x:sheet name="Sheet2" sheetId="11" r:id="rId14"/>
    <x:sheet name="Sheet1" sheetId="12" r:id="rId15"/>
  </x:sheets>
  <x:definedNames>
    <x:definedName name="_xlnm._FilterDatabase" localSheetId="0" hidden="1">PC!$A$1:$Z$1</x:definedName>
    <x:definedName name="_xlnm._FilterDatabase" localSheetId="2" hidden="1">'교직원용 IP'!$A$1:$N$238</x:definedName>
    <x:definedName name="_xlnm._FilterDatabase" localSheetId="4" hidden="1">'정보화기기 명부'!$A$1:$B$133</x:definedName>
    <x:definedName name="_xlnm._FilterDatabase" localSheetId="6" hidden="1">'프린터 IP'!$A$2:$I$62</x:definedName>
    <x:definedName name="_xlnm.Print_Area" localSheetId="2">'교직원용 IP'!$A$1:$G$174</x:definedName>
    <x:definedName name="_xlnm.Print_Area" localSheetId="3">'학생용 IP'!$A$206:$I$218</x:definedName>
    <x:definedName name="_xlnm.Print_Area" localSheetId="6">'프린터 IP'!$A$2:$E$55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<x:sst xmlns:r="http://schemas.openxmlformats.org/officeDocument/2006/relationships" xmlns:c="http://schemas.openxmlformats.org/drawingml/2006/chart" xmlns:x="http://schemas.openxmlformats.org/spreadsheetml/2006/main" count="19366" uniqueCount="3369">
  <x:si>
    <x:t>2010.02.22</x:t>
  </x:si>
  <x:si>
    <x:t>2,064,500</x:t>
  </x:si>
  <x:si>
    <x:t>2011.09.29</x:t>
  </x:si>
  <x:si>
    <x:t>19990526-0119</x:t>
  </x:si>
  <x:si>
    <x:t>19990526-0122</x:t>
  </x:si>
  <x:si>
    <x:t>19990526-0114</x:t>
  </x:si>
  <x:si>
    <x:t>2,055,000</x:t>
  </x:si>
  <x:si>
    <x:t>2014.06.02</x:t>
  </x:si>
  <x:si>
    <x:t>통합교육지원실1</x:t>
  </x:si>
  <x:si>
    <x:t>2014.01.20</x:t>
  </x:si>
  <x:si>
    <x:t>조연정(임운혁)</x:t>
  </x:si>
  <x:si>
    <x:t>2012.08.23</x:t>
  </x:si>
  <x:si>
    <x:t>2010.11.11</x:t>
  </x:si>
  <x:si>
    <x:t>White spac</x:t>
  </x:si>
  <x:si>
    <x:t>19990526-0121</x:t>
  </x:si>
  <x:si>
    <x:t>19990526-0111</x:t>
  </x:si>
  <x:si>
    <x:t>통합교육지원실3</x:t>
  </x:si>
  <x:si>
    <x:t>2,150,500</x:t>
  </x:si>
  <x:si>
    <x:t>20200901-0850</x:t>
  </x:si>
  <x:si>
    <x:t>20200901-0851</x:t>
  </x:si>
  <x:si>
    <x:t>10.51.90.163</x:t>
  </x:si>
  <x:si>
    <x:t>20220829-0907</x:t>
  </x:si>
  <x:si>
    <x:t>20220829-0908</x:t>
  </x:si>
  <x:si>
    <x:t>10.51.90.119</x:t>
  </x:si>
  <x:si>
    <x:t>10.51.90.165</x:t>
  </x:si>
  <x:si>
    <x:t>10.51.90.123</x:t>
  </x:si>
  <x:si>
    <x:t>10.51.90.142</x:t>
  </x:si>
  <x:si>
    <x:t>20210823-0892</x:t>
  </x:si>
  <x:si>
    <x:t>10.51.90.126</x:t>
  </x:si>
  <x:si>
    <x:t>10.51.91.161</x:t>
  </x:si>
  <x:si>
    <x:t>20220829-0910</x:t>
  </x:si>
  <x:si>
    <x:t>10.51.90.101</x:t>
  </x:si>
  <x:si>
    <x:t>10.51.90.124</x:t>
  </x:si>
  <x:si>
    <x:t>10.51.90.109</x:t>
  </x:si>
  <x:si>
    <x:t>10.51.90.121</x:t>
  </x:si>
  <x:si>
    <x:t>20220905-0915</x:t>
  </x:si>
  <x:si>
    <x:t>20220829-0911</x:t>
  </x:si>
  <x:si>
    <x:t>10.51.90.102</x:t>
  </x:si>
  <x:si>
    <x:t>20220829-0913</x:t>
  </x:si>
  <x:si>
    <x:t>10.51.90.164</x:t>
  </x:si>
  <x:si>
    <x:t>10.51.90.108</x:t>
  </x:si>
  <x:si>
    <x:t>10.51.90.136</x:t>
  </x:si>
  <x:si>
    <x:t>20220829-0912</x:t>
  </x:si>
  <x:si>
    <x:t>20220829-0909</x:t>
  </x:si>
  <x:si>
    <x:t>20220829-0914</x:t>
  </x:si>
  <x:si>
    <x:t>10.51.90.152</x:t>
  </x:si>
  <x:si>
    <x:t>20021001-0168</x:t>
  </x:si>
  <x:si>
    <x:t>10.51.90.144</x:t>
  </x:si>
  <x:si>
    <x:t>10.51.90.114</x:t>
  </x:si>
  <x:si>
    <x:t>10.51.90.112</x:t>
  </x:si>
  <x:si>
    <x:t>20030529-0191</x:t>
  </x:si>
  <x:si>
    <x:t>20210823-0893</x:t>
  </x:si>
  <x:si>
    <x:t>20220308-0903</x:t>
  </x:si>
  <x:si>
    <x:t>20210823-0891</x:t>
  </x:si>
  <x:si>
    <x:t>20210823-0894</x:t>
  </x:si>
  <x:si>
    <x:t>10.51.90.133</x:t>
  </x:si>
  <x:si>
    <x:t>20220829-0905</x:t>
  </x:si>
  <x:si>
    <x:t>20200901-0852</x:t>
  </x:si>
  <x:si>
    <x:t>10.51.90.198</x:t>
  </x:si>
  <x:si>
    <x:t>10.51.90.180</x:t>
  </x:si>
  <x:si>
    <x:t>10.51.90.132</x:t>
  </x:si>
  <x:si>
    <x:t>20200717-0817</x:t>
  </x:si>
  <x:si>
    <x:t>20200901-0848</x:t>
  </x:si>
  <x:si>
    <x:t>19990526-0124</x:t>
  </x:si>
  <x:si>
    <x:t>19990526-0113</x:t>
  </x:si>
  <x:si>
    <x:t>19990526-0077</x:t>
  </x:si>
  <x:si>
    <x:t>19990526-0101</x:t>
  </x:si>
  <x:si>
    <x:t>19990526-0125</x:t>
  </x:si>
  <x:si>
    <x:t>19990526-0123</x:t>
  </x:si>
  <x:si>
    <x:t>19990526-0115</x:t>
  </x:si>
  <x:si>
    <x:t>10.51.91.164</x:t>
  </x:si>
  <x:si>
    <x:t>20250708-0808</x:t>
  </x:si>
  <x:si>
    <x:t>10.51.90.117</x:t>
  </x:si>
  <x:si>
    <x:t>20020320-0202</x:t>
  </x:si>
  <x:si>
    <x:t>10.51.90.113</x:t>
  </x:si>
  <x:si>
    <x:t>20250708-0805</x:t>
  </x:si>
  <x:si>
    <x:t>20020420-0189</x:t>
  </x:si>
  <x:si>
    <x:t>20010101-0186</x:t>
  </x:si>
  <x:si>
    <x:t>10.51.90.146</x:t>
  </x:si>
  <x:si>
    <x:t>10.51.90.127</x:t>
  </x:si>
  <x:si>
    <x:t>20001006-0195</x:t>
  </x:si>
  <x:si>
    <x:t>10.51.90.199</x:t>
  </x:si>
  <x:si>
    <x:t>20001006-0187</x:t>
  </x:si>
  <x:si>
    <x:t>20020402-0105</x:t>
  </x:si>
  <x:si>
    <x:t>20010101-0226</x:t>
  </x:si>
  <x:si>
    <x:t>20010101-0106</x:t>
  </x:si>
  <x:si>
    <x:t>20001006-0099</x:t>
  </x:si>
  <x:si>
    <x:t>20250708-0853</x:t>
  </x:si>
  <x:si>
    <x:t>10.51.90.118</x:t>
  </x:si>
  <x:si>
    <x:t>20010101-0016</x:t>
  </x:si>
  <x:si>
    <x:t>20250708-0803</x:t>
  </x:si>
  <x:si>
    <x:t>20020420-0188</x:t>
  </x:si>
  <x:si>
    <x:t>20020402-0104</x:t>
  </x:si>
  <x:si>
    <x:t>20001006-0196</x:t>
  </x:si>
  <x:si>
    <x:t>20021001-0153</x:t>
  </x:si>
  <x:si>
    <x:t>20021001-0152</x:t>
  </x:si>
  <x:si>
    <x:t>20021001-0157</x:t>
  </x:si>
  <x:si>
    <x:t>10.51.90.115</x:t>
  </x:si>
  <x:si>
    <x:t>20021001-0159</x:t>
  </x:si>
  <x:si>
    <x:t>20021001-0149</x:t>
  </x:si>
  <x:si>
    <x:t>20021001-0154</x:t>
  </x:si>
  <x:si>
    <x:t>20021001-0163</x:t>
  </x:si>
  <x:si>
    <x:t>20021001-0162</x:t>
  </x:si>
  <x:si>
    <x:t>20021001-0164</x:t>
  </x:si>
  <x:si>
    <x:t>20021001-0158</x:t>
  </x:si>
  <x:si>
    <x:t>20021001-0156</x:t>
  </x:si>
  <x:si>
    <x:t>한국후지제록스, CN/DocuPrint 3055K, A3/흑백, 35ppm, 급지장치 550매 Tray 기본형</x:t>
  </x:si>
  <x:si>
    <x:t>한국후지제록스, CN/DCII 3005, 복사기능기본+네트웍프린터KIT+RADF/자동원고이송장치추가장착, 흑백</x:t>
  </x:si>
  <x:si>
    <x:t>20180820-0785</x:t>
  </x:si>
  <x:si>
    <x:t>20050715-0331</x:t>
  </x:si>
  <x:si>
    <x:t>10.51.91.156</x:t>
  </x:si>
  <x:si>
    <x:t>20050715-0333</x:t>
  </x:si>
  <x:si>
    <x:t>20050715-0330</x:t>
  </x:si>
  <x:si>
    <x:t>20050715-0323</x:t>
  </x:si>
  <x:si>
    <x:t>20050715-0329</x:t>
  </x:si>
  <x:si>
    <x:t>20050715-0322</x:t>
  </x:si>
  <x:si>
    <x:t>20050715-0321</x:t>
  </x:si>
  <x:si>
    <x:t>20050715-0327</x:t>
  </x:si>
  <x:si>
    <x:t>20050715-0324</x:t>
  </x:si>
  <x:si>
    <x:t>20180820-0782</x:t>
  </x:si>
  <x:si>
    <x:t>10.51.90.130</x:t>
  </x:si>
  <x:si>
    <x:t>20050715-0332</x:t>
  </x:si>
  <x:si>
    <x:t>20050715-0326</x:t>
  </x:si>
  <x:si>
    <x:t>20190109-0787</x:t>
  </x:si>
  <x:si>
    <x:t>20050715-0328</x:t>
  </x:si>
  <x:si>
    <x:t>20180820-0780</x:t>
  </x:si>
  <x:si>
    <x:t>10.51.90.110</x:t>
  </x:si>
  <x:si>
    <x:t>20050715-0290</x:t>
  </x:si>
  <x:si>
    <x:t>20050715-0301</x:t>
  </x:si>
  <x:si>
    <x:t>20190927-0789</x:t>
  </x:si>
  <x:si>
    <x:t>20050715-0302</x:t>
  </x:si>
  <x:si>
    <x:t>20050715-0309</x:t>
  </x:si>
  <x:si>
    <x:t>20050715-0291</x:t>
  </x:si>
  <x:si>
    <x:t>20050715-0308</x:t>
  </x:si>
  <x:si>
    <x:t>20050715-0312</x:t>
  </x:si>
  <x:si>
    <x:t>20050715-0300</x:t>
  </x:si>
  <x:si>
    <x:t>20050715-0299</x:t>
  </x:si>
  <x:si>
    <x:t>20050715-0304</x:t>
  </x:si>
  <x:si>
    <x:t>20050715-0293</x:t>
  </x:si>
  <x:si>
    <x:t>20050715-0292</x:t>
  </x:si>
  <x:si>
    <x:t>20050715-0297</x:t>
  </x:si>
  <x:si>
    <x:t>20050715-0295</x:t>
  </x:si>
  <x:si>
    <x:t>20050715-0325</x:t>
  </x:si>
  <x:si>
    <x:t>20050715-0307</x:t>
  </x:si>
  <x:si>
    <x:t>20050715-0313</x:t>
  </x:si>
  <x:si>
    <x:t>20050715-0316</x:t>
  </x:si>
  <x:si>
    <x:t>20050717-0298</x:t>
  </x:si>
  <x:si>
    <x:t>20050715-0289</x:t>
  </x:si>
  <x:si>
    <x:t>20050715-0317</x:t>
  </x:si>
  <x:si>
    <x:t>20050715-0310</x:t>
  </x:si>
  <x:si>
    <x:t>20190115-0788</x:t>
  </x:si>
  <x:si>
    <x:t>20050715-0305</x:t>
  </x:si>
  <x:si>
    <x:t>20050715-0315</x:t>
  </x:si>
  <x:si>
    <x:t>20050715-0319</x:t>
  </x:si>
  <x:si>
    <x:t>20050715-0288</x:t>
  </x:si>
  <x:si>
    <x:t>20050715-0320</x:t>
  </x:si>
  <x:si>
    <x:t>10.51.91.158</x:t>
  </x:si>
  <x:si>
    <x:t>20050413-0285</x:t>
  </x:si>
  <x:si>
    <x:t>20190927-0794</x:t>
  </x:si>
  <x:si>
    <x:t>20050715-0311</x:t>
  </x:si>
  <x:si>
    <x:t>20050225-0238</x:t>
  </x:si>
  <x:si>
    <x:t>20050413-0284</x:t>
  </x:si>
  <x:si>
    <x:t>20050715-0296</x:t>
  </x:si>
  <x:si>
    <x:t>20050715-0294</x:t>
  </x:si>
  <x:si>
    <x:t>20050715-0303</x:t>
  </x:si>
  <x:si>
    <x:t>20190927-0801</x:t>
  </x:si>
  <x:si>
    <x:t>20050715-0259</x:t>
  </x:si>
  <x:si>
    <x:t>20050225-0262</x:t>
  </x:si>
  <x:si>
    <x:t>20190927-0800</x:t>
  </x:si>
  <x:si>
    <x:t>20050715-0260</x:t>
  </x:si>
  <x:si>
    <x:t>20050715-0287</x:t>
  </x:si>
  <x:si>
    <x:t>20050715-0306</x:t>
  </x:si>
  <x:si>
    <x:t>10.51.91.157</x:t>
  </x:si>
  <x:si>
    <x:t>20190927-0797</x:t>
  </x:si>
  <x:si>
    <x:t>20050325-0252</x:t>
  </x:si>
  <x:si>
    <x:t>20190927-0798</x:t>
  </x:si>
  <x:si>
    <x:t>20050228-0227</x:t>
  </x:si>
  <x:si>
    <x:t>20190927-0792</x:t>
  </x:si>
  <x:si>
    <x:t>20050715-0286</x:t>
  </x:si>
  <x:si>
    <x:t>20050225-0236</x:t>
  </x:si>
  <x:si>
    <x:t>20050225-0235</x:t>
  </x:si>
  <x:si>
    <x:t>20050225-0237</x:t>
  </x:si>
  <x:si>
    <x:t>20190927-0795</x:t>
  </x:si>
  <x:si>
    <x:t>20190927-0799</x:t>
  </x:si>
  <x:si>
    <x:t>20041230-0207</x:t>
  </x:si>
  <x:si>
    <x:t>20041230-0221</x:t>
  </x:si>
  <x:si>
    <x:t>20041230-0209</x:t>
  </x:si>
  <x:si>
    <x:t>10.51.90.100</x:t>
  </x:si>
  <x:si>
    <x:t>20050224-0244</x:t>
  </x:si>
  <x:si>
    <x:t>20190927-0793</x:t>
  </x:si>
  <x:si>
    <x:t>20041230-0211</x:t>
  </x:si>
  <x:si>
    <x:t>20190927-0790</x:t>
  </x:si>
  <x:si>
    <x:t>20041230-0210</x:t>
  </x:si>
  <x:si>
    <x:t>20050715-0254</x:t>
  </x:si>
  <x:si>
    <x:t>20050413-0253</x:t>
  </x:si>
  <x:si>
    <x:t>20190927-0802</x:t>
  </x:si>
  <x:si>
    <x:t>20050224-0242</x:t>
  </x:si>
  <x:si>
    <x:t>20050225-0231</x:t>
  </x:si>
  <x:si>
    <x:t>20190927-0791</x:t>
  </x:si>
  <x:si>
    <x:t>20190927-0796</x:t>
  </x:si>
  <x:si>
    <x:t>20041230-0212</x:t>
  </x:si>
  <x:si>
    <x:t>20050503-0249</x:t>
  </x:si>
  <x:si>
    <x:t>20041230-0206</x:t>
  </x:si>
  <x:si>
    <x:t>20041230-0214</x:t>
  </x:si>
  <x:si>
    <x:t>10.51.91.159</x:t>
  </x:si>
  <x:si>
    <x:t>20040421-0176</x:t>
  </x:si>
  <x:si>
    <x:t>20031230-0184</x:t>
  </x:si>
  <x:si>
    <x:t>20041230-0208</x:t>
  </x:si>
  <x:si>
    <x:t>20040628-0007</x:t>
  </x:si>
  <x:si>
    <x:t>20050224-0243</x:t>
  </x:si>
  <x:si>
    <x:t>20041230-0223</x:t>
  </x:si>
  <x:si>
    <x:t>20040331-0225</x:t>
  </x:si>
  <x:si>
    <x:t>20031230-0182</x:t>
  </x:si>
  <x:si>
    <x:t>20040421-0205</x:t>
  </x:si>
  <x:si>
    <x:t>20050225-0234</x:t>
  </x:si>
  <x:si>
    <x:t>20041230-0220</x:t>
  </x:si>
  <x:si>
    <x:t>20041230-0222</x:t>
  </x:si>
  <x:si>
    <x:t>20041230-0213</x:t>
  </x:si>
  <x:si>
    <x:t>20041230-0217</x:t>
  </x:si>
  <x:si>
    <x:t>20050225-0230</x:t>
  </x:si>
  <x:si>
    <x:t>20041230-0215</x:t>
  </x:si>
  <x:si>
    <x:t>20041230-0219</x:t>
  </x:si>
  <x:si>
    <x:t>20050225-0228</x:t>
  </x:si>
  <x:si>
    <x:t>20041230-0216</x:t>
  </x:si>
  <x:si>
    <x:t>20050225-0232</x:t>
  </x:si>
  <x:si>
    <x:t>20050225-0233</x:t>
  </x:si>
  <x:si>
    <x:t>20041230-0218</x:t>
  </x:si>
  <x:si>
    <x:t>20040421-0181</x:t>
  </x:si>
  <x:si>
    <x:t>20050225-0229</x:t>
  </x:si>
  <x:si>
    <x:t>20031230-0143</x:t>
  </x:si>
  <x:si>
    <x:t>20040326-0241</x:t>
  </x:si>
  <x:si>
    <x:t>20040421-0177</x:t>
  </x:si>
  <x:si>
    <x:t>20031230-0185</x:t>
  </x:si>
  <x:si>
    <x:t>20040916-0204</x:t>
  </x:si>
  <x:si>
    <x:t>20040421-0174</x:t>
  </x:si>
  <x:si>
    <x:t>20031230-0146</x:t>
  </x:si>
  <x:si>
    <x:t>20040421-0180</x:t>
  </x:si>
  <x:si>
    <x:t>20031230-0183</x:t>
  </x:si>
  <x:si>
    <x:t>20031230-0145</x:t>
  </x:si>
  <x:si>
    <x:t>20040421-0178</x:t>
  </x:si>
  <x:si>
    <x:t>20040421-0175</x:t>
  </x:si>
  <x:si>
    <x:t>20040628-0006</x:t>
  </x:si>
  <x:si>
    <x:t>20040226-0004</x:t>
  </x:si>
  <x:si>
    <x:t>20040421-0179</x:t>
  </x:si>
  <x:si>
    <x:t>20031230-0144</x:t>
  </x:si>
  <x:si>
    <x:t>20200901-0849</x:t>
  </x:si>
  <x:si>
    <x:t>20220829-0906</x:t>
  </x:si>
  <x:si>
    <x:t>10.51.90.181</x:t>
  </x:si>
  <x:si>
    <x:t>10.54.37.101</x:t>
  </x:si>
  <x:si>
    <x:t>10.51.90.131</x:t>
  </x:si>
  <x:si>
    <x:t>20210823-0887</x:t>
  </x:si>
  <x:si>
    <x:t>20210823-0886</x:t>
  </x:si>
  <x:si>
    <x:t>10.51.91.160</x:t>
  </x:si>
  <x:si>
    <x:t>20220308-0904</x:t>
  </x:si>
  <x:si>
    <x:t>20210823-0889</x:t>
  </x:si>
  <x:si>
    <x:t>20210823-0890</x:t>
  </x:si>
  <x:si>
    <x:t>20210823-0888</x:t>
  </x:si>
  <x:si>
    <x:t>10.51.90.107</x:t>
  </x:si>
  <x:si>
    <x:t>20050730-0255</x:t>
  </x:si>
  <x:si>
    <x:t>20060502-0341</x:t>
  </x:si>
  <x:si>
    <x:t>20180102-0762</x:t>
  </x:si>
  <x:si>
    <x:t>20180102-0761</x:t>
  </x:si>
  <x:si>
    <x:t>20060502-0339</x:t>
  </x:si>
  <x:si>
    <x:t>20060502-0342</x:t>
  </x:si>
  <x:si>
    <x:t>20180918-0786</x:t>
  </x:si>
  <x:si>
    <x:t>20060502-0345</x:t>
  </x:si>
  <x:si>
    <x:t>20050715-0318</x:t>
  </x:si>
  <x:si>
    <x:t>20050715-0314</x:t>
  </x:si>
  <x:si>
    <x:t>20180820-0783</x:t>
  </x:si>
  <x:si>
    <x:t>20180820-0784</x:t>
  </x:si>
  <x:si>
    <x:t>20180820-0781</x:t>
  </x:si>
  <x:si>
    <x:t>19990526-0118</x:t>
  </x:si>
  <x:si>
    <x:t>19990526-0110</x:t>
  </x:si>
  <x:si>
    <x:t>19990526-0201</x:t>
  </x:si>
  <x:si>
    <x:t>19990101-0138</x:t>
  </x:si>
  <x:si>
    <x:t>19990526-0126</x:t>
  </x:si>
  <x:si>
    <x:t>19990526-0009</x:t>
  </x:si>
  <x:si>
    <x:t>19990526-0033</x:t>
  </x:si>
  <x:si>
    <x:t>20000525-0098</x:t>
  </x:si>
  <x:si>
    <x:t>20001006-0036</x:t>
  </x:si>
  <x:si>
    <x:t>19990526-0120</x:t>
  </x:si>
  <x:si>
    <x:t>19990526-0112</x:t>
  </x:si>
  <x:si>
    <x:t>19990526-0117</x:t>
  </x:si>
  <x:si>
    <x:t>20001006-0034</x:t>
  </x:si>
  <x:si>
    <x:t>19990101-0134</x:t>
  </x:si>
  <x:si>
    <x:t>20000525-0103</x:t>
  </x:si>
  <x:si>
    <x:t>10.51.91.167</x:t>
  </x:si>
  <x:si>
    <x:t>19990101-0107</x:t>
  </x:si>
  <x:si>
    <x:t>19990101-0133</x:t>
  </x:si>
  <x:si>
    <x:t>19990526-0116</x:t>
  </x:si>
  <x:si>
    <x:t>19990526-0109</x:t>
  </x:si>
  <x:si>
    <x:t>10.51.91.166</x:t>
  </x:si>
  <x:si>
    <x:t>20001006-0008</x:t>
  </x:si>
  <x:si>
    <x:t>19990101-0131</x:t>
  </x:si>
  <x:si>
    <x:t>19990101-0061</x:t>
  </x:si>
  <x:si>
    <x:t>20001006-0074</x:t>
  </x:si>
  <x:si>
    <x:t>19990101-0029</x:t>
  </x:si>
  <x:si>
    <x:t>10.51.91.165</x:t>
  </x:si>
  <x:si>
    <x:t>20001006-0011</x:t>
  </x:si>
  <x:si>
    <x:t>19990101-0108</x:t>
  </x:si>
  <x:si>
    <x:t>19990101-0132</x:t>
  </x:si>
  <x:si>
    <x:t>20000628-0193</x:t>
  </x:si>
  <x:si>
    <x:t>20001006-0035</x:t>
  </x:si>
  <x:si>
    <x:t>10.51.91.173</x:t>
  </x:si>
  <x:si>
    <x:t>19990526-0031</x:t>
  </x:si>
  <x:si>
    <x:t>19990101-0129</x:t>
  </x:si>
  <x:si>
    <x:t>10.51.91.180</x:t>
  </x:si>
  <x:si>
    <x:t>10.51.91.179</x:t>
  </x:si>
  <x:si>
    <x:t>10.51.91.175</x:t>
  </x:si>
  <x:si>
    <x:t>19990101-0136</x:t>
  </x:si>
  <x:si>
    <x:t>10.51.91.176</x:t>
  </x:si>
  <x:si>
    <x:t>19990101-0140</x:t>
  </x:si>
  <x:si>
    <x:t>10.51.91.171</x:t>
  </x:si>
  <x:si>
    <x:t>10.51.91.183</x:t>
  </x:si>
  <x:si>
    <x:t>10.51.91.168</x:t>
  </x:si>
  <x:si>
    <x:t>10.51.91.174</x:t>
  </x:si>
  <x:si>
    <x:t>19990101-0128</x:t>
  </x:si>
  <x:si>
    <x:t>19990101-0139</x:t>
  </x:si>
  <x:si>
    <x:t>19990101-0137</x:t>
  </x:si>
  <x:si>
    <x:t>19990101-0030</x:t>
  </x:si>
  <x:si>
    <x:t>19990526-0076</x:t>
  </x:si>
  <x:si>
    <x:t>10.51.91.182</x:t>
  </x:si>
  <x:si>
    <x:t>19990101-0142</x:t>
  </x:si>
  <x:si>
    <x:t>19990101-0141</x:t>
  </x:si>
  <x:si>
    <x:t>19990101-0135</x:t>
  </x:si>
  <x:si>
    <x:t>10.51.91.172</x:t>
  </x:si>
  <x:si>
    <x:t>10.51.91.170</x:t>
  </x:si>
  <x:si>
    <x:t>10.51.91.177</x:t>
  </x:si>
  <x:si>
    <x:t>10.51.91.169</x:t>
  </x:si>
  <x:si>
    <x:t>19990526-0032</x:t>
  </x:si>
  <x:si>
    <x:t>19990526-0010</x:t>
  </x:si>
  <x:si>
    <x:t>10.51.91.181</x:t>
  </x:si>
  <x:si>
    <x:t>19990101-0130</x:t>
  </x:si>
  <x:si>
    <x:t>19990101-0127</x:t>
  </x:si>
  <x:si>
    <x:t>10.51.91.178</x:t>
  </x:si>
  <x:si>
    <x:t>10.51.91.191</x:t>
  </x:si>
  <x:si>
    <x:t>10.51.91.187</x:t>
  </x:si>
  <x:si>
    <x:t>10.51.91.199</x:t>
  </x:si>
  <x:si>
    <x:t>10.54.36.119</x:t>
  </x:si>
  <x:si>
    <x:t>10.51.91.196</x:t>
  </x:si>
  <x:si>
    <x:t>10.54.36.118</x:t>
  </x:si>
  <x:si>
    <x:t>10.54.36.123</x:t>
  </x:si>
  <x:si>
    <x:t>10.51.91.190</x:t>
  </x:si>
  <x:si>
    <x:t>10.54.36.111</x:t>
  </x:si>
  <x:si>
    <x:t>10.54.36.106</x:t>
  </x:si>
  <x:si>
    <x:t>10.54.36.109</x:t>
  </x:si>
  <x:si>
    <x:t>10.51.91.197</x:t>
  </x:si>
  <x:si>
    <x:t>10.51.91.194</x:t>
  </x:si>
  <x:si>
    <x:t>10.51.91.186</x:t>
  </x:si>
  <x:si>
    <x:t>10.51.91.189</x:t>
  </x:si>
  <x:si>
    <x:t>10.54.36.105</x:t>
  </x:si>
  <x:si>
    <x:t>10.54.36.107</x:t>
  </x:si>
  <x:si>
    <x:t>10.54.36.104</x:t>
  </x:si>
  <x:si>
    <x:t>10.51.91.184</x:t>
  </x:si>
  <x:si>
    <x:t>10.51.91.193</x:t>
  </x:si>
  <x:si>
    <x:t>10.54.36.115</x:t>
  </x:si>
  <x:si>
    <x:t>10.54.36.108</x:t>
  </x:si>
  <x:si>
    <x:t>10.54.36.101</x:t>
  </x:si>
  <x:si>
    <x:t>10.54.36.120</x:t>
  </x:si>
  <x:si>
    <x:t>10.51.91.192</x:t>
  </x:si>
  <x:si>
    <x:t>10.54.36.113</x:t>
  </x:si>
  <x:si>
    <x:t>10.51.91.198</x:t>
  </x:si>
  <x:si>
    <x:t>10.54.36.122</x:t>
  </x:si>
  <x:si>
    <x:t>10.54.36.110</x:t>
  </x:si>
  <x:si>
    <x:t>10.51.91.188</x:t>
  </x:si>
  <x:si>
    <x:t>10.51.91.195</x:t>
  </x:si>
  <x:si>
    <x:t>10.51.91.185</x:t>
  </x:si>
  <x:si>
    <x:t>10.51.90.167</x:t>
  </x:si>
  <x:si>
    <x:t>10.51.90.129</x:t>
  </x:si>
  <x:si>
    <x:t>10.51.90.157</x:t>
  </x:si>
  <x:si>
    <x:t>10.51.90.174</x:t>
  </x:si>
  <x:si>
    <x:t>10.51.90.197</x:t>
  </x:si>
  <x:si>
    <x:t>10.51.90.138</x:t>
  </x:si>
  <x:si>
    <x:t>10.54.36.114</x:t>
  </x:si>
  <x:si>
    <x:t>10.51.90.173</x:t>
  </x:si>
  <x:si>
    <x:t>10.51.90.156</x:t>
  </x:si>
  <x:si>
    <x:t>10.51.90.168</x:t>
  </x:si>
  <x:si>
    <x:t>10.54.36.116</x:t>
  </x:si>
  <x:si>
    <x:t>10.51.90.162</x:t>
  </x:si>
  <x:si>
    <x:t>10.51.90.169</x:t>
  </x:si>
  <x:si>
    <x:t>10.51.90.172</x:t>
  </x:si>
  <x:si>
    <x:t>10.51.90.159</x:t>
  </x:si>
  <x:si>
    <x:t>10.54.36.112</x:t>
  </x:si>
  <x:si>
    <x:t>10.51.90.158</x:t>
  </x:si>
  <x:si>
    <x:t>10.51.90.153</x:t>
  </x:si>
  <x:si>
    <x:t>10.51.90.137</x:t>
  </x:si>
  <x:si>
    <x:t>10.51.90.166</x:t>
  </x:si>
  <x:si>
    <x:t>10.51.90.179</x:t>
  </x:si>
  <x:si>
    <x:t>10.51.90.184</x:t>
  </x:si>
  <x:si>
    <x:t>10.51.90.185</x:t>
  </x:si>
  <x:si>
    <x:t>10.51.90.188</x:t>
  </x:si>
  <x:si>
    <x:t>10.51.90.177</x:t>
  </x:si>
  <x:si>
    <x:t>10.54.36.117</x:t>
  </x:si>
  <x:si>
    <x:t>10.54.36.121</x:t>
  </x:si>
  <x:si>
    <x:t>10.51.90.175</x:t>
  </x:si>
  <x:si>
    <x:t>10.54.36.125</x:t>
  </x:si>
  <x:si>
    <x:t>10.54.36.128</x:t>
  </x:si>
  <x:si>
    <x:t>10.51.90.196</x:t>
  </x:si>
  <x:si>
    <x:t>10.54.36.135</x:t>
  </x:si>
  <x:si>
    <x:t>10.51.90.170</x:t>
  </x:si>
  <x:si>
    <x:t>10.54.36.133</x:t>
  </x:si>
  <x:si>
    <x:t>10.51.90.201</x:t>
  </x:si>
  <x:si>
    <x:t>10.54.36.126</x:t>
  </x:si>
  <x:si>
    <x:t>10.54.36.130</x:t>
  </x:si>
  <x:si>
    <x:t>10.54.36.127</x:t>
  </x:si>
  <x:si>
    <x:t>10.54.36.131</x:t>
  </x:si>
  <x:si>
    <x:t>10.54.36.132</x:t>
  </x:si>
  <x:si>
    <x:t>10.54.36.134</x:t>
  </x:si>
  <x:si>
    <x:t>10.51.90.200</x:t>
  </x:si>
  <x:si>
    <x:t>10.51.90.189</x:t>
  </x:si>
  <x:si>
    <x:t>10.51.90.182</x:t>
  </x:si>
  <x:si>
    <x:t>10.51.90.183</x:t>
  </x:si>
  <x:si>
    <x:t>10.51.90.191</x:t>
  </x:si>
  <x:si>
    <x:t>10.51.90.186</x:t>
  </x:si>
  <x:si>
    <x:t>10.51.90.178</x:t>
  </x:si>
  <x:si>
    <x:t>10.51.90.193</x:t>
  </x:si>
  <x:si>
    <x:t>10.51.90.195</x:t>
  </x:si>
  <x:si>
    <x:t>10.51.90.202</x:t>
  </x:si>
  <x:si>
    <x:t>10.51.90.194</x:t>
  </x:si>
  <x:si>
    <x:t>10.51.90.171</x:t>
  </x:si>
  <x:si>
    <x:t>10.51.90.190</x:t>
  </x:si>
  <x:si>
    <x:t>10.51.90.192</x:t>
  </x:si>
  <x:si>
    <x:t>10.51.90.187</x:t>
  </x:si>
  <x:si>
    <x:t>10.54.36.139</x:t>
  </x:si>
  <x:si>
    <x:t>10.54.36.140</x:t>
  </x:si>
  <x:si>
    <x:t>10.51.90.176</x:t>
  </x:si>
  <x:si>
    <x:t>10.54.37.141</x:t>
  </x:si>
  <x:si>
    <x:t>10.54.36.136</x:t>
  </x:si>
  <x:si>
    <x:t>10.54.37.100</x:t>
  </x:si>
  <x:si>
    <x:t>10.54.37.142</x:t>
  </x:si>
  <x:si>
    <x:t>10.54.37.135</x:t>
  </x:si>
  <x:si>
    <x:t>10.54.37.134</x:t>
  </x:si>
  <x:si>
    <x:t>10.54.36.129</x:t>
  </x:si>
  <x:si>
    <x:t>10.54.36.137</x:t>
  </x:si>
  <x:si>
    <x:t>10.54.36.138</x:t>
  </x:si>
  <x:si>
    <x:t>10.54.37.132</x:t>
  </x:si>
  <x:si>
    <x:t>10.54.37.136</x:t>
  </x:si>
  <x:si>
    <x:t>10.54.37.143</x:t>
  </x:si>
  <x:si>
    <x:t>10.54.37.133</x:t>
  </x:si>
  <x:si>
    <x:t>10.54.37.144</x:t>
  </x:si>
  <x:si>
    <x:t>(옵션)청호컴넷, Network printer kit, CHC-360G용</x:t>
  </x:si>
  <x:si>
    <x:t>HP, CN/Officejet ProX576DW, A4/흑백컬러42cpm</x:t>
  </x:si>
  <x:si>
    <x:t>Fujixerox, CN/DocuPrint P455 d, 흑백/45ppm</x:t>
  </x:si>
  <x:si>
    <x:t>한국후지제록스, CN/DocuPrint C 2200, A4/컬러, 25ppm</x:t>
  </x:si>
  <x:si>
    <x:t>DG481-GA51-011, Intel Core i5 12500(3GHz)</x:t>
  </x:si>
  <x:si>
    <x:t>http://211.184.232.146/inchang-h/main.do</x:t>
  </x:si>
  <x:si>
    <x:t>Kodak, JP/Kodak XLS 8600 Color Printer, A4</x:t>
  </x:si>
  <x:si>
    <x:t>(관리자변경시 공문 발송)관련:교육정보화과-1846(2025.2.21.)</x:t>
  </x:si>
  <x:si>
    <x:t>DT281-GA51-012, Intel Core i5 12500(3GHz)</x:t>
  </x:si>
  <x:si>
    <x:t>한국HP, Design Jet 750C Plus, 609.6mm 600dpi</x:t>
  </x:si>
  <x:si>
    <x:t>(옵션)한국후지제록스, Network Printer Kit, DC-285G용</x:t>
  </x:si>
  <x:si>
    <x:t>캐논코리아비즈니스솔루션, CN/LBP6303dn, A4/흑백, 30ppm</x:t>
  </x:si>
  <x:si>
    <x:t>한국후지제록스, CN/DocuPrint 3055, A3/흑백, 35ppm</x:t>
  </x:si>
  <x:si>
    <x:t>Kyocera document solutios, CN/TASKalfa3010iG, 흑백30cpm</x:t>
  </x:si>
  <x:si>
    <x:t>한국후지제록스, CN/DocuCentre-III 3007G(DADF기본형) 흑백 30매디지털복사기</x:t>
  </x:si>
  <x:si>
    <x:t>Kyocera document solutios, CN/TASKalfa3510iG, 흑백35cpm</x:t>
  </x:si>
  <x:si>
    <x:t>Kyocera document solutions, CN/TASKalfa 3011iG, 흑백30cpm</x:t>
  </x:si>
  <x:si>
    <x:t>WINDOW CE</x:t>
  </x:si>
  <x:si>
    <x:t>2012.12.11</x:t>
  </x:si>
  <x:si>
    <x:t>1,480,350</x:t>
  </x:si>
  <x:si>
    <x:t>2016.03.03</x:t>
  </x:si>
  <x:si>
    <x:t>2002.06.22</x:t>
  </x:si>
  <x:si>
    <x:t>2005.03.11</x:t>
  </x:si>
  <x:si>
    <x:t>2005.02.14</x:t>
  </x:si>
  <x:si>
    <x:t>구재원(교사용)</x:t>
  </x:si>
  <x:si>
    <x:t>1학년성적처리컴</x:t>
  </x:si>
  <x:si>
    <x:t>WINDOW 98</x:t>
  </x:si>
  <x:si>
    <x:t>2,156,000</x:t>
  </x:si>
  <x:si>
    <x:t>2005.11.17</x:t>
  </x:si>
  <x:si>
    <x:t>2001.05.19</x:t>
  </x:si>
  <x:si>
    <x:t>1,774,530</x:t>
  </x:si>
  <x:si>
    <x:t>1,600,000</x:t>
  </x:si>
  <x:si>
    <x:t>2,155,400</x:t>
  </x:si>
  <x:si>
    <x:t>2003.10.16</x:t>
  </x:si>
  <x:si>
    <x:t>2007.06.25</x:t>
  </x:si>
  <x:si>
    <x:t>2001.05.04</x:t>
  </x:si>
  <x:si>
    <x:t>C9453A(M)</x:t>
  </x:si>
  <x:si>
    <x:t>2004.09.16</x:t>
  </x:si>
  <x:si>
    <x:t>2007.07.10</x:t>
  </x:si>
  <x:si>
    <x:t>2002.03.25</x:t>
  </x:si>
  <x:si>
    <x:t>구 3학년교무실</x:t>
  </x:si>
  <x:si>
    <x:t>2009.12.21</x:t>
  </x:si>
  <x:si>
    <x:t>3학년부(부장)</x:t>
  </x:si>
  <x:si>
    <x:t>2001.01.01</x:t>
  </x:si>
  <x:si>
    <x:t>2010.05.13</x:t>
  </x:si>
  <x:si>
    <x:t>2008.02.05</x:t>
  </x:si>
  <x:si>
    <x:t>C9451A(L/G)</x:t>
  </x:si>
  <x:si>
    <x:t>2003.03.12</x:t>
  </x:si>
  <x:si>
    <x:t>2015.03.26</x:t>
  </x:si>
  <x:si>
    <x:t>2013.01.09</x:t>
  </x:si>
  <x:si>
    <x:t>556-5211~2</x:t>
  </x:si>
  <x:si>
    <x:t>행정실 폐기예정</x:t>
  </x:si>
  <x:si>
    <x:t>교육실습생(프린터)</x:t>
  </x:si>
  <x:si>
    <x:t>1,309,390</x:t>
  </x:si>
  <x:si>
    <x:t>2009.03.17</x:t>
  </x:si>
  <x:si>
    <x:t>3,750,000</x:t>
  </x:si>
  <x:si>
    <x:t>C9454A(Y)</x:t>
  </x:si>
  <x:si>
    <x:t>2005.05.12</x:t>
  </x:si>
  <x:si>
    <x:t>THINKPADR40</x:t>
  </x:si>
  <x:si>
    <x:t>1,769,000</x:t>
  </x:si>
  <x:si>
    <x:t>1,623,250</x:t>
  </x:si>
  <x:si>
    <x:t>교사용(원어민)</x:t>
  </x:si>
  <x:si>
    <x:t>1,119,600</x:t>
  </x:si>
  <x:si>
    <x:t>2,255,000</x:t>
  </x:si>
  <x:si>
    <x:t>2,140,000</x:t>
  </x:si>
  <x:si>
    <x:t>1,229,790</x:t>
  </x:si>
  <x:si>
    <x:t>2002.07.30</x:t>
  </x:si>
  <x:si>
    <x:t>2006.08.23</x:t>
  </x:si>
  <x:si>
    <x:t>2003.09.08</x:t>
  </x:si>
  <x:si>
    <x:t>2005.04.06</x:t>
  </x:si>
  <x:si>
    <x:t>2008.08.28</x:t>
  </x:si>
  <x:si>
    <x:t>1,783,150</x:t>
  </x:si>
  <x:si>
    <x:t>3층실습용 18</x:t>
  </x:si>
  <x:si>
    <x:t>ZMZ28-H301G</x:t>
  </x:si>
  <x:si>
    <x:t>컴퓨터실2(5층)</x:t>
  </x:si>
  <x:si>
    <x:t>2005.03.10</x:t>
  </x:si>
  <x:si>
    <x:t>2005.07.15</x:t>
  </x:si>
  <x:si>
    <x:t>2002.12.24</x:t>
  </x:si>
  <x:si>
    <x:t>1,387,420</x:t>
  </x:si>
  <x:si>
    <x:t>2012.03.14</x:t>
  </x:si>
  <x:si>
    <x:t>2,688,100</x:t>
  </x:si>
  <x:si>
    <x:t>2001.04.02</x:t>
  </x:si>
  <x:si>
    <x:t>3층실습용 12</x:t>
  </x:si>
  <x:si>
    <x:t>3층실습용 19</x:t>
  </x:si>
  <x:si>
    <x:t>3층실습용 15</x:t>
  </x:si>
  <x:si>
    <x:t>3층실습용 23</x:t>
  </x:si>
  <x:si>
    <x:t>2010.02.26</x:t>
  </x:si>
  <x:si>
    <x:t>3층실습용 13</x:t>
  </x:si>
  <x:si>
    <x:t>3층실습용 27</x:t>
  </x:si>
  <x:si>
    <x:t>2010.03.06</x:t>
  </x:si>
  <x:si>
    <x:t>2004.09.21</x:t>
  </x:si>
  <x:si>
    <x:t>정보과학실용 2</x:t>
  </x:si>
  <x:si>
    <x:t>2020. 07 폐기</x:t>
  </x:si>
  <x:si>
    <x:t>2002.09.27</x:t>
  </x:si>
  <x:si>
    <x:t>2016.04.19</x:t>
  </x:si>
  <x:si>
    <x:t>3층실습용 25</x:t>
  </x:si>
  <x:si>
    <x:t>3층실습용 28</x:t>
  </x:si>
  <x:si>
    <x:t>3층실습용 21</x:t>
  </x:si>
  <x:si>
    <x:t>정보과학실용 10</x:t>
  </x:si>
  <x:si>
    <x:t>3층실습용 14</x:t>
  </x:si>
  <x:si>
    <x:t>지구과학실험실용</x:t>
  </x:si>
  <x:si>
    <x:t>3층실습용 22</x:t>
  </x:si>
  <x:si>
    <x:t>2022.03 폐기</x:t>
  </x:si>
  <x:si>
    <x:t>정보과학실용 5</x:t>
  </x:si>
  <x:si>
    <x:t>2003.10.26</x:t>
  </x:si>
  <x:si>
    <x:t>2007.11.05</x:t>
  </x:si>
  <x:si>
    <x:t>정보과학실용 6</x:t>
  </x:si>
  <x:si>
    <x:t>정보과학실용 8</x:t>
  </x:si>
  <x:si>
    <x:t>3층실습용 17</x:t>
  </x:si>
  <x:si>
    <x:t>3층실습용 26</x:t>
  </x:si>
  <x:si>
    <x:t>3층실습용 11</x:t>
  </x:si>
  <x:si>
    <x:t>3층실습용 16</x:t>
  </x:si>
  <x:si>
    <x:t>3층실습용 10</x:t>
  </x:si>
  <x:si>
    <x:t>도움반 실습용1</x:t>
  </x:si>
  <x:si>
    <x:t>이경규(벌점관리)</x:t>
  </x:si>
  <x:si>
    <x:t>정보과학실용 7</x:t>
  </x:si>
  <x:si>
    <x:t>1,032,000</x:t>
  </x:si>
  <x:si>
    <x:t>HP Compaq</x:t>
  </x:si>
  <x:si>
    <x:t>d2390 MT</x:t>
  </x:si>
  <x:si>
    <x:t>도움반 실습용4</x:t>
  </x:si>
  <x:si>
    <x:t>정보과학실용 4</x:t>
  </x:si>
  <x:si>
    <x:t>도움반 실습용6</x:t>
  </x:si>
  <x:si>
    <x:t>3층실습용 20</x:t>
  </x:si>
  <x:si>
    <x:t>1,500,000</x:t>
  </x:si>
  <x:si>
    <x:t>1,360,000</x:t>
  </x:si>
  <x:si>
    <x:t>정보과학실용 3</x:t>
  </x:si>
  <x:si>
    <x:t>정보과학실용 1</x:t>
  </x:si>
  <x:si>
    <x:t>2021.10 폐기</x:t>
  </x:si>
  <x:si>
    <x:t>JY-운수대통E53G</x:t>
  </x:si>
  <x:si>
    <x:t>1,130,000</x:t>
  </x:si>
  <x:si>
    <x:t>1,716,220</x:t>
  </x:si>
  <x:si>
    <x:t>정보부보관(파손)</x:t>
  </x:si>
  <x:si>
    <x:t>WINDOW XP</x:t>
  </x:si>
  <x:si>
    <x:t>도움반 실습용5</x:t>
  </x:si>
  <x:si>
    <x:t>(교육실습생3)</x:t>
  </x:si>
  <x:si>
    <x:t>도움반 실습용2</x:t>
  </x:si>
  <x:si>
    <x:t>1,100,000</x:t>
  </x:si>
  <x:si>
    <x:t>(김나연(수학강사))</x:t>
  </x:si>
  <x:si>
    <x:t>1,040,000</x:t>
  </x:si>
  <x:si>
    <x:t>E500-S773KN</x:t>
  </x:si>
  <x:si>
    <x:t>X270Y-TX16D</x:t>
  </x:si>
  <x:si>
    <x:t>1,260,000</x:t>
  </x:si>
  <x:si>
    <x:t>도움반 실습용3</x:t>
  </x:si>
  <x:si>
    <x:t>정보부(한남숙)</x:t>
  </x:si>
  <x:si>
    <x:t>(백민정(상담인턴))</x:t>
  </x:si>
  <x:si>
    <x:t>DM-P40/MCEG</x:t>
  </x:si>
  <x:si>
    <x:t>V1-WCUP6N</x:t>
  </x:si>
  <x:si>
    <x:t>1,180,000</x:t>
  </x:si>
  <x:si>
    <x:t>(교육실습생4)</x:t>
  </x:si>
  <x:si>
    <x:t>1,359,000</x:t>
  </x:si>
  <x:si>
    <x:t>(이명숙(실험인턴))</x:t>
  </x:si>
  <x:si>
    <x:t>1,284,000</x:t>
  </x:si>
  <x:si>
    <x:t>2,060,820</x:t>
  </x:si>
  <x:si>
    <x:t>문경희(과학행정)</x:t>
  </x:si>
  <x:si>
    <x:t>1,170,000</x:t>
  </x:si>
  <x:si>
    <x:t>NT-M70/W210</x:t>
  </x:si>
  <x:si>
    <x:t>김민정(특수보조)</x:t>
  </x:si>
  <x:si>
    <x:t>(유희영(역사강사))</x:t>
  </x:si>
  <x:si>
    <x:t>P2-J515KN</x:t>
  </x:si>
  <x:si>
    <x:t>3,656,720</x:t>
  </x:si>
  <x:si>
    <x:t>김세미(수학보조강사)</x:t>
  </x:si>
  <x:si>
    <x:t>도서동아리용(서향)</x:t>
  </x:si>
  <x:si>
    <x:t>DBZ40/H300G</x:t>
  </x:si>
  <x:si>
    <x:t>1,760,000</x:t>
  </x:si>
  <x:si>
    <x:t>1,340,000</x:t>
  </x:si>
  <x:si>
    <x:t>1,282,700</x:t>
  </x:si>
  <x:si>
    <x:t>수강신청서버(이선민)</x:t>
  </x:si>
  <x:si>
    <x:t>3학년성적컴(보관중)</x:t>
  </x:si>
  <x:si>
    <x:t>전명숙(영양사)</x:t>
  </x:si>
  <x:si>
    <x:t>1,873,870</x:t>
  </x:si>
  <x:si>
    <x:t>조희선(사서용)</x:t>
  </x:si>
  <x:si>
    <x:t>백승숙(교원내신)</x:t>
  </x:si>
  <x:si>
    <x:t>1,386,400</x:t>
  </x:si>
  <x:si>
    <x:t>1,781,500</x:t>
  </x:si>
  <x:si>
    <x:t>1,310,000</x:t>
  </x:si>
  <x:si>
    <x:t>1,801,500</x:t>
  </x:si>
  <x:si>
    <x:t>1,314,700</x:t>
  </x:si>
  <x:si>
    <x:t>192.168.0.4</x:t>
  </x:si>
  <x:si>
    <x:t>1,257,000</x:t>
  </x:si>
  <x:si>
    <x:t>C9390A(L/C)</x:t>
  </x:si>
  <x:si>
    <x:t>C9453A(L/M)</x:t>
  </x:si>
  <x:si>
    <x:t>김주미(이성아)</x:t>
  </x:si>
  <x:si>
    <x:t>C9452A(C)</x:t>
  </x:si>
  <x:si>
    <x:t>10.56.45.</x:t>
  </x:si>
  <x:si>
    <x:t>1,139,000</x:t>
  </x:si>
  <x:si>
    <x:t>1,166,000</x:t>
  </x:si>
  <x:si>
    <x:t>THINKPADR32</x:t>
  </x:si>
  <x:si>
    <x:t>C9449A(P/B)</x:t>
  </x:si>
  <x:si>
    <x:t>P1-J224K</x:t>
  </x:si>
  <x:si>
    <x:t>4,080,580</x:t>
  </x:si>
  <x:si>
    <x:t>2학년성적처리컴</x:t>
  </x:si>
  <x:si>
    <x:t>10.54.38.</x:t>
  </x:si>
  <x:si>
    <x:t>10.54.36.</x:t>
  </x:si>
  <x:si>
    <x:t>192.168.0.7</x:t>
  </x:si>
  <x:si>
    <x:t>인창고 홈페이지 관리</x:t>
  </x:si>
  <x:si>
    <x:t>192.168.0.8</x:t>
  </x:si>
  <x:si>
    <x:t>1,437,860</x:t>
  </x:si>
  <x:si>
    <x:t>192.168.0.9</x:t>
  </x:si>
  <x:si>
    <x:t>1,197,000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</x:si>
  <x:si>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00"/>
          </x:rPr>
        </mc:Fallback>
      </mc:AlternateContent>
      <x:t>I</x:t>
    </x:r>
    <x:r>
      <x:rPr>
        <x:rFont val="맑은 고딕"/>
        <x:sz val="11"/>
        <x:color rgb="ff000000"/>
      </x:rPr>
      <x:t>c20182018#</x:t>
    </x:r>
  </x:si>
  <x:si>
    <x:t>InChang_5G</x:t>
  </x:si>
  <x:si>
    <x:t>inform2018</x:t>
  </x:si>
  <x:si>
    <x:t>1,411,000</x:t>
  </x:si>
  <x:si>
    <x:t>sta#ff2018</x:t>
  </x:si>
  <x:si>
    <x:t>192.168.0.5</x:t>
  </x:si>
  <x:si>
    <x:t>10.51.90.</x:t>
  </x:si>
  <x:si>
    <x:t>DREAMBOOKA8</x:t>
  </x:si>
  <x:si>
    <x:t>J100000769</x:t>
  </x:si>
  <x:si>
    <x:t>10.51.91.</x:t>
  </x:si>
  <x:si>
    <x:t>inchanghs</x:t>
  </x:si>
  <x:si>
    <x:t>192.168.0.6</x:t>
  </x:si>
  <x:si>
    <x:t>icgo2018#</x:t>
  </x:si>
  <x:si>
    <x:t>ic2018###</x:t>
  </x:si>
  <x:si>
    <x:t>happy2018</x:t>
  </x:si>
  <x:si>
    <x:t>10.54.37.</x:t>
  </x:si>
  <x:si>
    <x:t>교사용 패들렛 계정</x:t>
  </x:si>
  <x:si>
    <x:t>방송부1234!</x:t>
  </x:si>
  <x:si>
    <x:t>방송부1234!Q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</x:si>
  <x:si>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00"/>
          </x:rPr>
        </mc:Fallback>
      </mc:AlternateContent>
      <x:t>I</x:t>
    </x:r>
    <x:r>
      <x:rPr>
        <x:rFont val="맑은 고딕"/>
        <x:sz val="11"/>
        <x:color rgb="ff000000"/>
      </x:rPr>
      <x:t>cgo2018#</x:t>
    </x:r>
  </x:si>
  <x:si>
    <x:t>3층 진학교과실</x:t>
  </x:si>
  <x:si>
    <x:t>1층 로비 AP</x:t>
  </x:si>
  <x:si>
    <x:t>AhnLab EPP</x:t>
  </x:si>
  <x:si>
    <x:t>2024.04.12</x:t>
  </x:si>
  <x:si>
    <x:t>정보과학실 학생용 6</x:t>
  </x:si>
  <x:si>
    <x:t>도서관 자료검색용</x:t>
  </x:si>
  <x:si>
    <x:t>방송반 인창고 계정</x:t>
  </x:si>
  <x:si>
    <x:t>A2SC-4VCI</x:t>
  </x:si>
  <x:si>
    <x:t>inchangh</x:t>
  </x:si>
  <x:si>
    <x:t>방송반 지니 계정</x:t>
  </x:si>
  <x:si>
    <x:t>정보과학실 학생용 7</x:t>
  </x:si>
  <x:si>
    <x:t>2005.07.14</x:t>
  </x:si>
  <x:si>
    <x:t>icgo20#24</x:t>
  </x:si>
  <x:si>
    <x:t>2층 면학실 AP</x:t>
  </x:si>
  <x:si>
    <x:t>10.51.90.99</x:t>
  </x:si>
  <x:si>
    <x:t>2011.06.27</x:t>
  </x:si>
  <x:si>
    <x:t>icgo2018##</x:t>
  </x:si>
  <x:si>
    <x:t>2019.11. 10</x:t>
  </x:si>
  <x:si>
    <x:t>ibcinchang</x:t>
  </x:si>
  <x:si>
    <x:t>2층 컴퓨터실로 이동</x:t>
  </x:si>
  <x:si>
    <x:t>화학실험실 교사용</x:t>
  </x:si>
  <x:si>
    <x:t>A2TC-4VCIN</x:t>
  </x:si>
  <x:si>
    <x:t>불용처분 
시기</x:t>
  </x:si>
  <x:si>
    <x:t>goegn159#$</x:t>
  </x:si>
  <x:si>
    <x:t>3층 실습용 31</x:t>
  </x:si>
  <x:si>
    <x:t>예비용7(구 이준남)</x:t>
  </x:si>
  <x:si>
    <x:t>gn_ic_hs</x:t>
  </x:si>
  <x:si>
    <x:t>마라톤 상사 임대</x:t>
  </x:si>
  <x:si>
    <x:t>2024.03.29</x:t>
  </x:si>
  <x:si>
    <x:t>10.51.90.1</x:t>
  </x:si>
  <x:si>
    <x:t>정보과학실 학생용 8</x:t>
  </x:si>
  <x:si>
    <x:t>기본설정DNS서버</x:t>
  </x:si>
  <x:si>
    <x:t>5층 통합지원실2</x:t>
  </x:si>
  <x:si>
    <x:t>3학년 대입설명회용</x:t>
  </x:si>
  <x:si>
    <x:t>WINDOW 10</x:t>
  </x:si>
  <x:si>
    <x:t>정보과학실 학생용 5</x:t>
  </x:si>
  <x:si>
    <x:t>H41001470</x:t>
  </x:si>
  <x:si>
    <x:t>3층 실습용 28</x:t>
  </x:si>
  <x:si>
    <x:t>늑대와여우컴퓨터</x:t>
  </x:si>
  <x:si>
    <x:t>3층 실습용 10</x:t>
  </x:si>
  <x:si>
    <x:t>3층 실습용 19</x:t>
  </x:si>
  <x:si>
    <x:t>3층 실습용 26</x:t>
  </x:si>
  <x:si>
    <x:t>TK-6329K</x:t>
  </x:si>
  <x:si>
    <x:t>경기도 상용클라우드</x:t>
  </x:si>
  <x:si>
    <x:t>수리과학부 학생용</x:t>
  </x:si>
  <x:si>
    <x:t>smart21_138</x:t>
  </x:si>
  <x:si>
    <x:t>강당(시청각실)</x:t>
  </x:si>
  <x:si>
    <x:t>WINDOW 11</x:t>
  </x:si>
  <x:si>
    <x:t>3층 실습용 22</x:t>
  </x:si>
  <x:si>
    <x:t>3층 실습용 25</x:t>
  </x:si>
  <x:si>
    <x:t>3층 실습용 29</x:t>
  </x:si>
  <x:si>
    <x:t>3층 실습용 11</x:t>
  </x:si>
  <x:si>
    <x:t>구 5층 면학실4</x:t>
  </x:si>
  <x:si>
    <x:t>3층 실습용 08</x:t>
  </x:si>
  <x:si>
    <x:t>3층 실습용 18</x:t>
  </x:si>
  <x:si>
    <x:t>3층 실습용 27</x:t>
  </x:si>
  <x:si>
    <x:t>3층 실습용 20</x:t>
  </x:si>
  <x:si>
    <x:t>생명과학실험실 교사용</x:t>
  </x:si>
  <x:si>
    <x:t>구 5층 면학실6</x:t>
  </x:si>
  <x:si>
    <x:t>지구과학실험실 교사용</x:t>
  </x:si>
  <x:si>
    <x:t>NY-Q95PE00D</x:t>
  </x:si>
  <x:si>
    <x:t>3층 실습용 12</x:t>
  </x:si>
  <x:si>
    <x:t>구 소해준(공익)</x:t>
  </x:si>
  <x:si>
    <x:t>3층 실습용 24</x:t>
  </x:si>
  <x:si>
    <x:t>3층 실습용 30</x:t>
  </x:si>
  <x:si>
    <x:t>3층 실습용 07</x:t>
  </x:si>
  <x:si>
    <x:t>3층 실습용 23</x:t>
  </x:si>
  <x:si>
    <x:t>4층 학부모 회의실</x:t>
  </x:si>
  <x:si>
    <x:t>3층 실습용 09</x:t>
  </x:si>
  <x:si>
    <x:t>3층 실습용 05</x:t>
  </x:si>
  <x:si>
    <x:t>특수교육실 실습용 4</x:t>
  </x:si>
  <x:si>
    <x:t>3층 실습용 04</x:t>
  </x:si>
  <x:si>
    <x:t>구 5층 면학실2</x:t>
  </x:si>
  <x:si>
    <x:t>정보과학실 학생용 4</x:t>
  </x:si>
  <x:si>
    <x:t>3층 실습용 21</x:t>
  </x:si>
  <x:si>
    <x:t>3층 실습용 15</x:t>
  </x:si>
  <x:si>
    <x:t>물리실험실 교사용</x:t>
  </x:si>
  <x:si>
    <x:t>3층 실습용 03</x:t>
  </x:si>
  <x:si>
    <x:t>3층 실습용 17</x:t>
  </x:si>
  <x:si>
    <x:t>구 5층 면학실3</x:t>
  </x:si>
  <x:si>
    <x:t>DVD_MULTI</x:t>
  </x:si>
  <x:si>
    <x:t>3층 실습용 14</x:t>
  </x:si>
  <x:si>
    <x:t>3층 실습용 16</x:t>
  </x:si>
  <x:si>
    <x:t>2019년 입력</x:t>
  </x:si>
  <x:si>
    <x:t>정보과학실 학생용 2</x:t>
  </x:si>
  <x:si>
    <x:t>정보과학실 학생용 3</x:t>
  </x:si>
  <x:si>
    <x:t>3층 실습용 06</x:t>
  </x:si>
  <x:si>
    <x:t>솔로탑G-3FEE</x:t>
  </x:si>
  <x:si>
    <x:t>특수교육실 실습용 5</x:t>
  </x:si>
  <x:si>
    <x:t>특수교육실 실습용 1</x:t>
  </x:si>
  <x:si>
    <x:t>3층 실습용 01</x:t>
  </x:si>
  <x:si>
    <x:t>3층 실습용 02</x:t>
  </x:si>
  <x:si>
    <x:t>3학년 외부강사용</x:t>
  </x:si>
  <x:si>
    <x:t>3층 실습용 13</x:t>
  </x:si>
  <x:si>
    <x:t>5층 실습용 29</x:t>
  </x:si>
  <x:si>
    <x:t>특수교육실 실습용 3</x:t>
  </x:si>
  <x:si>
    <x:t>5층 실습용 32</x:t>
  </x:si>
  <x:si>
    <x:t>교육정보부 보관</x:t>
  </x:si>
  <x:si>
    <x:t>구 5층 면학실5</x:t>
  </x:si>
  <x:si>
    <x:t>특수교육실 실습용 2</x:t>
  </x:si>
  <x:si>
    <x:t>정보과학실 학생용 1</x:t>
  </x:si>
  <x:si>
    <x:t>5층 실습용 27</x:t>
  </x:si>
  <x:si>
    <x:t>5층 실습용 24</x:t>
  </x:si>
  <x:si>
    <x:t>5층 실습용 17</x:t>
  </x:si>
  <x:si>
    <x:t>5층 실습용 14</x:t>
  </x:si>
  <x:si>
    <x:t>5층 실습용 6</x:t>
  </x:si>
  <x:si>
    <x:t>5층 실습용 23</x:t>
  </x:si>
  <x:si>
    <x:t>5층 실습용 15</x:t>
  </x:si>
  <x:si>
    <x:t>JY-AX44P5G</x:t>
  </x:si>
  <x:si>
    <x:t>5층 실습용 34</x:t>
  </x:si>
  <x:si>
    <x:t>5층 실습용 31</x:t>
  </x:si>
  <x:si>
    <x:t>5층 실습용 7</x:t>
  </x:si>
  <x:si>
    <x:t>5층 실습용 35</x:t>
  </x:si>
  <x:si>
    <x:t>정보과학실 교사용</x:t>
  </x:si>
  <x:si>
    <x:t>5컴 교사용 2</x:t>
  </x:si>
  <x:si>
    <x:t>구 5층 면학실1</x:t>
  </x:si>
  <x:si>
    <x:t>10.54.36.10</x:t>
  </x:si>
  <x:si>
    <x:t>5층 실습용 4</x:t>
  </x:si>
  <x:si>
    <x:t>5층 실습용 21</x:t>
  </x:si>
  <x:si>
    <x:t>5층 실습용 12</x:t>
  </x:si>
  <x:si>
    <x:t>5층 실습용 16</x:t>
  </x:si>
  <x:si>
    <x:t>5층 실습용 11</x:t>
  </x:si>
  <x:si>
    <x:t>5층 실습용 30</x:t>
  </x:si>
  <x:si>
    <x:t>5컴 교사용 1</x:t>
  </x:si>
  <x:si>
    <x:t>5층 실습용 28</x:t>
  </x:si>
  <x:si>
    <x:t>인창고6(구 권은주)</x:t>
  </x:si>
  <x:si>
    <x:t>RHS-549PE</x:t>
  </x:si>
  <x:si>
    <x:t>5층 실습용 22</x:t>
  </x:si>
  <x:si>
    <x:t>5층 실습용 18</x:t>
  </x:si>
  <x:si>
    <x:t>5층 실습용 26</x:t>
  </x:si>
  <x:si>
    <x:t>5층 실습용 25</x:t>
  </x:si>
  <x:si>
    <x:t>TSF-P16MBC</x:t>
  </x:si>
  <x:si>
    <x:t>5층 실습용 20</x:t>
  </x:si>
  <x:si>
    <x:t>구 MBL용 3</x:t>
  </x:si>
  <x:si>
    <x:t>구 MBL용 8</x:t>
  </x:si>
  <x:si>
    <x:t>5층 실습용 19</x:t>
  </x:si>
  <x:si>
    <x:t>TAG-R04MBA8</x:t>
  </x:si>
  <x:si>
    <x:t>5층 실습용 8</x:t>
  </x:si>
  <x:si>
    <x:t>DVD_COMBO</x:t>
  </x:si>
  <x:si>
    <x:t>5층 실습용 3</x:t>
  </x:si>
  <x:si>
    <x:t>5층 실습용 10</x:t>
  </x:si>
  <x:si>
    <x:t>5층 실습용 2</x:t>
  </x:si>
  <x:si>
    <x:t>5층 실습용 33</x:t>
  </x:si>
  <x:si>
    <x:t>5층 실습용 5</x:t>
  </x:si>
  <x:si>
    <x:t>인창고2(구 안준상)</x:t>
  </x:si>
  <x:si>
    <x:t>무선망 AP 관리용</x:t>
  </x:si>
  <x:si>
    <x:t>5층 실습용 9</x:t>
  </x:si>
  <x:si>
    <x:t>2020. 01 폐기</x:t>
  </x:si>
  <x:si>
    <x:t>구 정보과학실용</x:t>
  </x:si>
  <x:si>
    <x:t>WEE 클래스 학생용</x:t>
  </x:si>
  <x:si>
    <x:t>구 김태주(공익)</x:t>
  </x:si>
  <x:si>
    <x:t>5층 실습용 13</x:t>
  </x:si>
  <x:si>
    <x:t>구 MBL용 5</x:t>
  </x:si>
  <x:si>
    <x:t>구 MBL용 2</x:t>
  </x:si>
  <x:si>
    <x:t>인창고1(구 황정인)</x:t>
  </x:si>
  <x:si>
    <x:t>구 MBL용 7</x:t>
  </x:si>
  <x:si>
    <x:t>WINDOW 7</x:t>
  </x:si>
  <x:si>
    <x:t>인창고7(구 김광숙)</x:t>
  </x:si>
  <x:si>
    <x:t>구 MBL용 9</x:t>
  </x:si>
  <x:si>
    <x:t>3층실습용 24</x:t>
  </x:si>
  <x:si>
    <x:t>구 MBL용 4</x:t>
  </x:si>
  <x:si>
    <x:t>구 MBL용 6</x:t>
  </x:si>
  <x:si>
    <x:t>2005.09.22</x:t>
  </x:si>
  <x:si>
    <x:t>goegn159</x:t>
  </x:si>
  <x:si>
    <x:t>생명과학실험실용</x:t>
  </x:si>
  <x:si>
    <x:t>구 에어컨 관리용</x:t>
  </x:si>
  <x:si>
    <x:t>2005.10.10</x:t>
  </x:si>
  <x:si>
    <x:t>2010.10.01</x:t>
  </x:si>
  <x:si>
    <x:t>2006.05.30</x:t>
  </x:si>
  <x:si>
    <x:t>2015.01.27</x:t>
  </x:si>
  <x:si>
    <x:t>5층 실습용 1</x:t>
  </x:si>
  <x:si>
    <x:t>2020. 11 폐기</x:t>
  </x:si>
  <x:si>
    <x:t>2005.09.15</x:t>
  </x:si>
  <x:si>
    <x:t>3층실습용 29</x:t>
  </x:si>
  <x:si>
    <x:t>10.51.91.17</x:t>
  </x:si>
  <x:si>
    <x:t>10.51.91.15</x:t>
  </x:si>
  <x:si>
    <x:t>10.51.90.98</x:t>
  </x:si>
  <x:si>
    <x:t>10.51.91.16</x:t>
  </x:si>
  <x:si>
    <x:t>예전3층미술실2</x:t>
  </x:si>
  <x:si>
    <x:t>황경환 교감선생님</x:t>
  </x:si>
  <x:si>
    <x:t>교사 예비용 19</x:t>
  </x:si>
  <x:si>
    <x:t>교사 예비용 11</x:t>
  </x:si>
  <x:si>
    <x:t>win ESU설치</x:t>
  </x:si>
  <x:si>
    <x:t>2024년12월</x:t>
  </x:si>
  <x:si>
    <x:t>교사 예비용 15</x:t>
  </x:si>
  <x:si>
    <x:t>교사 예비용 12</x:t>
  </x:si>
  <x:si>
    <x:t>(교사예비용2였음)</x:t>
  </x:si>
  <x:si>
    <x:t>WEE 클래스(여분)</x:t>
  </x:si>
  <x:si>
    <x:t>2025.3.27</x:t>
  </x:si>
  <x:si>
    <x:t>교사 예비용 17</x:t>
  </x:si>
  <x:si>
    <x:t>교사 예비용 18</x:t>
  </x:si>
  <x:si>
    <x:t>교사 예비용 14</x:t>
  </x:si>
  <x:si>
    <x:t>현재 레드스톤2019</x:t>
  </x:si>
  <x:si>
    <x:t>교사 예비용 16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</x:si>
  <x:si>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b val="1"/>
            <x:strike val="1"/>
            <hs:strikeoutType val="1"/>
            <hs:strikeoutShape val="solid"/>
            <hs:strikeout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00"/>
            <x:b val="1"/>
            <x:strike val="1"/>
          </x:rPr>
        </mc:Fallback>
      </mc:AlternateContent>
      <x:t>iam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strike val="1"/>
            <hs:strikeoutType val="1"/>
            <hs:strikeoutShape val="solid"/>
            <hs:strikeout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00"/>
            <x:strike val="1"/>
          </x:rPr>
        </mc:Fallback>
      </mc:AlternateContent>
      <x:t xml:space="preserve"> Teacher</x:t>
    </x:r>
  </x:si>
  <x:si>
    <x:t>10.51.91.4</x:t>
  </x:si>
  <x:si>
    <x:t>202512-0956</x:t>
  </x:si>
  <x:si>
    <x:t>10.51.90.87</x:t>
  </x:si>
  <x:si>
    <x:t>2025년도 확인</x:t>
  </x:si>
  <x:si>
    <x:t>반납함(2025.7)</x:t>
  </x:si>
  <x:si>
    <x:t>불용(25.12)</x:t>
  </x:si>
  <x:si>
    <x:t>10.51.91.2</x:t>
  </x:si>
  <x:si>
    <x:t>202412-0906</x:t>
  </x:si>
  <x:si>
    <x:t>10.51.91.3</x:t>
  </x:si>
  <x:si>
    <x:t>10.51.91.1</x:t>
  </x:si>
  <x:si>
    <x:t>202512-0957</x:t>
  </x:si>
  <x:si>
    <x:t>HL-L8260CDN</x:t>
  </x:si>
  <x:si>
    <x:t>교사 예비용 13</x:t>
  </x:si>
  <x:si>
    <x:t>10.51.90.72</x:t>
  </x:si>
  <x:si>
    <x:t>10.54.36.19</x:t>
  </x:si>
  <x:si>
    <x:t>10.51.90.76</x:t>
  </x:si>
  <x:si>
    <x:t>10.54.36.12</x:t>
  </x:si>
  <x:si>
    <x:t>10.54.36.14</x:t>
  </x:si>
  <x:si>
    <x:t>10.54.36.11</x:t>
  </x:si>
  <x:si>
    <x:t>10.51.90.74</x:t>
  </x:si>
  <x:si>
    <x:t>10.54.36.22</x:t>
  </x:si>
  <x:si>
    <x:t>10.54.36.20</x:t>
  </x:si>
  <x:si>
    <x:t>10.51.90.75</x:t>
  </x:si>
  <x:si>
    <x:t>202412-0907</x:t>
  </x:si>
  <x:si>
    <x:t>10.54.36.18</x:t>
  </x:si>
  <x:si>
    <x:t>202412-0905</x:t>
  </x:si>
  <x:si>
    <x:t>10.51.90.71</x:t>
  </x:si>
  <x:si>
    <x:t>10.54.36.21</x:t>
  </x:si>
  <x:si>
    <x:t>10.51.90.86</x:t>
  </x:si>
  <x:si>
    <x:t>10.51.90.79</x:t>
  </x:si>
  <x:si>
    <x:t>10.54.36.13</x:t>
  </x:si>
  <x:si>
    <x:t>Kyocera document solutions, CN/ECOSYS P7040cdnG, A4/컬러40/흑백40ppm</x:t>
  </x:si>
  <x:si>
    <x:t>삼보 DG481-GA51-011, Intel Core i5 12500(3GHz)</x:t>
  </x:si>
  <x:si>
    <x:t>http://218.234.92.181:8080/DLPCenter</x:t>
  </x:si>
  <x:si>
    <x:t>잉크젯프린터, 한국HP, K5400DN, A4/컬러, 35/36ppm</x:t>
  </x:si>
  <x:si>
    <x:t>Fuji xerox, DocuPrint-C1190FS, 컬러레이저</x:t>
  </x:si>
  <x:si>
    <x:t>잉크젯프린터, 삼성전자, MJC-8500, A4/컬러, 18/26ppm</x:t>
  </x:si>
  <x:si>
    <x:t>Kyoceramita, CN/FS-6975DNG, A3/흑백 35ppm</x:t>
  </x:si>
  <x:si>
    <x:t>한국후지제록스, DocuPrint 305, A3/흑백, 30ppm</x:t>
  </x:si>
  <x:si>
    <x:t>Kyoceramita, CN/FS-1120DG, A4/흑백 30ppm</x:t>
  </x:si>
  <x:si>
    <x:t>http://egms.ken.go.kr</x:t>
  </x:si>
  <x:si>
    <x:t>Privay-I 관리자 계정 목록(구)</x:t>
  </x:si>
  <x:si>
    <x:t>한국후지제록스, JP/DCII 2055G</x:t>
  </x:si>
  <x:si>
    <x:t>Kyocera TASKalfa 3510i</x:t>
  </x:si>
  <x:si>
    <x:t>3-2-07-3-1-025-7-0017</x:t>
  </x:si>
  <x:si>
    <x:t>inchanggo@inchang.hs.kr</x:t>
  </x:si>
  <x:si>
    <x:t>잉크젯프린터, 한국HP, 450, A4</x:t>
  </x:si>
  <x:si>
    <x:t>ASUSTek COMPUTER INC.</x:t>
  </x:si>
  <x:si>
    <x:t>3-2-07-3-1-025-7-0015</x:t>
  </x:si>
  <x:si>
    <x:t>HP DesignJet Z6 24in</x:t>
  </x:si>
  <x:si>
    <x:t>11/28 현재 219,000장 인쇄</x:t>
  </x:si>
  <x:si>
    <x:t>MVNIU-IGEVP-NSYAW-XFHQI</x:t>
  </x:si>
  <x:si>
    <x:t>3-2-07-3-1-025-7-0002</x:t>
  </x:si>
  <x:si>
    <x:t>3-2-07-3-1-025-7-0016</x:t>
  </x:si>
  <x:si>
    <x:t>Kyocera TASKalfa 3011i</x:t>
  </x:si>
  <x:si>
    <x:t>Kyocera ECOSYS M5526cdn</x:t>
  </x:si>
  <x:si>
    <x:t>3-2-07-3-1-025-7-0010</x:t>
  </x:si>
  <x:si>
    <x:t>Canon imageRUNNER 2204F</x:t>
  </x:si>
  <x:si>
    <x:t>https://my.inames.co.kr</x:t>
  </x:si>
  <x:si>
    <x:t>3-2-07-3-1-025-7-0014</x:t>
  </x:si>
  <x:si>
    <x:t>padlet@inchang.hs.kr</x:t>
  </x:si>
  <x:si>
    <x:t xml:space="preserve">DocuCentre-III 3007 </x:t>
  </x:si>
  <x:si>
    <x:t>5층 면학실 AP 본체 1개+위성 2개</x:t>
  </x:si>
  <x:si>
    <x:t>Document Centre C250</x:t>
  </x:si>
  <x:si>
    <x:t>Intel Core i5-10210U</x:t>
  </x:si>
  <x:si>
    <x:t>Kyocera TASKalfa 4002i</x:t>
  </x:si>
  <x:si>
    <x:t>Kyocera ECOSYS P6235cdn</x:t>
  </x:si>
  <x:si>
    <x:t>3-2-07-3-1-025-7-0006</x:t>
  </x:si>
  <x:si>
    <x:t>3-2-07-3-1-025-7-0005</x:t>
  </x:si>
  <x:si>
    <x:t>Kyocera TASKalfa 3253ci</x:t>
  </x:si>
  <x:si>
    <x:t>3-2-07-3-1-025-7-0007</x:t>
  </x:si>
  <x:si>
    <x:t>Intel Core i5 1135G7</x:t>
  </x:si>
  <x:si>
    <x:t>https://gsms.goe.go.kr/</x:t>
  </x:si>
  <x:si>
    <x:t>3-2-07-3-1-025-7-0009</x:t>
  </x:si>
  <x:si>
    <x:t>3-2-07-3-1-025-7-0012</x:t>
  </x:si>
  <x:si>
    <x:t>Kyocera TASKalfa 5003i</x:t>
  </x:si>
  <x:si>
    <x:t>(옵션)신도리코, 자동원고송고장치, ADF</x:t>
  </x:si>
  <x:si>
    <x:t>3-2-07-3-1-025-7-0011</x:t>
  </x:si>
  <x:si>
    <x:t>3-2-07-3-1-025-7-0013</x:t>
  </x:si>
  <x:si>
    <x:t>3-2-07-3-1-025-7-0004</x:t>
  </x:si>
  <x:si>
    <x:t>3개 과학실험실 AP 본체 1개+위성 2개</x:t>
  </x:si>
  <x:si>
    <x:t>3-2-07-3-1-025-7-0003</x:t>
  </x:si>
  <x:si>
    <x:t>Kyocera TASKalfa 3554ci</x:t>
  </x:si>
  <x:si>
    <x:t>3-2-07-3-1-025-7-0008</x:t>
  </x:si>
  <x:si>
    <x:t>3-2-07-3-1-025-7-0001</x:t>
  </x:si>
  <x:si>
    <x:r>
      <x:t>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</x:rPr>
        </mc:Fallback>
      </mc:AlternateContent>
      <x:t xml:space="preserve"> </x:t>
    </x:r>
  </x:si>
  <x:si>
    <x:r>
      <x:t>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</x:rPr>
        </mc:Fallback>
      </mc:AlternateContent>
      <x:t xml:space="preserve"> </x:t>
    </x:r>
  </x:si>
  <x:si>
    <x:t>10.51.91.47</x:t>
  </x:si>
  <x:si>
    <x:t>10.51.91.36</x:t>
  </x:si>
  <x:si>
    <x:t>10.51.91.45</x:t>
  </x:si>
  <x:si>
    <x:t>10.51.91.35</x:t>
  </x:si>
  <x:si>
    <x:t>10.51.91.62</x:t>
  </x:si>
  <x:si>
    <x:t>10.51.91.49</x:t>
  </x:si>
  <x:si>
    <x:t>10.51.91.37</x:t>
  </x:si>
  <x:si>
    <x:t>10.51.91.39</x:t>
  </x:si>
  <x:si>
    <x:t>10.51.91.34</x:t>
  </x:si>
  <x:si>
    <x:t>10.51.91.46</x:t>
  </x:si>
  <x:si>
    <x:t>10.51.91.43</x:t>
  </x:si>
  <x:si>
    <x:t>10.51.91.41</x:t>
  </x:si>
  <x:si>
    <x:t>10.51.91.42</x:t>
  </x:si>
  <x:si>
    <x:t>10.51.91.40</x:t>
  </x:si>
  <x:si>
    <x:t>10.51.91.48</x:t>
  </x:si>
  <x:si>
    <x:t>10.51.91.44</x:t>
  </x:si>
  <x:si>
    <x:t>10.51.91.66</x:t>
  </x:si>
  <x:si>
    <x:t>10.51.91.61</x:t>
  </x:si>
  <x:si>
    <x:t>10.51.91.65</x:t>
  </x:si>
  <x:si>
    <x:t>10.51.91.68</x:t>
  </x:si>
  <x:si>
    <x:t>10.51.91.69</x:t>
  </x:si>
  <x:si>
    <x:t>10.51.91.60</x:t>
  </x:si>
  <x:si>
    <x:t>10.51.91.67</x:t>
  </x:si>
  <x:si>
    <x:t>10.51.91.71</x:t>
  </x:si>
  <x:si>
    <x:t>10.51.91.74</x:t>
  </x:si>
  <x:si>
    <x:t>10.51.91.76</x:t>
  </x:si>
  <x:si>
    <x:t>10.51.91.70</x:t>
  </x:si>
  <x:si>
    <x:t>10.51.91.50</x:t>
  </x:si>
  <x:si>
    <x:t>10.51.91.73</x:t>
  </x:si>
  <x:si>
    <x:t>10.51.91.72</x:t>
  </x:si>
  <x:si>
    <x:t>10.51.91.63</x:t>
  </x:si>
  <x:si>
    <x:t>10.51.91.64</x:t>
  </x:si>
  <x:si>
    <x:t>10.51.91.78</x:t>
  </x:si>
  <x:si>
    <x:t>10.51.91.84</x:t>
  </x:si>
  <x:si>
    <x:t>10.51.91.77</x:t>
  </x:si>
  <x:si>
    <x:t>10.51.91.80</x:t>
  </x:si>
  <x:si>
    <x:t>10.51.91.82</x:t>
  </x:si>
  <x:si>
    <x:t>10.51.91.90</x:t>
  </x:si>
  <x:si>
    <x:t>10.51.91.94</x:t>
  </x:si>
  <x:si>
    <x:t>10.51.91.79</x:t>
  </x:si>
  <x:si>
    <x:t>10.51.91.75</x:t>
  </x:si>
  <x:si>
    <x:t>10.51.91.85</x:t>
  </x:si>
  <x:si>
    <x:t>10.51.91.83</x:t>
  </x:si>
  <x:si>
    <x:t>10.51.91.88</x:t>
  </x:si>
  <x:si>
    <x:t>10.51.91.86</x:t>
  </x:si>
  <x:si>
    <x:t>10.51.91.81</x:t>
  </x:si>
  <x:si>
    <x:t>10.51.91.87</x:t>
  </x:si>
  <x:si>
    <x:t>10.51.91.89</x:t>
  </x:si>
  <x:si>
    <x:t>10.51.91.93</x:t>
  </x:si>
  <x:si>
    <x:t>10.51.91.97</x:t>
  </x:si>
  <x:si>
    <x:t>10.51.91.96</x:t>
  </x:si>
  <x:si>
    <x:t>10.54.36.8</x:t>
  </x:si>
  <x:si>
    <x:t>10.54.36.7</x:t>
  </x:si>
  <x:si>
    <x:t>10.54.36.6</x:t>
  </x:si>
  <x:si>
    <x:t>10.51.91.95</x:t>
  </x:si>
  <x:si>
    <x:t>10.51.91.98</x:t>
  </x:si>
  <x:si>
    <x:t>10.51.91.99</x:t>
  </x:si>
  <x:si>
    <x:t>10.54.36.5</x:t>
  </x:si>
  <x:si>
    <x:t>10.54.36.3</x:t>
  </x:si>
  <x:si>
    <x:t>10.51.91.91</x:t>
  </x:si>
  <x:si>
    <x:t>10.54.36.2</x:t>
  </x:si>
  <x:si>
    <x:t>10.54.36.1</x:t>
  </x:si>
  <x:si>
    <x:t>10.51.91.92</x:t>
  </x:si>
  <x:si>
    <x:t>10.54.36.4</x:t>
  </x:si>
  <x:si>
    <x:t>10.54.36.25</x:t>
  </x:si>
  <x:si>
    <x:t>10.54.36.32</x:t>
  </x:si>
  <x:si>
    <x:t>10.54.36.28</x:t>
  </x:si>
  <x:si>
    <x:t>10.54.36.29</x:t>
  </x:si>
  <x:si>
    <x:t>10.54.36.24</x:t>
  </x:si>
  <x:si>
    <x:t>10.54.36.23</x:t>
  </x:si>
  <x:si>
    <x:t>10.54.36.9</x:t>
  </x:si>
  <x:si>
    <x:t>10.54.36.35</x:t>
  </x:si>
  <x:si>
    <x:t>10.54.36.33</x:t>
  </x:si>
  <x:si>
    <x:t>10.54.36.31</x:t>
  </x:si>
  <x:si>
    <x:t>10.54.36.34</x:t>
  </x:si>
  <x:si>
    <x:t>10.54.36.36</x:t>
  </x:si>
  <x:si>
    <x:t>10.54.36.37</x:t>
  </x:si>
  <x:si>
    <x:t>10.54.36.30</x:t>
  </x:si>
  <x:si>
    <x:t>10.54.36.26</x:t>
  </x:si>
  <x:si>
    <x:t>10.54.36.27</x:t>
  </x:si>
  <x:si>
    <x:t>10.54.36.47</x:t>
  </x:si>
  <x:si>
    <x:t>10.54.36.43</x:t>
  </x:si>
  <x:si>
    <x:t>10.54.36.49</x:t>
  </x:si>
  <x:si>
    <x:t>10.54.36.42</x:t>
  </x:si>
  <x:si>
    <x:t>10.54.36.50</x:t>
  </x:si>
  <x:si>
    <x:t>10.54.36.53</x:t>
  </x:si>
  <x:si>
    <x:t>10.54.36.54</x:t>
  </x:si>
  <x:si>
    <x:t>10.54.36.45</x:t>
  </x:si>
  <x:si>
    <x:t>10.54.36.57</x:t>
  </x:si>
  <x:si>
    <x:t>10.54.36.48</x:t>
  </x:si>
  <x:si>
    <x:t>10.54.36.41</x:t>
  </x:si>
  <x:si>
    <x:t>10.54.36.44</x:t>
  </x:si>
  <x:si>
    <x:t>10.54.36.40</x:t>
  </x:si>
  <x:si>
    <x:t>10.54.36.46</x:t>
  </x:si>
  <x:si>
    <x:t>10.54.36.39</x:t>
  </x:si>
  <x:si>
    <x:t>10.54.36.38</x:t>
  </x:si>
  <x:si>
    <x:t>10.54.36.68</x:t>
  </x:si>
  <x:si>
    <x:t>10.54.36.62</x:t>
  </x:si>
  <x:si>
    <x:t>10.54.36.66</x:t>
  </x:si>
  <x:si>
    <x:t>10.54.36.67</x:t>
  </x:si>
  <x:si>
    <x:t>10.54.36.69</x:t>
  </x:si>
  <x:si>
    <x:t>10.54.36.58</x:t>
  </x:si>
  <x:si>
    <x:t>10.54.36.56</x:t>
  </x:si>
  <x:si>
    <x:t>10.54.36.63</x:t>
  </x:si>
  <x:si>
    <x:t>10.54.36.55</x:t>
  </x:si>
  <x:si>
    <x:t>10.54.36.60</x:t>
  </x:si>
  <x:si>
    <x:t>10.54.36.64</x:t>
  </x:si>
  <x:si>
    <x:t>10.54.36.65</x:t>
  </x:si>
  <x:si>
    <x:t>10.54.36.70</x:t>
  </x:si>
  <x:si>
    <x:t>10.54.36.76</x:t>
  </x:si>
  <x:si>
    <x:t>10.54.36.59</x:t>
  </x:si>
  <x:si>
    <x:t>10.54.36.61</x:t>
  </x:si>
  <x:si>
    <x:t>10.54.36.78</x:t>
  </x:si>
  <x:si>
    <x:t>10.54.36.77</x:t>
  </x:si>
  <x:si>
    <x:t>10.54.36.79</x:t>
  </x:si>
  <x:si>
    <x:t>10.54.36.80</x:t>
  </x:si>
  <x:si>
    <x:t>10.51.90.93</x:t>
  </x:si>
  <x:si>
    <x:t>10.51.91.8</x:t>
  </x:si>
  <x:si>
    <x:t>10.51.91.6</x:t>
  </x:si>
  <x:si>
    <x:t>202504-0959</x:t>
  </x:si>
  <x:si>
    <x:t>10.51.91.7</x:t>
  </x:si>
  <x:si>
    <x:t>202504-0958</x:t>
  </x:si>
  <x:si>
    <x:t>10.51.90.80</x:t>
  </x:si>
  <x:si>
    <x:t>10.51.90.73</x:t>
  </x:si>
  <x:si>
    <x:t>10.51.90.85</x:t>
  </x:si>
  <x:si>
    <x:t>10.51.90.78</x:t>
  </x:si>
  <x:si>
    <x:t>10.51.90.97</x:t>
  </x:si>
  <x:si>
    <x:t>202504-0955</x:t>
  </x:si>
  <x:si>
    <x:t>202504-0954</x:t>
  </x:si>
  <x:si>
    <x:t>10.51.90.88</x:t>
  </x:si>
  <x:si>
    <x:t>10.51.90.90</x:t>
  </x:si>
  <x:si>
    <x:t>10.51.90.77</x:t>
  </x:si>
  <x:si>
    <x:t>10.51.91.38</x:t>
  </x:si>
  <x:si>
    <x:t>10.51.91.33</x:t>
  </x:si>
  <x:si>
    <x:t>10.51.91.29</x:t>
  </x:si>
  <x:si>
    <x:t>10.51.91.13</x:t>
  </x:si>
  <x:si>
    <x:t>10.51.91.30</x:t>
  </x:si>
  <x:si>
    <x:t>10.51.91.18</x:t>
  </x:si>
  <x:si>
    <x:t>10.51.91.25</x:t>
  </x:si>
  <x:si>
    <x:t>10.51.91.28</x:t>
  </x:si>
  <x:si>
    <x:t>10.51.91.22</x:t>
  </x:si>
  <x:si>
    <x:t>10.51.91.20</x:t>
  </x:si>
  <x:si>
    <x:t>10.51.91.26</x:t>
  </x:si>
  <x:si>
    <x:t>10.51.91.11</x:t>
  </x:si>
  <x:si>
    <x:t>10.51.91.23</x:t>
  </x:si>
  <x:si>
    <x:t>10.51.91.21</x:t>
  </x:si>
  <x:si>
    <x:t>10.51.91.24</x:t>
  </x:si>
  <x:si>
    <x:t>10.51.91.27</x:t>
  </x:si>
  <x:si>
    <x:t>10.51.91.5</x:t>
  </x:si>
  <x:si>
    <x:t>10.51.91.31</x:t>
  </x:si>
  <x:si>
    <x:t>10.51.90.81</x:t>
  </x:si>
  <x:si>
    <x:t>202212-0916</x:t>
  </x:si>
  <x:si>
    <x:t>10.51.91.32</x:t>
  </x:si>
  <x:si>
    <x:t>10.51.90.84</x:t>
  </x:si>
  <x:si>
    <x:t>202212-0917</x:t>
  </x:si>
  <x:si>
    <x:t>10.51.90.83</x:t>
  </x:si>
  <x:si>
    <x:t>10.51.90.94</x:t>
  </x:si>
  <x:si>
    <x:t>202212-0918</x:t>
  </x:si>
  <x:si>
    <x:t>10.54.36.16</x:t>
  </x:si>
  <x:si>
    <x:t>10.51.91.10</x:t>
  </x:si>
  <x:si>
    <x:t>10.54.36.15</x:t>
  </x:si>
  <x:si>
    <x:t>10.54.36.74</x:t>
  </x:si>
  <x:si>
    <x:t>10.54.36.73</x:t>
  </x:si>
  <x:si>
    <x:t>10.51.91.12</x:t>
  </x:si>
  <x:si>
    <x:t>10.51.91.19</x:t>
  </x:si>
  <x:si>
    <x:t>10.54.36.52</x:t>
  </x:si>
  <x:si>
    <x:t>10.51.91.14</x:t>
  </x:si>
  <x:si>
    <x:t>10.54.36.75</x:t>
  </x:si>
  <x:si>
    <x:t>10.54.36.17</x:t>
  </x:si>
  <x:si>
    <x:t>10.54.36.71</x:t>
  </x:si>
  <x:si>
    <x:t>10.54.36.51</x:t>
  </x:si>
  <x:si>
    <x:t>10.54.36.72</x:t>
  </x:si>
  <x:si>
    <x:t>10.51.91.9</x:t>
  </x:si>
  <x:si>
    <x:t>10.51.90.92</x:t>
  </x:si>
  <x:si>
    <x:t>10.51.90.89</x:t>
  </x:si>
  <x:si>
    <x:t>10.51.90.96</x:t>
  </x:si>
  <x:si>
    <x:t>202504-0956</x:t>
  </x:si>
  <x:si>
    <x:t>10.51.90.91</x:t>
  </x:si>
  <x:si>
    <x:t>10.51.90.82</x:t>
  </x:si>
  <x:si>
    <x:t>10.51.90.95</x:t>
  </x:si>
  <x:si>
    <x:t>202504-0957</x:t>
  </x:si>
  <x:si>
    <x:r>
      <x:t xml:space="preserve">WINDOW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0000"/>
          </x:rPr>
        </mc:Fallback>
      </mc:AlternateContent>
      <x:t>10</x:t>
    </x:r>
  </x:si>
  <x:si>
    <x:r>
      <x:t>예전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5층학생통합지원실1</x:t>
    </x:r>
  </x:si>
  <x:si>
    <x:t>에이텍 A6SBG6P</x:t>
  </x:si>
  <x:si>
    <x:t>202409-0938</x:t>
  </x:si>
  <x:si>
    <x:t>202409-0934</x:t>
  </x:si>
  <x:si>
    <x:t>202503-0908</x:t>
  </x:si>
  <x:si>
    <x:t>202503-0909</x:t>
  </x:si>
  <x:si>
    <x:t>202409-0937</x:t>
  </x:si>
  <x:si>
    <x:t>202409-0936</x:t>
  </x:si>
  <x:si>
    <x:t>202409-0939</x:t>
  </x:si>
  <x:si>
    <x:t>202409-0935</x:t>
  </x:si>
  <x:si>
    <x:t>202409-0932</x:t>
  </x:si>
  <x:si>
    <x:t>202409-0931</x:t>
  </x:si>
  <x:si>
    <x:t>202409-0933</x:t>
  </x:si>
  <x:si>
    <x:t>202409-0930</x:t>
  </x:si>
  <x:si>
    <x:t>202402-0917</x:t>
  </x:si>
  <x:si>
    <x:t>성주컴텍 TD210-GCL23S</x:t>
  </x:si>
  <x:si>
    <x:t>삼성 NT300E5L-K51G</x:t>
  </x:si>
  <x:si>
    <x:t>삼성 NT500R5L-M01G</x:t>
  </x:si>
  <x:si>
    <x:t>삼성 NT550P7C-S04G</x:t>
  </x:si>
  <x:si>
    <x:t>삼보 DG375-GA31-0BPS</x:t>
  </x:si>
  <x:si>
    <x:t>레드스톤 VITO RMS-565S</x:t>
  </x:si>
  <x:si>
    <x:t>주연테크 JY-환타스틱IA49P</x:t>
  </x:si>
  <x:si>
    <x:t>주연테크 JY-네이션스IA45K</x:t>
  </x:si>
  <x:si>
    <x:t>삼보 N5800-G050-OU02</x:t>
  </x:si>
  <x:si>
    <x:t>삼성 CN/NT550XCJ-K13G</x:t>
  </x:si>
  <x:si>
    <x:t>삼성 NT550XDA-KG03G</x:t>
  </x:si>
  <x:si>
    <x:t>엘지 B55PQ.AS5G20D</x:t>
  </x:si>
  <x:si>
    <x:t>레드스톤시스템 RHS-549PE</x:t>
  </x:si>
  <x:si>
    <x:t>삼성 NT550XED-KG03G</x:t>
  </x:si>
  <x:si>
    <x:t>삼성 NT550XDA-KG01G</x:t>
  </x:si>
  <x:si>
    <x:t>삼성 NT500P7C-S04G</x:t>
  </x:si>
  <x:si>
    <x:t>엘지 CN/15Z960-GP50KN</x:t>
  </x:si>
  <x:si>
    <x:t>삼성 NT370E5J-K06G</x:t>
  </x:si>
  <x:si>
    <x:t>레드스톤 VITO RMS-565S1</x:t>
  </x:si>
  <x:si>
    <x:t>성주컴텍 SD100-GCR22S</x:t>
  </x:si>
  <x:si>
    <x:t>삼성 NT370E5J-K04G</x:t>
  </x:si>
  <x:si>
    <x:t>대우루컴즈 DS361A-245430</x:t>
  </x:si>
  <x:si>
    <x:t>다나와컴퓨터 TSF-P16MBC</x:t>
  </x:si>
  <x:si>
    <x:t>삼보 DR281-GS51-012 intel core i5</x:t>
  </x:si>
  <x:si>
    <x:t>교과교실(수학)</x:t>
  </x:si>
  <x:si>
    <x:t>10.51.90.104</x:t>
  </x:si>
  <x:si>
    <x:t>10.51.90.120</x:t>
  </x:si>
  <x:si>
    <x:t>10.51.90.140</x:t>
  </x:si>
  <x:si>
    <x:t>10.51.90.134</x:t>
  </x:si>
  <x:si>
    <x:t>10.51.90.145</x:t>
  </x:si>
  <x:si>
    <x:t>10.51.90.143</x:t>
  </x:si>
  <x:si>
    <x:t>10.51.90.139</x:t>
  </x:si>
  <x:si>
    <x:t>10.51.90.149</x:t>
  </x:si>
  <x:si>
    <x:t>20030228-0003</x:t>
  </x:si>
  <x:si>
    <x:t>20030529-0190</x:t>
  </x:si>
  <x:si>
    <x:t>10.51.91.162</x:t>
  </x:si>
  <x:si>
    <x:t>10.51.90.105</x:t>
  </x:si>
  <x:si>
    <x:t>20030520-0224</x:t>
  </x:si>
  <x:si>
    <x:t>20021001-0173</x:t>
  </x:si>
  <x:si>
    <x:t>20030228-0002</x:t>
  </x:si>
  <x:si>
    <x:t>20021001-0172</x:t>
  </x:si>
  <x:si>
    <x:t>20021001-0170</x:t>
  </x:si>
  <x:si>
    <x:t>10.51.90.103</x:t>
  </x:si>
  <x:si>
    <x:t>20021001-0169</x:t>
  </x:si>
  <x:si>
    <x:t>20021001-0148</x:t>
  </x:si>
  <x:si>
    <x:t>20021001-0171</x:t>
  </x:si>
  <x:si>
    <x:t>10.51.90.141</x:t>
  </x:si>
  <x:si>
    <x:t>20021001-0161</x:t>
  </x:si>
  <x:si>
    <x:t>20021001-0150</x:t>
  </x:si>
  <x:si>
    <x:t>20021001-0167</x:t>
  </x:si>
  <x:si>
    <x:t>20021001-0151</x:t>
  </x:si>
  <x:si>
    <x:t>20020628-0057</x:t>
  </x:si>
  <x:si>
    <x:t>10.51.90.116</x:t>
  </x:si>
  <x:si>
    <x:t>20021001-0166</x:t>
  </x:si>
  <x:si>
    <x:t>20021001-0155</x:t>
  </x:si>
  <x:si>
    <x:t>20021001-0147</x:t>
  </x:si>
  <x:si>
    <x:t>20021001-0165</x:t>
  </x:si>
  <x:si>
    <x:t>10.51.90.154</x:t>
  </x:si>
  <x:si>
    <x:t>10.51.90.125</x:t>
  </x:si>
  <x:si>
    <x:t>20021001-0160</x:t>
  </x:si>
  <x:si>
    <x:t>10.51.91.163</x:t>
  </x:si>
  <x:si>
    <x:t>10.51.90.122</x:t>
  </x:si>
  <x:si>
    <x:t>황서희</x:t>
  </x:si>
  <x:si>
    <x:t>유미라</x:t>
  </x:si>
  <x:si>
    <x:t>이주선</x:t>
  </x:si>
  <x:si>
    <x:t>전부영</x:t>
  </x:si>
  <x:si>
    <x:t>원선일</x:t>
  </x:si>
  <x:si>
    <x:t>허정화</x:t>
  </x:si>
  <x:si>
    <x:t>이준호</x:t>
  </x:si>
  <x:si>
    <x:t>김용숙</x:t>
  </x:si>
  <x:si>
    <x:t>원영주</x:t>
  </x:si>
  <x:si>
    <x:t>김두순</x:t>
  </x:si>
  <x:si>
    <x:t>맹수용</x:t>
  </x:si>
  <x:si>
    <x:t>정다운</x:t>
  </x:si>
  <x:si>
    <x:t>최다연</x:t>
  </x:si>
  <x:si>
    <x:t>정형은</x:t>
  </x:si>
  <x:si>
    <x:t>신진태</x:t>
  </x:si>
  <x:si>
    <x:t>임우혁</x:t>
  </x:si>
  <x:si>
    <x:t>윤샤롬</x:t>
  </x:si>
  <x:si>
    <x:t>황경환</x:t>
  </x:si>
  <x:si>
    <x:t>손승태</x:t>
  </x:si>
  <x:si>
    <x:t>허담언</x:t>
  </x:si>
  <x:si>
    <x:t>김용천</x:t>
  </x:si>
  <x:si>
    <x:t>고진아</x:t>
  </x:si>
  <x:si>
    <x:t>최용주</x:t>
  </x:si>
  <x:si>
    <x:t>나정훈</x:t>
  </x:si>
  <x:si>
    <x:t>고민숙</x:t>
  </x:si>
  <x:si>
    <x:t>유영복</x:t>
  </x:si>
  <x:si>
    <x:t>우현주</x:t>
  </x:si>
  <x:si>
    <x:t>권예란</x:t>
  </x:si>
  <x:si>
    <x:t>정현숙</x:t>
  </x:si>
  <x:si>
    <x:t>전혜림</x:t>
  </x:si>
  <x:si>
    <x:t>황은선</x:t>
  </x:si>
  <x:si>
    <x:t>김강일</x:t>
  </x:si>
  <x:si>
    <x:t>박필승</x:t>
  </x:si>
  <x:si>
    <x:t>황근우</x:t>
  </x:si>
  <x:si>
    <x:t>최용순</x:t>
  </x:si>
  <x:si>
    <x:t>탁지완</x:t>
  </x:si>
  <x:si>
    <x:t>김현우</x:t>
  </x:si>
  <x:si>
    <x:t>정보람</x:t>
  </x:si>
  <x:si>
    <x:t>한혜숙</x:t>
  </x:si>
  <x:si>
    <x:t>정진희</x:t>
  </x:si>
  <x:si>
    <x:t>김채은</x:t>
  </x:si>
  <x:si>
    <x:t>김형열</x:t>
  </x:si>
  <x:si>
    <x:t>박혜리</x:t>
  </x:si>
  <x:si>
    <x:t>천지은</x:t>
  </x:si>
  <x:si>
    <x:t>김혜은</x:t>
  </x:si>
  <x:si>
    <x:t>단가</x:t>
  </x:si>
  <x:si>
    <x:t>구입</x:t>
  </x:si>
  <x:si>
    <x:t>교정부</x:t>
  </x:si>
  <x:si>
    <x:t>WEE</x:t>
  </x:si>
  <x:si>
    <x:t>용</x:t>
  </x:si>
  <x:si>
    <x:t>보건실</x:t>
  </x:si>
  <x:si>
    <x:t>교원용</x:t>
  </x:si>
  <x:si>
    <x:t>도서관</x:t>
  </x:si>
  <x:si>
    <x:t>플로터</x:t>
  </x:si>
  <x:si>
    <x:t>과학과</x:t>
  </x:si>
  <x:si>
    <x:t>이수경</x:t>
  </x:si>
  <x:si>
    <x:t>CPU</x:t>
  </x:si>
  <x:si>
    <x:t>노랑</x:t>
  </x:si>
  <x:si>
    <x:t>홍정희</x:t>
  </x:si>
  <x:si>
    <x:t>HDD</x:t>
  </x:si>
  <x:si>
    <x:t>소모</x:t>
  </x:si>
  <x:si>
    <x:t>홍승식</x:t>
  </x:si>
  <x:si>
    <x:t>김세연</x:t>
  </x:si>
  <x:si>
    <x:t>400</x:t>
  </x:si>
  <x:si>
    <x:t>윤은옥</x:t>
  </x:si>
  <x:si>
    <x:t>김태형</x:t>
  </x:si>
  <x:si>
    <x:t>HP</x:t>
  </x:si>
  <x:si>
    <x:t>박채은</x:t>
  </x:si>
  <x:si>
    <x:t>한수진</x:t>
  </x:si>
  <x:si>
    <x:t>민별</x:t>
  </x:si>
  <x:si>
    <x:t>김주영</x:t>
  </x:si>
  <x:si>
    <x:t>관리실</x:t>
  </x:si>
  <x:si>
    <x:t>체육과</x:t>
  </x:si>
  <x:si>
    <x:t>이채린</x:t>
  </x:si>
  <x:si>
    <x:t>인텔</x:t>
  </x:si>
  <x:si>
    <x:t>2-5</x:t>
  </x:si>
  <x:si>
    <x:t>Q25</x:t>
  </x:si>
  <x:si>
    <x:t>수량</x:t>
  </x:si>
  <x:si>
    <x:t>조립</x:t>
  </x:si>
  <x:si>
    <x:t>김현재</x:t>
  </x:si>
  <x:si>
    <x:t>사</x:t>
  </x:si>
  <x:si>
    <x:t>양은숙</x:t>
  </x:si>
  <x:si>
    <x:t>강애주</x:t>
  </x:si>
  <x:si>
    <x:t>정세희</x:t>
  </x:si>
  <x:si>
    <x:t>과학실</x:t>
  </x:si>
  <x:si>
    <x:t>박현아</x:t>
  </x:si>
  <x:si>
    <x:t>김선주</x:t>
  </x:si>
  <x:si>
    <x:t>전산실</x:t>
  </x:si>
  <x:si>
    <x:t>남궁환</x:t>
  </x:si>
  <x:si>
    <x:t>삼성</x:t>
  </x:si>
  <x:si>
    <x:t>IP</x:t>
  </x:si>
  <x:si>
    <x:t>이정희</x:t>
  </x:si>
  <x:si>
    <x:t>3-2</x:t>
  </x:si>
  <x:si>
    <x:t>160</x:t>
  </x:si>
  <x:si>
    <x:t>어학실</x:t>
  </x:si>
  <x:si>
    <x:t>이병훈</x:t>
  </x:si>
  <x:si>
    <x:t>이성아</x:t>
  </x:si>
  <x:si>
    <x:t>가사실</x:t>
  </x:si>
  <x:si>
    <x:t>100</x:t>
  </x:si>
  <x:si>
    <x:t>김정호</x:t>
  </x:si>
  <x:si>
    <x:t>이혜숙</x:t>
  </x:si>
  <x:si>
    <x:t>256</x:t>
  </x:si>
  <x:si>
    <x:t>학생1</x:t>
  </x:si>
  <x:si>
    <x:t>정보부</x:t>
  </x:si>
  <x:si>
    <x:t>김희란</x:t>
  </x:si>
  <x:si>
    <x:t>453</x:t>
  </x:si>
  <x:si>
    <x:t>노혜진</x:t>
  </x:si>
  <x:si>
    <x:t>강은정</x:t>
  </x:si>
  <x:si>
    <x:t>노은실</x:t>
  </x:si>
  <x:si>
    <x:t>곽은희</x:t>
  </x:si>
  <x:si>
    <x:t>이선영</x:t>
  </x:si>
  <x:si>
    <x:t>학생4</x:t>
  </x:si>
  <x:si>
    <x:t>공익</x:t>
  </x:si>
  <x:si>
    <x:t>전용범</x:t>
  </x:si>
  <x:si>
    <x:t>조희선</x:t>
  </x:si>
  <x:si>
    <x:t>미술실</x:t>
  </x:si>
  <x:si>
    <x:t>김홍란</x:t>
  </x:si>
  <x:si>
    <x:t>박성일</x:t>
  </x:si>
  <x:si>
    <x:t>학생7</x:t>
  </x:si>
  <x:si>
    <x:t>백승숙</x:t>
  </x:si>
  <x:si>
    <x:t>35</x:t>
  </x:si>
  <x:si>
    <x:t>최진규</x:t>
  </x:si>
  <x:si>
    <x:t>500</x:t>
  </x:si>
  <x:si>
    <x:t>야구부</x:t>
  </x:si>
  <x:si>
    <x:t>안정선</x:t>
  </x:si>
  <x:si>
    <x:t>김인섭</x:t>
  </x:si>
  <x:si>
    <x:t>이현정</x:t>
  </x:si>
  <x:si>
    <x:t>김현주</x:t>
  </x:si>
  <x:si>
    <x:t>하은영</x:t>
  </x:si>
  <x:si>
    <x:t>이재관</x:t>
  </x:si>
  <x:si>
    <x:t>김경란</x:t>
  </x:si>
  <x:si>
    <x:t>김주현</x:t>
  </x:si>
  <x:si>
    <x:t>박영미</x:t>
  </x:si>
  <x:si>
    <x:t>지연희</x:t>
  </x:si>
  <x:si>
    <x:t>박찬경</x:t>
  </x:si>
  <x:si>
    <x:t>이길수</x:t>
  </x:si>
  <x:si>
    <x:t>140</x:t>
  </x:si>
  <x:si>
    <x:t>학생2</x:t>
  </x:si>
  <x:si>
    <x:t>박송이</x:t>
  </x:si>
  <x:si>
    <x:t>남궁일</x:t>
  </x:si>
  <x:si>
    <x:t>박경숙</x:t>
  </x:si>
  <x:si>
    <x:t>전민기</x:t>
  </x:si>
  <x:si>
    <x:t>이성호</x:t>
  </x:si>
  <x:si>
    <x:t>주효숙</x:t>
  </x:si>
  <x:si>
    <x:t>120</x:t>
  </x:si>
  <x:si>
    <x:t>박효선</x:t>
  </x:si>
  <x:si>
    <x:t>최희성</x:t>
  </x:si>
  <x:si>
    <x:t>기현정</x:t>
  </x:si>
  <x:si>
    <x:t>행정실</x:t>
  </x:si>
  <x:si>
    <x:t>김선희</x:t>
  </x:si>
  <x:si>
    <x:t>심흥남</x:t>
  </x:si>
  <x:si>
    <x:t>곽도영</x:t>
  </x:si>
  <x:si>
    <x:t>이금구</x:t>
  </x:si>
  <x:si>
    <x:t>M8W</x:t>
  </x:si>
  <x:si>
    <x:t>512</x:t>
  </x:si>
  <x:si>
    <x:t>1G</x:t>
  </x:si>
  <x:si>
    <x:t>80</x:t>
  </x:si>
  <x:si>
    <x:t>학생3</x:t>
  </x:si>
  <x:si>
    <x:t>황윤경</x:t>
  </x:si>
  <x:si>
    <x:t>이응상</x:t>
  </x:si>
  <x:si>
    <x:t>이윤희</x:t>
  </x:si>
  <x:si>
    <x:t>박정희</x:t>
  </x:si>
  <x:si>
    <x:t>박성은</x:t>
  </x:si>
  <x:si>
    <x:t>권찬호</x:t>
  </x:si>
  <x:si>
    <x:t>서정훈</x:t>
  </x:si>
  <x:si>
    <x:t>김종미</x:t>
  </x:si>
  <x:si>
    <x:t>신선영</x:t>
  </x:si>
  <x:si>
    <x:t>권현진</x:t>
  </x:si>
  <x:si>
    <x:t>504</x:t>
  </x:si>
  <x:si>
    <x:t>기증</x:t>
  </x:si>
  <x:si>
    <x:t>조아영</x:t>
  </x:si>
  <x:si>
    <x:t>한남숙</x:t>
  </x:si>
  <x:si>
    <x:t>연제희</x:t>
  </x:si>
  <x:si>
    <x:t>학생5</x:t>
  </x:si>
  <x:si>
    <x:t>전성범</x:t>
  </x:si>
  <x:si>
    <x:t>이명헌</x:t>
  </x:si>
  <x:si>
    <x:t>학생8</x:t>
  </x:si>
  <x:si>
    <x:t>유진주</x:t>
  </x:si>
  <x:si>
    <x:t>김효진</x:t>
  </x:si>
  <x:si>
    <x:t>60</x:t>
  </x:si>
  <x:si>
    <x:t>학생6</x:t>
  </x:si>
  <x:si>
    <x:t>김진홍</x:t>
  </x:si>
  <x:si>
    <x:t>이경규</x:t>
  </x:si>
  <x:si>
    <x:t>111</x:t>
  </x:si>
  <x:si>
    <x:t>강민선</x:t>
  </x:si>
  <x:si>
    <x:t>이지영</x:t>
  </x:si>
  <x:si>
    <x:t>학생9</x:t>
  </x:si>
  <x:si>
    <x:t>최은희</x:t>
  </x:si>
  <x:si>
    <x:t>권지란</x:t>
  </x:si>
  <x:si>
    <x:t>차명희</x:t>
  </x:si>
  <x:si>
    <x:t>윤점옥</x:t>
  </x:si>
  <x:si>
    <x:t>P/W</x:t>
  </x:si>
  <x:si>
    <x:t>성윤정</x:t>
  </x:si>
  <x:si>
    <x:t>유혜영</x:t>
  </x:si>
  <x:si>
    <x:t>오경은</x:t>
  </x:si>
  <x:si>
    <x:t>384</x:t>
  </x:si>
  <x:si>
    <x:t>김혜욱</x:t>
  </x:si>
  <x:si>
    <x:t>정경란</x:t>
  </x:si>
  <x:si>
    <x:t>김병산</x:t>
  </x:si>
  <x:si>
    <x:t>류재현</x:t>
  </x:si>
  <x:si>
    <x:t>이봉아</x:t>
  </x:si>
  <x:si>
    <x:t>김지연</x:t>
  </x:si>
  <x:si>
    <x:t>전영애</x:t>
  </x:si>
  <x:si>
    <x:t>도서실</x:t>
  </x:si>
  <x:si>
    <x:t>768</x:t>
  </x:si>
  <x:si>
    <x:t>김재경</x:t>
  </x:si>
  <x:si>
    <x:t>노창희</x:t>
  </x:si>
  <x:si>
    <x:t>이격주</x:t>
  </x:si>
  <x:si>
    <x:t>R7G</x:t>
  </x:si>
  <x:si>
    <x:t>부서</x:t>
  </x:si>
  <x:si>
    <x:t>사용자</x:t>
  </x:si>
  <x:si>
    <x:t>엄헌영</x:t>
  </x:si>
  <x:si>
    <x:t>이성두</x:t>
  </x:si>
  <x:si>
    <x:t>오미영</x:t>
  </x:si>
  <x:si>
    <x:t>김미숙</x:t>
  </x:si>
  <x:si>
    <x:t>한세영</x:t>
  </x:si>
  <x:si>
    <x:t>김삼준</x:t>
  </x:si>
  <x:si>
    <x:t>하인자</x:t>
  </x:si>
  <x:si>
    <x:t xml:space="preserve">3층 </x:t>
  </x:si>
  <x:si>
    <x:t>하승주</x:t>
  </x:si>
  <x:si>
    <x:t>급식실</x:t>
  </x:si>
  <x:si>
    <x:t>김효열</x:t>
  </x:si>
  <x:si>
    <x:t>김주미</x:t>
  </x:si>
  <x:si>
    <x:t xml:space="preserve">1층 </x:t>
  </x:si>
  <x:si>
    <x:t>교장실</x:t>
  </x:si>
  <x:si>
    <x:t>조란</x:t>
  </x:si>
  <x:si>
    <x:t>오현석</x:t>
  </x:si>
  <x:si>
    <x:t>김흥태</x:t>
  </x:si>
  <x:si>
    <x:t>192</x:t>
  </x:si>
  <x:si>
    <x:t>16</x:t>
  </x:si>
  <x:si>
    <x:t>최경대</x:t>
  </x:si>
  <x:si>
    <x:t>최해원</x:t>
  </x:si>
  <x:si>
    <x:t>셩명</x:t>
  </x:si>
  <x:si>
    <x:t>서버실</x:t>
  </x:si>
  <x:si>
    <x:t>1-3</x:t>
  </x:si>
  <x:si>
    <x:t>류명수</x:t>
  </x:si>
  <x:si>
    <x:t>최보름</x:t>
  </x:si>
  <x:si>
    <x:t>2-6</x:t>
  </x:si>
  <x:si>
    <x:t>-</x:t>
  </x:si>
  <x:si>
    <x:t>WBT</x:t>
  </x:si>
  <x:si>
    <x:t>천윤경</x:t>
  </x:si>
  <x:si>
    <x:t>최은정</x:t>
  </x:si>
  <x:si>
    <x:t>종류</x:t>
  </x:si>
  <x:si>
    <x:t>인창고</x:t>
  </x:si>
  <x:si>
    <x:t>조문숙</x:t>
  </x:si>
  <x:si>
    <x:t>임시</x:t>
  </x:si>
  <x:si>
    <x:t>프린터</x:t>
  </x:si>
  <x:si>
    <x:t>전난영</x:t>
  </x:si>
  <x:si>
    <x:t>32</x:t>
  </x:si>
  <x:si>
    <x:t>이기영</x:t>
  </x:si>
  <x:si>
    <x:t>윤선영</x:t>
  </x:si>
  <x:si>
    <x:t>강은주</x:t>
  </x:si>
  <x:si>
    <x:t>시간표</x:t>
  </x:si>
  <x:si>
    <x:t>학생부</x:t>
  </x:si>
  <x:si>
    <x:t>암호</x:t>
  </x:si>
  <x:si>
    <x:t>특수반</x:t>
  </x:si>
  <x:si>
    <x:t>URL</x:t>
  </x:si>
  <x:si>
    <x:t>1대</x:t>
  </x:si>
  <x:si>
    <x:t>1-4</x:t>
  </x:si>
  <x:si>
    <x:t>화학실</x:t>
  </x:si>
  <x:si>
    <x:t>기 종</x:t>
  </x:si>
  <x:si>
    <x:t>대역폭</x:t>
  </x:si>
  <x:si>
    <x:t>2-8</x:t>
  </x:si>
  <x:si>
    <x:t>김이조</x:t>
  </x:si>
  <x:si>
    <x:t>64</x:t>
  </x:si>
  <x:si>
    <x:t>이재광</x:t>
  </x:si>
  <x:si>
    <x:t>공유기</x:t>
  </x:si>
  <x:si>
    <x:t>물리실</x:t>
  </x:si>
  <x:si>
    <x:t>김유리</x:t>
  </x:si>
  <x:si>
    <x:t>2</x:t>
  </x:si>
  <x:si>
    <x:t>ID</x:t>
  </x:si>
  <x:si>
    <x:t>2층</x:t>
  </x:si>
  <x:si>
    <x:t>3층</x:t>
  </x:si>
  <x:si>
    <x:t>대역</x:t>
  </x:si>
  <x:si>
    <x:t>음악실</x:t>
  </x:si>
  <x:si>
    <x:t>김종익</x:t>
  </x:si>
  <x:si>
    <x:t>추가</x:t>
  </x:si>
  <x:si>
    <x:t>방송실</x:t>
  </x:si>
  <x:si>
    <x:t>김호진</x:t>
  </x:si>
  <x:si>
    <x:t>320</x:t>
  </x:si>
  <x:si>
    <x:t>정은영</x:t>
  </x:si>
  <x:si>
    <x:t>랜탈</x:t>
  </x:si>
  <x:si>
    <x:t>진국현</x:t>
  </x:si>
  <x:si>
    <x:t>이남혁</x:t>
  </x:si>
  <x:si>
    <x:t>이동민</x:t>
  </x:si>
  <x:si>
    <x:t>1층</x:t>
  </x:si>
  <x:si>
    <x:t>과학부</x:t>
  </x:si>
  <x:si>
    <x:t>2대</x:t>
  </x:si>
  <x:si>
    <x:t>조리사</x:t>
  </x:si>
  <x:si>
    <x:t>이현실</x:t>
  </x:si>
  <x:si>
    <x:t>강지은</x:t>
  </x:si>
  <x:si>
    <x:t>소강당</x:t>
  </x:si>
  <x:si>
    <x:t>1-2</x:t>
  </x:si>
  <x:si>
    <x:t>백양현</x:t>
  </x:si>
  <x:si>
    <x:t xml:space="preserve">  </x:t>
  </x:si>
  <x:si>
    <x:t>노병철</x:t>
  </x:si>
  <x:si>
    <x:t>김정아</x:t>
  </x:si>
  <x:si>
    <x:t>오옥선</x:t>
  </x:si>
  <x:si>
    <x:t>학년반</x:t>
  </x:si>
  <x:si>
    <x:t>제품명</x:t>
  </x:si>
  <x:si>
    <x:t>복합기</x:t>
  </x:si>
  <x:si>
    <x:t>교감</x:t>
  </x:si>
  <x:si>
    <x:t>심경옥</x:t>
  </x:si>
  <x:si>
    <x:t>2-7</x:t>
  </x:si>
  <x:si>
    <x:t>1-1</x:t>
  </x:si>
  <x:si>
    <x:t>5층</x:t>
  </x:si>
  <x:si>
    <x:t>황영선</x:t>
  </x:si>
  <x:si>
    <x:t>캡스2</x:t>
  </x:si>
  <x:si>
    <x:t>검색용</x:t>
  </x:si>
  <x:si>
    <x:t>복사기</x:t>
  </x:si>
  <x:si>
    <x:t>4층</x:t>
  </x:si>
  <x:si>
    <x:t>캡스1</x:t>
  </x:si>
  <x:si>
    <x:t>임향민</x:t>
  </x:si>
  <x:si>
    <x:t>손재덕</x:t>
  </x:si>
  <x:si>
    <x:t>잉여품</x:t>
  </x:si>
  <x:si>
    <x:t>박연희</x:t>
  </x:si>
  <x:si>
    <x:t>3-7</x:t>
  </x:si>
  <x:si>
    <x:t>다나와</x:t>
  </x:si>
  <x:si>
    <x:t>김연옥</x:t>
  </x:si>
  <x:si>
    <x:t>권은주</x:t>
  </x:si>
  <x:si>
    <x:t>2-4</x:t>
  </x:si>
  <x:si>
    <x:t>임순영</x:t>
  </x:si>
  <x:si>
    <x:t>이용화</x:t>
  </x:si>
  <x:si>
    <x:t>고장</x:t>
  </x:si>
  <x:si>
    <x:t>3-9</x:t>
  </x:si>
  <x:si>
    <x:t>4GB</x:t>
  </x:si>
  <x:si>
    <x:t>장재현</x:t>
  </x:si>
  <x:si>
    <x:t>김민영</x:t>
  </x:si>
  <x:si>
    <x:t>박수진</x:t>
  </x:si>
  <x:si>
    <x:t>대우</x:t>
  </x:si>
  <x:si>
    <x:t>관리자</x:t>
  </x:si>
  <x:si>
    <x:t>이준남</x:t>
  </x:si>
  <x:si>
    <x:t>1GB</x:t>
  </x:si>
  <x:si>
    <x:t>폐기</x:t>
  </x:si>
  <x:si>
    <x:t>종</x:t>
  </x:si>
  <x:si>
    <x:t>이원영</x:t>
  </x:si>
  <x:si>
    <x:t>에이텍</x:t>
  </x:si>
  <x:si>
    <x:t>엘지</x:t>
  </x:si>
  <x:si>
    <x:t>정은경</x:t>
  </x:si>
  <x:si>
    <x:t>체보</x:t>
  </x:si>
  <x:si>
    <x:t>?</x:t>
  </x:si>
  <x:si>
    <x:t>조립품</x:t>
  </x:si>
  <x:si>
    <x:t>델</x:t>
  </x:si>
  <x:si>
    <x:t>업무용</x:t>
  </x:si>
  <x:si>
    <x:t>128</x:t>
  </x:si>
  <x:si>
    <x:t>김은민</x:t>
  </x:si>
  <x:si>
    <x:t>임명빈</x:t>
  </x:si>
  <x:si>
    <x:t>시안</x:t>
  </x:si>
  <x:si>
    <x:t>2-1</x:t>
  </x:si>
  <x:si>
    <x:t>취득일</x:t>
  </x:si>
  <x:si>
    <x:t>3-4</x:t>
  </x:si>
  <x:si>
    <x:t>3-8</x:t>
  </x:si>
  <x:si>
    <x:t>직원용</x:t>
  </x:si>
  <x:si>
    <x:t>3-6</x:t>
  </x:si>
  <x:si>
    <x:t>3-5</x:t>
  </x:si>
  <x:si>
    <x:t>1-5</x:t>
  </x:si>
  <x:si>
    <x:t>3-3</x:t>
  </x:si>
  <x:si>
    <x:t>권철수</x:t>
  </x:si>
  <x:si>
    <x:t>대여중</x:t>
  </x:si>
  <x:si>
    <x:t xml:space="preserve">2층 </x:t>
  </x:si>
  <x:si>
    <x:t>개수</x:t>
  </x:si>
  <x:si>
    <x:t>없음</x:t>
  </x:si>
  <x:si>
    <x:t>유희정</x:t>
  </x:si>
  <x:si>
    <x:t>2-3</x:t>
  </x:si>
  <x:si>
    <x:t>노트북</x:t>
  </x:si>
  <x:si>
    <x:t>황성임</x:t>
  </x:si>
  <x:si>
    <x:t>황종수</x:t>
  </x:si>
  <x:si>
    <x:t>1-8</x:t>
  </x:si>
  <x:si>
    <x:t>학생용</x:t>
  </x:si>
  <x:si>
    <x:t>조현준</x:t>
  </x:si>
  <x:si>
    <x:t>3-1</x:t>
  </x:si>
  <x:si>
    <x:t>여분</x:t>
  </x:si>
  <x:si>
    <x:t>8GB</x:t>
  </x:si>
  <x:si>
    <x:t>송성수</x:t>
  </x:si>
  <x:si>
    <x:t>임숙진</x:t>
  </x:si>
  <x:si>
    <x:t>삼보</x:t>
  </x:si>
  <x:si>
    <x:t>모델명</x:t>
  </x:si>
  <x:si>
    <x:t xml:space="preserve">5층 </x:t>
  </x:si>
  <x:si>
    <x:t>1-7</x:t>
  </x:si>
  <x:si>
    <x:t>인사부</x:t>
  </x:si>
  <x:si>
    <x:t>블랙</x:t>
  </x:si>
  <x:si>
    <x:t>활용중</x:t>
  </x:si>
  <x:si>
    <x:t>료</x:t>
  </x:si>
  <x:si>
    <x:t>잔고</x:t>
  </x:si>
  <x:si>
    <x:t>2-2</x:t>
  </x:si>
  <x:si>
    <x:t xml:space="preserve">4층 </x:t>
  </x:si>
  <x:si>
    <x:t>1-6</x:t>
  </x:si>
  <x:si>
    <x:t>마젠타</x:t>
  </x:si>
  <x:si>
    <x:t>2015.06.24</x:t>
  </x:si>
  <x:si>
    <x:t>2016.02.04</x:t>
  </x:si>
  <x:si>
    <x:t>통합교육지원실2</x:t>
  </x:si>
  <x:si>
    <x:t>2012.02.17</x:t>
  </x:si>
  <x:si>
    <x:t>방송반 어도비 계정</x:t>
  </x:si>
  <x:si>
    <x:t>2017.03.30</x:t>
  </x:si>
  <x:si>
    <x:t>2008.07.25</x:t>
  </x:si>
  <x:si>
    <x:t>2014.10.01</x:t>
  </x:si>
  <x:si>
    <x:t>2019.03.05</x:t>
  </x:si>
  <x:si>
    <x:t>2016.02.26</x:t>
  </x:si>
  <x:si>
    <x:t>2013.03.07</x:t>
  </x:si>
  <x:si>
    <x:t>2017.02.14</x:t>
  </x:si>
  <x:si>
    <x:t>2017.04.01</x:t>
  </x:si>
  <x:si>
    <x:t>2011.07.12</x:t>
  </x:si>
  <x:si>
    <x:t>2017.10.21</x:t>
  </x:si>
  <x:si>
    <x:t>2006.05.08</x:t>
  </x:si>
  <x:si>
    <x:t>2010.05.19</x:t>
  </x:si>
  <x:si>
    <x:t>2010.05.06</x:t>
  </x:si>
  <x:si>
    <x:t>2015.09.09</x:t>
  </x:si>
  <x:si>
    <x:t>2017.12.18</x:t>
  </x:si>
  <x:si>
    <x:t>1,010,000</x:t>
  </x:si>
  <x:si>
    <x:t>(옵션)한국후지제록스, Network printer kit, DCC320/400용</x:t>
  </x:si>
  <x:si>
    <x:t>https://mdm.goe.go.kr/onm/mas/main/main.html</x:t>
  </x:si>
  <x:si>
    <x:t>Fuji Xerox, CN/DocuPrint C5005d, A3/컬러50흑백55ppm</x:t>
  </x:si>
  <x:si>
    <x:t>강민정</x:t>
  </x:si>
  <x:si>
    <x:t>O</x:t>
  </x:si>
  <x:si>
    <x:t>X</x:t>
  </x:si>
  <x:si>
    <x:t>3.4GHZ</x:t>
  </x:si>
  <x:si>
    <x:t>구 염혜진</x:t>
  </x:si>
  <x:si>
    <x:t>파일 서버</x:t>
  </x:si>
  <x:si>
    <x:t>구 정진희</x:t>
  </x:si>
  <x:si>
    <x:t>구 유영복</x:t>
  </x:si>
  <x:si>
    <x:t>검색용1</x:t>
  </x:si>
  <x:si>
    <x:t>구 최인호</x:t>
  </x:si>
  <x:si>
    <x:t>구 김정원</x:t>
  </x:si>
  <x:si>
    <x:t>관리강사3</x:t>
  </x:si>
  <x:si>
    <x:t>구 이태영</x:t>
  </x:si>
  <x:si>
    <x:t>구 윤국선</x:t>
  </x:si>
  <x:si>
    <x:t>3학년1반</x:t>
  </x:si>
  <x:si>
    <x:t>MBL용6</x:t>
  </x:si>
  <x:si>
    <x:t>4000MB</x:t>
  </x:si>
  <x:si>
    <x:t>구 박혜리</x:t>
  </x:si>
  <x:si>
    <x:t>교감선생님</x:t>
  </x:si>
  <x:si>
    <x:t>구 양우경</x:t>
  </x:si>
  <x:si>
    <x:t>250GB</x:t>
  </x:si>
  <x:si>
    <x:t>구 김영훈</x:t>
  </x:si>
  <x:si>
    <x:t>MBL용1</x:t>
  </x:si>
  <x:si>
    <x:t>1학년3반</x:t>
  </x:si>
  <x:si>
    <x:t>MBL용5</x:t>
  </x:si>
  <x:si>
    <x:t>불용(사용중)</x:t>
  </x:si>
  <x:si>
    <x:t>구 김강일</x:t>
  </x:si>
  <x:si>
    <x:t>200GB</x:t>
  </x:si>
  <x:si>
    <x:t>특별실용</x:t>
  </x:si>
  <x:si>
    <x:t>방송 시보용</x:t>
  </x:si>
  <x:si>
    <x:t>진로탐색용</x:t>
  </x:si>
  <x:si>
    <x:t>3.2GHZ</x:t>
  </x:si>
  <x:si>
    <x:t>580GB</x:t>
  </x:si>
  <x:si>
    <x:t>플로터용</x:t>
  </x:si>
  <x:si>
    <x:t>주연테크</x:t>
  </x:si>
  <x:si>
    <x:t>450GB</x:t>
  </x:si>
  <x:si>
    <x:t>대교협 서버</x:t>
  </x:si>
  <x:si>
    <x:t>APSBYTP</x:t>
  </x:si>
  <x:si>
    <x:t>구 허정화</x:t>
  </x:si>
  <x:si>
    <x:t>성적처리용</x:t>
  </x:si>
  <x:si>
    <x:t>조리사3</x:t>
  </x:si>
  <x:si>
    <x:t>구 이옥경</x:t>
  </x:si>
  <x:si>
    <x:t>40000MB</x:t>
  </x:si>
  <x:si>
    <x:t>폐기(사용중)</x:t>
  </x:si>
  <x:si>
    <x:t>레드스톤시스템</x:t>
  </x:si>
  <x:si>
    <x:t>MBL용8</x:t>
  </x:si>
  <x:si>
    <x:t>447GB</x:t>
  </x:si>
  <x:si>
    <x:t>파워 알리미용</x:t>
  </x:si>
  <x:si>
    <x:t>관리강사2</x:t>
  </x:si>
  <x:si>
    <x:t>학습 검색용3</x:t>
  </x:si>
  <x:si>
    <x:t>구 길양배</x:t>
  </x:si>
  <x:si>
    <x:t>2000GB</x:t>
  </x:si>
  <x:si>
    <x:t>조리사2</x:t>
  </x:si>
  <x:si>
    <x:t>구 순회교사</x:t>
  </x:si>
  <x:si>
    <x:t>구 윤필주</x:t>
  </x:si>
  <x:si>
    <x:t>LED_20</x:t>
  </x:si>
  <x:si>
    <x:t>MBL용7</x:t>
  </x:si>
  <x:si>
    <x:t>LED_19</x:t>
  </x:si>
  <x:si>
    <x:t>MBL용3</x:t>
  </x:si>
  <x:si>
    <x:t>김은민3</x:t>
  </x:si>
  <x:si>
    <x:t>2000MB</x:t>
  </x:si>
  <x:si>
    <x:t>LED_22</x:t>
  </x:si>
  <x:si>
    <x:t>학습 검색용4</x:t>
  </x:si>
  <x:si>
    <x:t>MBL용 2</x:t>
  </x:si>
  <x:si>
    <x:t>MBL용4</x:t>
  </x:si>
  <x:si>
    <x:t>MBL용 3</x:t>
  </x:si>
  <x:si>
    <x:t>구진성훈</x:t>
  </x:si>
  <x:si>
    <x:t>검색용3</x:t>
  </x:si>
  <x:si>
    <x:t>학습 검색용2</x:t>
  </x:si>
  <x:si>
    <x:t>관리강사1</x:t>
  </x:si>
  <x:si>
    <x:t>579GB</x:t>
  </x:si>
  <x:si>
    <x:t>외부강사용</x:t>
  </x:si>
  <x:si>
    <x:t>선우혜경</x:t>
  </x:si>
  <x:si>
    <x:t>구 최재희</x:t>
  </x:si>
  <x:si>
    <x:t>학생증 발급용</x:t>
  </x:si>
  <x:si>
    <x:t>600GB</x:t>
  </x:si>
  <x:si>
    <x:t>DVD_RW</x:t>
  </x:si>
  <x:si>
    <x:t>3.1GHZ</x:t>
  </x:si>
  <x:si>
    <x:t>2.6GHZ</x:t>
  </x:si>
  <x:si>
    <x:t>MBL용 4</x:t>
  </x:si>
  <x:si>
    <x:t>동영상 편집용</x:t>
  </x:si>
  <x:si>
    <x:t>구남인일</x:t>
  </x:si>
  <x:si>
    <x:t>2.5GHZ</x:t>
  </x:si>
  <x:si>
    <x:t>검색용4</x:t>
  </x:si>
  <x:si>
    <x:t>학습 검색용6</x:t>
  </x:si>
  <x:si>
    <x:t>물리실험실용</x:t>
  </x:si>
  <x:si>
    <x:t>구 서해니</x:t>
  </x:si>
  <x:si>
    <x:t>MBL용 6</x:t>
  </x:si>
  <x:si>
    <x:t>MBL용2</x:t>
  </x:si>
  <x:si>
    <x:t>구 조성기</x:t>
  </x:si>
  <x:si>
    <x:t>4000</x:t>
  </x:si>
  <x:si>
    <x:t>야구부코치</x:t>
  </x:si>
  <x:si>
    <x:t>2.8GHZ</x:t>
  </x:si>
  <x:si>
    <x:t>MBL용 5</x:t>
  </x:si>
  <x:si>
    <x:t>3층실습용 9</x:t>
  </x:si>
  <x:si>
    <x:t>MBL용 9</x:t>
  </x:si>
  <x:si>
    <x:t>화학실험실용</x:t>
  </x:si>
  <x:si>
    <x:t>1.9GHZ</x:t>
  </x:si>
  <x:si>
    <x:t>학습 검색용5</x:t>
  </x:si>
  <x:si>
    <x:t>구 김정연</x:t>
  </x:si>
  <x:si>
    <x:t>교육실습생1</x:t>
  </x:si>
  <x:si>
    <x:t>Vista</x:t>
  </x:si>
  <x:si>
    <x:t>성적처리컴</x:t>
  </x:si>
  <x:si>
    <x:t>학습 검색용1</x:t>
  </x:si>
  <x:si>
    <x:t>조희선2</x:t>
  </x:si>
  <x:si>
    <x:t>MBL용 1</x:t>
  </x:si>
  <x:si>
    <x:t>구 검색용1</x:t>
  </x:si>
  <x:si>
    <x:t>구 행정실</x:t>
  </x:si>
  <x:si>
    <x:t>조희선1</x:t>
  </x:si>
  <x:si>
    <x:t>구 외부강사용</x:t>
  </x:si>
  <x:si>
    <x:t>구 정민우</x:t>
  </x:si>
  <x:si>
    <x:t>3072MB</x:t>
  </x:si>
  <x:si>
    <x:t>3컴교사용2</x:t>
  </x:si>
  <x:si>
    <x:t>구 조연형</x:t>
  </x:si>
  <x:si>
    <x:t>2048MB</x:t>
  </x:si>
  <x:si>
    <x:t>DM-C600</x:t>
  </x:si>
  <x:si>
    <x:t>MBL용 8</x:t>
  </x:si>
  <x:si>
    <x:t>1000MB</x:t>
  </x:si>
  <x:si>
    <x:t>453GB</x:t>
  </x:si>
  <x:si>
    <x:t>구 송성수</x:t>
  </x:si>
  <x:si>
    <x:t>760,000</x:t>
  </x:si>
  <x:si>
    <x:t>1.4GHZ</x:t>
  </x:si>
  <x:si>
    <x:t>불용처리</x:t>
  </x:si>
  <x:si>
    <x:t>320GB</x:t>
  </x:si>
  <x:si>
    <x:t>2.4GHZ</x:t>
  </x:si>
  <x:si>
    <x:t>정보부보관</x:t>
  </x:si>
  <x:si>
    <x:t>4096MB</x:t>
  </x:si>
  <x:si>
    <x:t>구 이동민</x:t>
  </x:si>
  <x:si>
    <x:t>3학년부</x:t>
  </x:si>
  <x:si>
    <x:t>(김일환)</x:t>
  </x:si>
  <x:si>
    <x:t>교사 예비용5</x:t>
  </x:si>
  <x:si>
    <x:t>LINUX</x:t>
  </x:si>
  <x:si>
    <x:t>2.1GHZ</x:t>
  </x:si>
  <x:si>
    <x:t>학생29</x:t>
  </x:si>
  <x:si>
    <x:t>CD_RW</x:t>
  </x:si>
  <x:si>
    <x:t>MBL용 7</x:t>
  </x:si>
  <x:si>
    <x:t>2025년지급</x:t>
  </x:si>
  <x:si>
    <x:t>학생46</x:t>
  </x:si>
  <x:si>
    <x:t>학생43</x:t>
  </x:si>
  <x:si>
    <x:t>컴퓨터교육실용</x:t>
  </x:si>
  <x:si>
    <x:t>2.7GHZ</x:t>
  </x:si>
  <x:si>
    <x:t>학생40</x:t>
  </x:si>
  <x:si>
    <x:t>강애주?</x:t>
  </x:si>
  <x:si>
    <x:t>80GB</x:t>
  </x:si>
  <x:si>
    <x:t>903,000</x:t>
  </x:si>
  <x:si>
    <x:t>2.9GHZ</x:t>
  </x:si>
  <x:si>
    <x:t>체육관방송용</x:t>
  </x:si>
  <x:si>
    <x:t>730,000</x:t>
  </x:si>
  <x:si>
    <x:t>(박준영)</x:t>
  </x:si>
  <x:si>
    <x:t>어학실교사용</x:t>
  </x:si>
  <x:si>
    <x:t>인텔 i-7</x:t>
  </x:si>
  <x:si>
    <x:t>829,000</x:t>
  </x:si>
  <x:si>
    <x:t>학생38</x:t>
  </x:si>
  <x:si>
    <x:t>학생23</x:t>
  </x:si>
  <x:si>
    <x:t>140GB</x:t>
  </x:si>
  <x:si>
    <x:t>2.0GHZ</x:t>
  </x:si>
  <x:si>
    <x:t>DM-Z60</x:t>
  </x:si>
  <x:si>
    <x:t>3.0GHZ</x:t>
  </x:si>
  <x:si>
    <x:t>2.2GHZ</x:t>
  </x:si>
  <x:si>
    <x:t>학생24</x:t>
  </x:si>
  <x:si>
    <x:t>교사(이지은)</x:t>
  </x:si>
  <x:si>
    <x:t>160GB</x:t>
  </x:si>
  <x:si>
    <x:t>1.7GHZ</x:t>
  </x:si>
  <x:si>
    <x:t>690,000</x:t>
  </x:si>
  <x:si>
    <x:t>NT-P40</x:t>
  </x:si>
  <x:si>
    <x:t>학생27</x:t>
  </x:si>
  <x:si>
    <x:t>892,000</x:t>
  </x:si>
  <x:si>
    <x:t>700,000</x:t>
  </x:si>
  <x:si>
    <x:t>512MB</x:t>
  </x:si>
  <x:si>
    <x:t>학생17</x:t>
  </x:si>
  <x:si>
    <x:t>787,000</x:t>
  </x:si>
  <x:si>
    <x:t>DM-Z70</x:t>
  </x:si>
  <x:si>
    <x:t>정보부보관중</x:t>
  </x:si>
  <x:si>
    <x:t>학생16</x:t>
  </x:si>
  <x:si>
    <x:t>100GB</x:t>
  </x:si>
  <x:si>
    <x:t>학생20</x:t>
  </x:si>
  <x:si>
    <x:t>학생28</x:t>
  </x:si>
  <x:si>
    <x:t>학생19</x:t>
  </x:si>
  <x:si>
    <x:t>학생11</x:t>
  </x:si>
  <x:si>
    <x:t>도서검색1</x:t>
  </x:si>
  <x:si>
    <x:t>학생26</x:t>
  </x:si>
  <x:si>
    <x:t>학생18</x:t>
  </x:si>
  <x:si>
    <x:t>학생33</x:t>
  </x:si>
  <x:si>
    <x:t>학생35</x:t>
  </x:si>
  <x:si>
    <x:t>학생48</x:t>
  </x:si>
  <x:si>
    <x:t>학생41</x:t>
  </x:si>
  <x:si>
    <x:t>학생36</x:t>
  </x:si>
  <x:si>
    <x:t>학생39</x:t>
  </x:si>
  <x:si>
    <x:t>이미영A</x:t>
  </x:si>
  <x:si>
    <x:t>학생30</x:t>
  </x:si>
  <x:si>
    <x:t>1024GB</x:t>
  </x:si>
  <x:si>
    <x:t>910,700</x:t>
  </x:si>
  <x:si>
    <x:t>인쇄실기사님1</x:t>
  </x:si>
  <x:si>
    <x:t>학생14</x:t>
  </x:si>
  <x:si>
    <x:t>SENP30</x:t>
  </x:si>
  <x:si>
    <x:t>863,000</x:t>
  </x:si>
  <x:si>
    <x:t>도서검색2</x:t>
  </x:si>
  <x:si>
    <x:t>학생21</x:t>
  </x:si>
  <x:si>
    <x:t>1024</x:t>
  </x:si>
  <x:si>
    <x:t>무상양여</x:t>
  </x:si>
  <x:si>
    <x:t>600,000</x:t>
  </x:si>
  <x:si>
    <x:t>1024MB</x:t>
  </x:si>
  <x:si>
    <x:t>교사 예비용3</x:t>
  </x:si>
  <x:si>
    <x:t>기본게이트웨이</x:t>
  </x:si>
  <x:si>
    <x:t>확인필요</x:t>
  </x:si>
  <x:si>
    <x:t>3학년2반</x:t>
  </x:si>
  <x:si>
    <x:t>3학년6반</x:t>
  </x:si>
  <x:si>
    <x:t>2학년3반</x:t>
  </x:si>
  <x:si>
    <x:t>학생47</x:t>
  </x:si>
  <x:si>
    <x:t>3학년3반</x:t>
  </x:si>
  <x:si>
    <x:t>2학년5반</x:t>
  </x:si>
  <x:si>
    <x:t>컴퓨터실2</x:t>
  </x:si>
  <x:si>
    <x:t>학생12</x:t>
  </x:si>
  <x:si>
    <x:t>중국어교과실</x:t>
  </x:si>
  <x:si>
    <x:t>SENSV25</x:t>
  </x:si>
  <x:si>
    <x:t>8.8.8.8</x:t>
  </x:si>
  <x:si>
    <x:t>학생31</x:t>
  </x:si>
  <x:si>
    <x:t>2025.3.</x:t>
  </x:si>
  <x:si>
    <x:t>3학년8반</x:t>
  </x:si>
  <x:si>
    <x:t>3학년7반</x:t>
  </x:si>
  <x:si>
    <x:t>3학년4반</x:t>
  </x:si>
  <x:si>
    <x:t>학생13</x:t>
  </x:si>
  <x:si>
    <x:t>중앙제어</x:t>
  </x:si>
  <x:si>
    <x:t>예전3층2-9</x:t>
  </x:si>
  <x:si>
    <x:t>학생25</x:t>
  </x:si>
  <x:si>
    <x:t>SENP25</x:t>
  </x:si>
  <x:si>
    <x:t>고가영2</x:t>
  </x:si>
  <x:si>
    <x:t>학생44</x:t>
  </x:si>
  <x:si>
    <x:t>학생34</x:t>
  </x:si>
  <x:si>
    <x:t>체육관1</x:t>
  </x:si>
  <x:si>
    <x:t>체육관2</x:t>
  </x:si>
  <x:si>
    <x:t>교사 예비용9</x:t>
  </x:si>
  <x:si>
    <x:t>2학년4반</x:t>
  </x:si>
  <x:si>
    <x:t>3학년9반</x:t>
  </x:si>
  <x:si>
    <x:t>구 김현우</x:t>
  </x:si>
  <x:si>
    <x:t>오디움실</x:t>
  </x:si>
  <x:si>
    <x:t>2학년6반</x:t>
  </x:si>
  <x:si>
    <x:t>확인완료</x:t>
  </x:si>
  <x:si>
    <x:t>2학년1반</x:t>
  </x:si>
  <x:si>
    <x:t>1학년6반</x:t>
  </x:si>
  <x:si>
    <x:t>서브넷마스크</x:t>
  </x:si>
  <x:si>
    <x:t>1학년8반</x:t>
  </x:si>
  <x:si>
    <x:t>예비용5</x:t>
  </x:si>
  <x:si>
    <x:t>3학년5반</x:t>
  </x:si>
  <x:si>
    <x:t>2학년7반</x:t>
  </x:si>
  <x:si>
    <x:t>큐알코드 여부</x:t>
  </x:si>
  <x:si>
    <x:t>1학년5반</x:t>
  </x:si>
  <x:si>
    <x:t>1학년2반</x:t>
  </x:si>
  <x:si>
    <x:t>2학년8반</x:t>
  </x:si>
  <x:si>
    <x:t>노트북 폐기</x:t>
  </x:si>
  <x:si>
    <x:t>2학년2반</x:t>
  </x:si>
  <x:si>
    <x:t>1학년4반</x:t>
  </x:si>
  <x:si>
    <x:t>탁지완쌤 사용</x:t>
  </x:si>
  <x:si>
    <x:t>1학년1반</x:t>
  </x:si>
  <x:si>
    <x:t>설치 층</x:t>
  </x:si>
  <x:si>
    <x:t>품명/규격</x:t>
  </x:si>
  <x:si>
    <x:t>3학년교무실</x:t>
  </x:si>
  <x:si>
    <x:t>1학년부</x:t>
  </x:si>
  <x:si>
    <x:t>2학년교무실</x:t>
  </x:si>
  <x:si>
    <x:t>프린터 관리자</x:t>
  </x:si>
  <x:si>
    <x:t>운용부서</x:t>
  </x:si>
  <x:si>
    <x:t>구행정실</x:t>
  </x:si>
  <x:si>
    <x:t>취득금액</x:t>
  </x:si>
  <x:si>
    <x:t>교감, WEE</x:t>
  </x:si>
  <x:si>
    <x:t>자체구입</x:t>
  </x:si>
  <x:si>
    <x:t>학생자치부</x:t>
  </x:si>
  <x:si>
    <x:t>2, 3학년부</x:t>
  </x:si>
  <x:si>
    <x:t>InChang</x:t>
  </x:si>
  <x:si>
    <x:t>조달구입</x:t>
  </x:si>
  <x:si>
    <x:t xml:space="preserve">생물실 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</x:si>
  <x:si>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00"/>
            <x:b val="1"/>
          </x:rPr>
        </mc:Fallback>
      </mc:AlternateContent>
      <x:t>A</x:t>
    </x:r>
    <x:r>
      <x:rPr>
        <x:rFont val="맑은 고딕"/>
        <x:sz val="11"/>
        <x:color rgb="ff000000"/>
        <x:b val="1"/>
      </x:rPr>
      <x:t>dmin</x:t>
    </x:r>
  </x:si>
  <x:si>
    <x:t>AP 명</x:t>
  </x:si>
  <x:si>
    <x:t>TN-414</x:t>
  </x:si>
  <x:si>
    <x:t>TK 3114</x:t>
  </x:si>
  <x:si>
    <x:t>TK-454K</x:t>
  </x:si>
  <x:si>
    <x:t>다기능프린터</x:t>
  </x:si>
  <x:si>
    <x:t>취득구분</x:t>
  </x:si>
  <x:si>
    <x:t>1학년7반</x:t>
  </x:si>
  <x:si>
    <x:t>플로터프린터</x:t>
  </x:si>
  <x:si>
    <x:t>AP IP</x:t>
  </x:si>
  <x:si>
    <x:t>분류전환+</x:t>
  </x:si>
  <x:si>
    <x:t>2019?</x:t>
  </x:si>
  <x:si>
    <x:t>학습도움반</x:t>
  </x:si>
  <x:si>
    <x:t>355MHZ</x:t>
  </x:si>
  <x:si>
    <x:t>구 안상영</x:t>
  </x:si>
  <x:si>
    <x:t>AP 번호</x:t>
  </x:si>
  <x:si>
    <x:t>물품분류명</x:t>
  </x:si>
  <x:si>
    <x:t>레이저프린터</x:t>
  </x:si>
  <x:si>
    <x:t>구 교육과정부</x:t>
  </x:si>
  <x:si>
    <x:t>설치 장소</x:t>
  </x:si>
  <x:si>
    <x:t>컴퓨터실1</x:t>
  </x:si>
  <x:si>
    <x:t>소모일자</x:t>
  </x:si>
  <x:si>
    <x:t>5G SSID</x:t>
  </x:si>
  <x:si>
    <x:t>1학년교무실</x:t>
  </x:si>
  <x:si>
    <x:t>마라톤 교환</x:t>
  </x:si>
  <x:si>
    <x:t>무선인터넷망</x:t>
  </x:si>
  <x:si>
    <x:t>화학실험실</x:t>
  </x:si>
  <x:si>
    <x:t>인#18</x:t>
  </x:si>
  <x:si>
    <x:t>366MHZ</x:t>
  </x:si>
  <x:si>
    <x:t>AP Mac</x:t>
  </x:si>
  <x:si>
    <x:t>잉크젯프린터</x:t>
  </x:si>
  <x:si>
    <x:t>교육과정부</x:t>
  </x:si>
  <x:si>
    <x:t>다기능복사기</x:t>
  </x:si>
  <x:si>
    <x:t>5층 컴퓨터실</x:t>
  </x:si>
  <x:si>
    <x:t>물품목록번호</x:t>
  </x:si>
  <x:si>
    <x:t>수리과학부</x:t>
  </x:si>
  <x:si>
    <x:t>공유기1</x:t>
  </x:si>
  <x:si>
    <x:t>임대복합기</x:t>
  </x:si>
  <x:si>
    <x:t>CCTV 1</x:t>
  </x:si>
  <x:si>
    <x:t>2층교무실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</x:si>
  <x:si>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00"/>
            <x:b val="1"/>
          </x:rPr>
        </mc:Fallback>
      </mc:AlternateContent>
      <x:t>A</x:t>
    </x:r>
    <x:r>
      <x:rPr>
        <x:rFont val="맑은 고딕"/>
        <x:sz val="11"/>
        <x:color rgb="ff000000"/>
      </x:rPr>
      <x:t>dmin</x:t>
    </x:r>
  </x:si>
  <x:si>
    <x:t>3학년상담실</x:t>
  </x:si>
  <x:si>
    <x:t>M2410</x:t>
  </x:si>
  <x:si>
    <x:t>진로진학상담부</x:t>
  </x:si>
  <x:si>
    <x:t>cool</x:t>
  </x:si>
  <x:si>
    <x:t>인문사회부</x:t>
  </x:si>
  <x:si>
    <x:t>대우518B</x:t>
  </x:si>
  <x:si>
    <x:t>수업나눔터</x:t>
  </x:si>
  <x:si>
    <x:t>2G SSID</x:t>
  </x:si>
  <x:si>
    <x:t>진로상담</x:t>
  </x:si>
  <x:si>
    <x:t>진로상담부</x:t>
  </x:si>
  <x:si>
    <x:t>4층 미술실</x:t>
  </x:si>
  <x:si>
    <x:t>교육정보부</x:t>
  </x:si>
  <x:si>
    <x:t>진학상담실</x:t>
  </x:si>
  <x:si>
    <x:t>시설관리실</x:t>
  </x:si>
  <x:si>
    <x:t>파일서버</x:t>
  </x:si>
  <x:si>
    <x:t>ic2018#</x:t>
  </x:si>
  <x:si>
    <x:t>수업분석실</x:t>
  </x:si>
  <x:si>
    <x:t xml:space="preserve">마라톤 </x:t>
  </x:si>
  <x:si>
    <x:t>학생인권안전부</x:t>
  </x:si>
  <x:si>
    <x:t>체육보건부</x:t>
  </x:si>
  <x:si>
    <x:t>(재고 조사)</x:t>
  </x:si>
  <x:si>
    <x:t>물리실험실</x:t>
  </x:si>
  <x:si>
    <x:t>PC 구분</x:t>
  </x:si>
  <x:si>
    <x:t>inchang</x:t>
  </x:si>
  <x:si>
    <x:t>2학년부</x:t>
  </x:si>
  <x:si>
    <x:t>650MHZ</x:t>
  </x:si>
  <x:si>
    <x:t>inform</x:t>
  </x:si>
  <x:si>
    <x:t>교육행정실</x:t>
  </x:si>
  <x:si>
    <x:t>CCTV 2</x:t>
  </x:si>
  <x:si>
    <x:t>2층 교무실</x:t>
  </x:si>
  <x:si>
    <x:t>교생 프린트용</x:t>
  </x:si>
  <x:si>
    <x:t>5층 면학실</x:t>
  </x:si>
  <x:si>
    <x:t>staff</x:t>
  </x:si>
  <x:si>
    <x:t>533MHZ</x:t>
  </x:si>
  <x:si>
    <x:t>MS계정 암호</x:t>
  </x:si>
  <x:si>
    <x:t>방송부2018</x:t>
  </x:si>
  <x:si>
    <x:t>701,900</x:t>
  </x:si>
  <x:si>
    <x:t>행정실무사</x:t>
  </x:si>
  <x:si>
    <x:t>야구부합숙소</x:t>
  </x:si>
  <x:si>
    <x:t>내용연수</x:t>
  </x:si>
  <x:si>
    <x:t>admin</x:t>
  </x:si>
  <x:si>
    <x:t>628GB</x:t>
  </x:si>
  <x:si>
    <x:t>일괄구매</x:t>
  </x:si>
  <x:si>
    <x:t>214,000</x:t>
  </x:si>
  <x:si>
    <x:t>166MHZ</x:t>
  </x:si>
  <x:si>
    <x:t>김태주(공익)</x:t>
  </x:si>
  <x:si>
    <x:t>구입금액</x:t>
  </x:si>
  <x:si>
    <x:t>관리번호</x:t>
  </x:si>
  <x:si>
    <x:t>620,000</x:t>
  </x:si>
  <x:si>
    <x:t>600MHZ</x:t>
  </x:si>
  <x:si>
    <x:t>구매구분</x:t>
  </x:si>
  <x:si>
    <x:t>null</x:t>
  </x:si>
  <x:si>
    <x:t>CCTV 3</x:t>
  </x:si>
  <x:si>
    <x:t>SENS640</x:t>
  </x:si>
  <x:si>
    <x:t>CYBER</x:t>
  </x:si>
  <x:si>
    <x:t>데스크톱</x:t>
  </x:si>
  <x:si>
    <x:t>1.1GHZ</x:t>
  </x:si>
  <x:si>
    <x:t>120GB</x:t>
  </x:si>
  <x:si>
    <x:t>36.2G*2</x:t>
  </x:si>
  <x:si>
    <x:t>M2900</x:t>
  </x:si>
  <x:si>
    <x:t>GB20</x:t>
  </x:si>
  <x:si>
    <x:t>892,320</x:t>
  </x:si>
  <x:si>
    <x:t>정보과학실</x:t>
  </x:si>
  <x:si>
    <x:t>지구과학실</x:t>
  </x:si>
  <x:si>
    <x:t>물품번호</x:t>
  </x:si>
  <x:si>
    <x:t>M2721</x:t>
  </x:si>
  <x:si>
    <x:t>교무기획부</x:t>
  </x:si>
  <x:si>
    <x:t>ic#2018</x:t>
  </x:si>
  <x:si>
    <x:t>생명과학실</x:t>
  </x:si>
  <x:si>
    <x:t>333MHZ</x:t>
  </x:si>
  <x:si>
    <x:t>256GB</x:t>
  </x:si>
  <x:si>
    <x:t>교장선 노트북</x:t>
  </x:si>
  <x:si>
    <x:t>233MHZ</x:t>
  </x:si>
  <x:si>
    <x:t>M2100</x:t>
  </x:si>
  <x:si>
    <x:t>스캐너연결</x:t>
  </x:si>
  <x:si>
    <x:t>MV25</x:t>
  </x:si>
  <x:si>
    <x:t>컴퓨터교육실</x:t>
  </x:si>
  <x:si>
    <x:t>FTC200</x:t>
  </x:si>
  <x:si>
    <x:t>관리유형</x:t>
  </x:si>
  <x:si>
    <x:t>레드스톤</x:t>
  </x:si>
  <x:si>
    <x:t>구 유희정</x:t>
  </x:si>
  <x:si>
    <x:t>M2700</x:t>
  </x:si>
  <x:si>
    <x:t>PC구분</x:t>
  </x:si>
  <x:si>
    <x:t>M520T</x:t>
  </x:si>
  <x:si>
    <x:t>김은민1</x:t>
  </x:si>
  <x:si>
    <x:t>1.8GHZ</x:t>
  </x:si>
  <x:si>
    <x:t>4층 면학실</x:t>
  </x:si>
  <x:si>
    <x:t>SSID</x:t>
  </x:si>
  <x:si>
    <x:t>550MHZ</x:t>
  </x:si>
  <x:si>
    <x:t>CD-ROM</x:t>
  </x:si>
  <x:si>
    <x:t>4.8GHZ</x:t>
  </x:si>
  <x:si>
    <x:t>대우루컴즈</x:t>
  </x:si>
  <x:si>
    <x:t>도서실 수업용</x:t>
  </x:si>
  <x:si>
    <x:t>태블릿PC</x:t>
  </x:si>
  <x:si>
    <x:t>300MHZ</x:t>
  </x:si>
  <x:si>
    <x:t>933MHZ</x:t>
  </x:si>
  <x:si>
    <x:t>5층 녹음실</x:t>
  </x:si>
  <x:si>
    <x:t>특수교육부</x:t>
  </x:si>
  <x:si>
    <x:t>㈜훼스트시스템</x:t>
  </x:si>
  <x:si>
    <x:t>M2710</x:t>
  </x:si>
  <x:si>
    <x:t>36G*2</x:t>
  </x:si>
  <x:si>
    <x:t>예비용3</x:t>
  </x:si>
  <x:si>
    <x:t>순회교사</x:t>
  </x:si>
  <x:si>
    <x:t>예비용4</x:t>
  </x:si>
  <x:si>
    <x:t>수업검색</x:t>
  </x:si>
  <x:si>
    <x:t>0.128GB</x:t>
  </x:si>
  <x:si>
    <x:t>3GHZ</x:t>
  </x:si>
  <x:si>
    <x:t>CD_ROM</x:t>
  </x:si>
  <x:si>
    <x:t>1000GB</x:t>
  </x:si>
  <x:si>
    <x:t>검색용2</x:t>
  </x:si>
  <x:si>
    <x:t>운영체제</x:t>
  </x:si>
  <x:si>
    <x:t>자체구매</x:t>
  </x:si>
  <x:si>
    <x:t>장비상태</x:t>
  </x:si>
  <x:si>
    <x:t>구 박은혜</x:t>
  </x:si>
  <x:si>
    <x:t>500GB</x:t>
  </x:si>
  <x:si>
    <x:t>다나와컴퓨터</x:t>
  </x:si>
  <x:si>
    <x:t>M2000</x:t>
  </x:si>
  <x:si>
    <x:t>예비용6</x:t>
  </x:si>
  <x:si>
    <x:t>zcv30</x:t>
  </x:si>
  <x:si>
    <x:t>제조회사</x:t>
  </x:si>
  <x:si>
    <x:t>DB-Z40</x:t>
  </x:si>
  <x:si>
    <x:t>주메모리</x:t>
  </x:si>
  <x:si>
    <x:t>예산배정구매</x:t>
  </x:si>
  <x:si>
    <x:t>A6SBG6P</x:t>
  </x:si>
  <x:si>
    <x:t>LED_24</x:t>
  </x:si>
  <x:si>
    <x:t>성주컴텍</x:t>
  </x:si>
  <x:si>
    <x:t>1.6GHZ</x:t>
  </x:si>
  <x:si>
    <x:t>4.3GHZ</x:t>
  </x:si>
  <x:si>
    <x:t>소강당용</x:t>
  </x:si>
  <x:si>
    <x:t>관리자명</x:t>
  </x:si>
  <x:si>
    <x:t>혁신교육부</x:t>
  </x:si>
  <x:si>
    <x:t>예비용13</x:t>
  </x:si>
  <x:si>
    <x:t>512GB</x:t>
  </x:si>
  <x:si>
    <x:t>128GB</x:t>
  </x:si>
  <x:si>
    <x:t>도서검색7</x:t>
  </x:si>
  <x:si>
    <x:t>일체형컴퓨터</x:t>
  </x:si>
  <x:si>
    <x:t>도서대출반납</x:t>
  </x:si>
  <x:si>
    <x:t>구 김두순</x:t>
  </x:si>
  <x:si>
    <x:t>구입일자</x:t>
  </x:si>
  <x:si>
    <x:t>예비용12</x:t>
  </x:si>
  <x:si>
    <x:t>상담실노트북</x:t>
  </x:si>
  <x:si>
    <x:t>도서검색6</x:t>
  </x:si>
  <x:si>
    <x:t>정보교육부</x:t>
  </x:si>
  <x:si>
    <x:t>예비용11</x:t>
  </x:si>
  <x:si>
    <x:t>ZCP30</x:t>
  </x:si>
  <x:si>
    <x:t>학생15</x:t>
  </x:si>
  <x:si>
    <x:t>16GB</x:t>
  </x:si>
  <x:si>
    <x:t>5.6GHZ</x:t>
  </x:si>
  <x:si>
    <x:t>899,130</x:t>
  </x:si>
  <x:si>
    <x:t>GB25</x:t>
  </x:si>
  <x:si>
    <x:t>학생10</x:t>
  </x:si>
  <x:si>
    <x:t>학생45</x:t>
  </x:si>
  <x:si>
    <x:t>2층 컴퓨터실</x:t>
  </x:si>
  <x:si>
    <x:t>전원선 없음</x:t>
  </x:si>
  <x:si>
    <x:t>방송실 편집용</x:t>
  </x:si>
  <x:si>
    <x:t>구 신선아</x:t>
  </x:si>
  <x:si>
    <x:t>ZGB30</x:t>
  </x:si>
  <x:si>
    <x:t>2.3GHZ</x:t>
  </x:si>
  <x:si>
    <x:t>학생37</x:t>
  </x:si>
  <x:si>
    <x:t>예비용8</x:t>
  </x:si>
  <x:si>
    <x:t>학생22</x:t>
  </x:si>
  <x:si>
    <x:t>수학교과실</x:t>
  </x:si>
  <x:si>
    <x:t>통합교육지원실</x:t>
  </x:si>
  <x:si>
    <x:t>도서검색4</x:t>
  </x:si>
  <x:si>
    <x:t>고가영1</x:t>
  </x:si>
  <x:si>
    <x:t>가입인증키</x:t>
  </x:si>
  <x:si>
    <x:t>CD-RW</x:t>
  </x:si>
  <x:si>
    <x:t>예비용9</x:t>
  </x:si>
  <x:si>
    <x:t>도서검색5</x:t>
  </x:si>
  <x:si>
    <x:t>도서검색3</x:t>
  </x:si>
  <x:si>
    <x:t>학생42</x:t>
  </x:si>
  <x:si>
    <x:t>예비용2</x:t>
  </x:si>
  <x:si>
    <x:t>보조DNS서버</x:t>
  </x:si>
  <x:si>
    <x:t>G21_138</x:t>
  </x:si>
  <x:si>
    <x:t>예비용1</x:t>
  </x:si>
  <x:si>
    <x:t>교사 예비용7</x:t>
  </x:si>
  <x:si>
    <x:t>교사 예비용6</x:t>
  </x:si>
  <x:si>
    <x:t>고가영3</x:t>
  </x:si>
  <x:si>
    <x:t>교사 예비용1</x:t>
  </x:si>
  <x:si>
    <x:t>학생32</x:t>
  </x:si>
  <x:si>
    <x:t>WIFI</x:t>
  </x:si>
  <x:si>
    <x:t>김은민2</x:t>
  </x:si>
  <x:si>
    <x:t>460GB</x:t>
  </x:si>
  <x:si>
    <x:t>주문형 강좌</x:t>
  </x:si>
  <x:si>
    <x:t>3.3GHZ</x:t>
  </x:si>
  <x:si>
    <x:t>구 송미선</x:t>
  </x:si>
  <x:si>
    <x:t>고장(망실)</x:t>
  </x:si>
  <x:si>
    <x:t>3.6GHZ</x:t>
  </x:si>
  <x:si>
    <x:t>구 이원영</x:t>
  </x:si>
  <x:si>
    <x:t>구 이진채</x:t>
  </x:si>
  <x:si>
    <x:t>구 탁지완</x:t>
  </x:si>
  <x:si>
    <x:t>1500GB</x:t>
  </x:si>
  <x:si>
    <x:t>구 박연정</x:t>
  </x:si>
  <x:si>
    <x:t>2016.08.24</x:t>
  </x:si>
  <x:si>
    <x:t>1,119,660</x:t>
  </x:si>
  <x:si>
    <x:t>20220117-0899</x:t>
  </x:si>
  <x:si>
    <x:t>20220117-0896</x:t>
  </x:si>
  <x:si>
    <x:t>10.54.36.124</x:t>
  </x:si>
  <x:si>
    <x:t>20030827-0080</x:t>
  </x:si>
  <x:si>
    <x:t>NT550XED-KG01G</x:t>
  </x:si>
  <x:si>
    <x:t>20220117-0901</x:t>
  </x:si>
  <x:si>
    <x:t>NT550XED-KG03G</x:t>
  </x:si>
  <x:si>
    <x:t>B55PS.AS3700D</x:t>
  </x:si>
  <x:si>
    <x:t>R510-G.A285KN</x:t>
  </x:si>
  <x:si>
    <x:t>NT550XDA-KG03G</x:t>
  </x:si>
  <x:si>
    <x:t>NT370E5J-K06G</x:t>
  </x:si>
  <x:si>
    <x:t>A510-U.ARA2KN</x:t>
  </x:si>
  <x:si>
    <x:t>B55PQ.AS5G20D</x:t>
  </x:si>
  <x:si>
    <x:t>E500-G.A781KN</x:t>
  </x:si>
  <x:si>
    <x:t>20220117-0902</x:t>
  </x:si>
  <x:si>
    <x:t>학생회(구 WEE학생용)</x:t>
  </x:si>
  <x:si>
    <x:t>NT300E5L-K51G</x:t>
  </x:si>
  <x:si>
    <x:t>MHAA-AD-E7SAC</x:t>
  </x:si>
  <x:si>
    <x:t>NT500R5L-M01G</x:t>
  </x:si>
  <x:si>
    <x:t>SD100-GCR22S</x:t>
  </x:si>
  <x:si>
    <x:t>10.51.91.200</x:t>
  </x:si>
  <x:si>
    <x:t>20220117-0897</x:t>
  </x:si>
  <x:si>
    <x:t>WFG-H116FC-IGTB</x:t>
  </x:si>
  <x:si>
    <x:t>20030827-0049</x:t>
  </x:si>
  <x:si>
    <x:t>20030827-0078</x:t>
  </x:si>
  <x:si>
    <x:t>20030827-0081</x:t>
  </x:si>
  <x:si>
    <x:t>20230721-0903</x:t>
  </x:si>
  <x:si>
    <x:t>20220117-0898</x:t>
  </x:si>
  <x:si>
    <x:t>20030827-0071</x:t>
  </x:si>
  <x:si>
    <x:t>20030827-0079</x:t>
  </x:si>
  <x:si>
    <x:t>20030827-0051</x:t>
  </x:si>
  <x:si>
    <x:t>20220117-0900</x:t>
  </x:si>
  <x:si>
    <x:t>B55PH.AS5M10D</x:t>
  </x:si>
  <x:si>
    <x:t>administrator</x:t>
  </x:si>
  <x:si>
    <x:t>R410-G.A28LKN</x:t>
  </x:si>
  <x:si>
    <x:t>JY-환타스틱IA49P</x:t>
  </x:si>
  <x:si>
    <x:t>20230315-0919</x:t>
  </x:si>
  <x:si>
    <x:t>DG375-GA31-0BPS</x:t>
  </x:si>
  <x:si>
    <x:t>WEE 클래스(구 이옥경)</x:t>
  </x:si>
  <x:si>
    <x:t>EPSON B-310N</x:t>
  </x:si>
  <x:si>
    <x:t>S50PH.AS7410D</x:t>
  </x:si>
  <x:si>
    <x:t>R510-G.A28PKN</x:t>
  </x:si>
  <x:si>
    <x:t>B10KG.ACD400D</x:t>
  </x:si>
  <x:si>
    <x:t>NT500P7C-S04G</x:t>
  </x:si>
  <x:si>
    <x:t>B10KG.ATB300D</x:t>
  </x:si>
  <x:si>
    <x:t>구 무선망 AP 관리용</x:t>
  </x:si>
  <x:si>
    <x:t>Z20NP.AR3100D</x:t>
  </x:si>
  <x:si>
    <x:t>VITO RMH-545</x:t>
  </x:si>
  <x:si>
    <x:t>20230315-0920</x:t>
  </x:si>
  <x:si>
    <x:t>NT550XDA-KG01G</x:t>
  </x:si>
  <x:si>
    <x:t>Z75PS.AR5M10D</x:t>
  </x:si>
  <x:si>
    <x:t>S50PH.AS7400D</x:t>
  </x:si>
  <x:si>
    <x:t>Latitude3520</x:t>
  </x:si>
  <x:si>
    <x:t>DB-Z58/H301G</x:t>
  </x:si>
  <x:si>
    <x:t>N5800-G050-OU02</x:t>
  </x:si>
  <x:si>
    <x:t>NT370E5J-K04G</x:t>
  </x:si>
  <x:si>
    <x:t>A515-K.AF50KN</x:t>
  </x:si>
  <x:si>
    <x:t>KN_HI_INC_ADMIN</x:t>
  </x:si>
  <x:si>
    <x:t>에어컨 관리(구 김민정)</x:t>
  </x:si>
  <x:si>
    <x:t>TD210-GCL23S</x:t>
  </x:si>
  <x:si>
    <x:t>E500-G.A725KN</x:t>
  </x:si>
  <x:si>
    <x:t>VITO RMS-565S</x:t>
  </x:si>
  <x:si>
    <x:t>(원어민(Hadley))</x:t>
  </x:si>
  <x:si>
    <x:t>VITO RMS-565S1</x:t>
  </x:si>
  <x:si>
    <x:t>무선통합관리시스템(wNMS)</x:t>
  </x:si>
  <x:si>
    <x:t>10.59.87.149</x:t>
  </x:si>
  <x:si>
    <x:t>X570KG.ATP95D</x:t>
  </x:si>
  <x:si>
    <x:t>B10KN.ACC500D</x:t>
  </x:si>
  <x:si>
    <x:t>10.59.87.160</x:t>
  </x:si>
  <x:si>
    <x:t>Compaq ML110</x:t>
  </x:si>
  <x:si>
    <x:t>10.59.87.164</x:t>
  </x:si>
  <x:si>
    <x:t>10.59.87.173</x:t>
  </x:si>
  <x:si>
    <x:t>10.59.87.155</x:t>
  </x:si>
  <x:si>
    <x:t>EPSON WF-5620</x:t>
  </x:si>
  <x:si>
    <x:t>DM-Z58/N321G</x:t>
  </x:si>
  <x:si>
    <x:t>R570-K.AR76KN</x:t>
  </x:si>
  <x:si>
    <x:t>GN_HS_ICADMIN</x:t>
  </x:si>
  <x:si>
    <x:t>DocuPrint 3055</x:t>
  </x:si>
  <x:si>
    <x:t>10.59.87.151</x:t>
  </x:si>
  <x:si>
    <x:t>10.59.87.159</x:t>
  </x:si>
  <x:si>
    <x:t>10.59.87.148</x:t>
  </x:si>
  <x:si>
    <x:t>10.59.87.166</x:t>
  </x:si>
  <x:si>
    <x:t>10.59.87.162</x:t>
  </x:si>
  <x:si>
    <x:t>2020-02-04(마라톤)</x:t>
  </x:si>
  <x:si>
    <x:t>10.59.87.174</x:t>
  </x:si>
  <x:si>
    <x:t>DM-Z59/D320G</x:t>
  </x:si>
  <x:si>
    <x:t>DM-Z58/H301G</x:t>
  </x:si>
  <x:si>
    <x:t>NT550P7C-S04G</x:t>
  </x:si>
  <x:si>
    <x:t>20191224-0811</x:t>
  </x:si>
  <x:si>
    <x:t>2019.12.05(마라톤)</x:t>
  </x:si>
  <x:si>
    <x:t>10.59.87.152</x:t>
  </x:si>
  <x:si>
    <x:t>10.59.87.176</x:t>
  </x:si>
  <x:si>
    <x:t xml:space="preserve"> TASKalfa 4012i</x:t>
  </x:si>
  <x:si>
    <x:t>10.59.87.165</x:t>
  </x:si>
  <x:si>
    <x:t>인창고 Domain 관리</x:t>
  </x:si>
  <x:si>
    <x:t>TK-7119K(3011i)</x:t>
  </x:si>
  <x:si>
    <x:t>2022-03-07(누락분)</x:t>
  </x:si>
  <x:si>
    <x:t>DREAMSYSOFFICE</x:t>
  </x:si>
  <x:si>
    <x:t>DocuPrint C2200</x:t>
  </x:si>
  <x:si>
    <x:t>JY-네이션스IA45K</x:t>
  </x:si>
  <x:si>
    <x:t>A50PH.AR5A10D</x:t>
  </x:si>
  <x:si>
    <x:t>DB-P63A/QUAD</x:t>
  </x:si>
  <x:si>
    <x:t>4층 지리교과실(제거 예정)</x:t>
  </x:si>
  <x:si>
    <x:t>10.59.87.154</x:t>
  </x:si>
  <x:si>
    <x:t>10.59.87.167</x:t>
  </x:si>
  <x:si>
    <x:t>DM-P40/H300G</x:t>
  </x:si>
  <x:si>
    <x:t>10.59.87.163</x:t>
  </x:si>
  <x:si>
    <x:t>(10.51.90.116)</x:t>
  </x:si>
  <x:si>
    <x:t>10.59.87.172</x:t>
  </x:si>
  <x:si>
    <x:t>20191224-0812</x:t>
  </x:si>
  <x:si>
    <x:t>DM-V190-PA14G</x:t>
  </x:si>
  <x:si>
    <x:t>111G,232G,232G</x:t>
  </x:si>
  <x:si>
    <x:t>TK-7109(3010i)</x:t>
  </x:si>
  <x:si>
    <x:t>10.59.87.177</x:t>
  </x:si>
  <x:si>
    <x:t>야구부(5층컴퓨터실사용중)</x:t>
  </x:si>
  <x:si>
    <x:t>10.59.87.169</x:t>
  </x:si>
  <x:si>
    <x:t>2021-02-23(마라톤)</x:t>
  </x:si>
  <x:si>
    <x:t>2019-10-11(재생)</x:t>
  </x:si>
  <x:si>
    <x:t xml:space="preserve"> TASKalfa 4002i</x:t>
  </x:si>
  <x:si>
    <x:t>2022-10-05(마라톤)</x:t>
  </x:si>
  <x:si>
    <x:t>10.59.87.147</x:t>
  </x:si>
  <x:si>
    <x:t>10.59.87.156</x:t>
  </x:si>
  <x:si>
    <x:t>인창고 G Suiet 관리</x:t>
  </x:si>
  <x:si>
    <x:t>2021-10-06(교환)</x:t>
  </x:si>
  <x:si>
    <x:t>DS361A-245430</x:t>
  </x:si>
  <x:si>
    <x:t>10.59.87.179</x:t>
  </x:si>
  <x:si>
    <x:t>10.59.87.158</x:t>
  </x:si>
  <x:si>
    <x:t>한국후지제록스, DCC250</x:t>
  </x:si>
  <x:si>
    <x:t>20191224-0810</x:t>
  </x:si>
  <x:si>
    <x:t>10.59.87.170</x:t>
  </x:si>
  <x:si>
    <x:t>교육정보부 보관(예정)</x:t>
  </x:si>
  <x:si>
    <x:t>20191224-0816</x:t>
  </x:si>
  <x:si>
    <x:t>dlsckdrh#2018</x:t>
  </x:si>
  <x:si>
    <x:t>10.59.87.171</x:t>
  </x:si>
  <x:si>
    <x:t>20191224-0809</x:t>
  </x:si>
  <x:si>
    <x:t>10.59.87.175</x:t>
  </x:si>
  <x:si>
    <x:t>10.59.87.153</x:t>
  </x:si>
  <x:si>
    <x:t>20191224-0814</x:t>
  </x:si>
  <x:si>
    <x:t>2022-03-23(교환)</x:t>
  </x:si>
  <x:si>
    <x:t>10.59.87.157</x:t>
  </x:si>
  <x:si>
    <x:t>10.59.87.161</x:t>
  </x:si>
  <x:si>
    <x:t>10.59.87.178</x:t>
  </x:si>
  <x:si>
    <x:t>10.59.87.150</x:t>
  </x:si>
  <x:si>
    <x:t>(교사예비용10이었음)</x:t>
  </x:si>
  <x:si>
    <x:t>NT750XGK-KG71G</x:t>
  </x:si>
  <x:si>
    <x:t>20020628-0024</x:t>
  </x:si>
  <x:si>
    <x:t>20020628-0019</x:t>
  </x:si>
  <x:si>
    <x:t>(2024년부터 변경)</x:t>
  </x:si>
  <x:si>
    <x:t>스마트엑세스, D-30FWH</x:t>
  </x:si>
  <x:si>
    <x:t>20191224-0813</x:t>
  </x:si>
  <x:si>
    <x:t>위클래스 사용(2407)</x:t>
  </x:si>
  <x:si>
    <x:t>168.126.63.1</x:t>
  </x:si>
  <x:si>
    <x:t>20230315-0921</x:t>
  </x:si>
  <x:si>
    <x:t>학부모상주실(2025년도)</x:t>
  </x:si>
  <x:si>
    <x:t>도원산업, CF1-BTL33</x:t>
  </x:si>
  <x:si>
    <x:t>10.59.87.168</x:t>
  </x:si>
  <x:si>
    <x:t>20010702-0015</x:t>
  </x:si>
  <x:si>
    <x:t>20010702-0058</x:t>
  </x:si>
  <x:si>
    <x:t>20020628-0018</x:t>
  </x:si>
  <x:si>
    <x:t>NT750XGK-KG51G</x:t>
  </x:si>
  <x:si>
    <x:t>감사장(5/27~29)</x:t>
  </x:si>
  <x:si>
    <x:t>20191224-0815</x:t>
  </x:si>
  <x:si>
    <x:t>255.255.254.0</x:t>
  </x:si>
  <x:si>
    <x:t>교사 예비용8 학부모 대여</x:t>
  </x:si>
  <x:si>
    <x:t>TASKalfa3554ci</x:t>
  </x:si>
  <x:si>
    <x:t>dlsckdrh#2019</x:t>
  </x:si>
  <x:si>
    <x:t>10.51.90.106</x:t>
  </x:si>
  <x:si>
    <x:t>공모교장평가(11/5)</x:t>
  </x:si>
  <x:si>
    <x:t xml:space="preserve">Windows 11 Pro </x:t>
  </x:si>
  <x:si>
    <x:t>NT550XDA-KG11G</x:t>
  </x:si>
  <x:si>
    <x:t>NT750XGK-KG76P</x:t>
  </x:si>
  <x:si>
    <x:t>Sindoh B601_606</x:t>
  </x:si>
  <x:si>
    <x:t>20020628-0020</x:t>
  </x:si>
  <x:si>
    <x:t>20020628-0025</x:t>
  </x:si>
  <x:si>
    <x:t>20020628-0022</x:t>
  </x:si>
  <x:si>
    <x:t>10.51.90.213</x:t>
  </x:si>
  <x:si>
    <x:t>10.51.90.216</x:t>
  </x:si>
  <x:si>
    <x:t>10.51.90.204</x:t>
  </x:si>
  <x:si>
    <x:t>10.51.90.215</x:t>
  </x:si>
  <x:si>
    <x:t>10.51.90.228</x:t>
  </x:si>
  <x:si>
    <x:t>10.51.90.229</x:t>
  </x:si>
  <x:si>
    <x:t>10.51.90.210</x:t>
  </x:si>
  <x:si>
    <x:t>10.51.90.217</x:t>
  </x:si>
  <x:si>
    <x:t>10.51.90.230</x:t>
  </x:si>
  <x:si>
    <x:t>10.51.90.223</x:t>
  </x:si>
  <x:si>
    <x:t>10.51.90.205</x:t>
  </x:si>
  <x:si>
    <x:t>10.51.90.218</x:t>
  </x:si>
  <x:si>
    <x:t>10.51.90.222</x:t>
  </x:si>
  <x:si>
    <x:t>10.51.90.214</x:t>
  </x:si>
  <x:si>
    <x:t>10.51.90.221</x:t>
  </x:si>
  <x:si>
    <x:t>10.51.90.219</x:t>
  </x:si>
  <x:si>
    <x:t>20020628-0021</x:t>
  </x:si>
  <x:si>
    <x:t>10.51.90.234</x:t>
  </x:si>
  <x:si>
    <x:t>10.51.90.208</x:t>
  </x:si>
  <x:si>
    <x:t>10.51.90.225</x:t>
  </x:si>
  <x:si>
    <x:t>10.51.90.226</x:t>
  </x:si>
  <x:si>
    <x:t>10.51.90.220</x:t>
  </x:si>
  <x:si>
    <x:t>10.51.90.207</x:t>
  </x:si>
  <x:si>
    <x:t>20020628-0017</x:t>
  </x:si>
  <x:si>
    <x:t>10.51.90.203</x:t>
  </x:si>
  <x:si>
    <x:t>10.51.90.227</x:t>
  </x:si>
  <x:si>
    <x:t>10.51.90.211</x:t>
  </x:si>
  <x:si>
    <x:t>20020628-0023</x:t>
  </x:si>
  <x:si>
    <x:t>10.51.90.240</x:t>
  </x:si>
  <x:si>
    <x:t>10.51.90.212</x:t>
  </x:si>
  <x:si>
    <x:t>10.51.90.232</x:t>
  </x:si>
  <x:si>
    <x:t>10.51.90.209</x:t>
  </x:si>
  <x:si>
    <x:t>10.51.90.224</x:t>
  </x:si>
  <x:si>
    <x:t>10.51.90.235</x:t>
  </x:si>
  <x:si>
    <x:t>10.51.90.242</x:t>
  </x:si>
  <x:si>
    <x:t>10.51.90.237</x:t>
  </x:si>
  <x:si>
    <x:t>10.51.90.241</x:t>
  </x:si>
  <x:si>
    <x:t>10.51.90.239</x:t>
  </x:si>
  <x:si>
    <x:t>10.51.90.236</x:t>
  </x:si>
  <x:si>
    <x:t>10.51.90.206</x:t>
  </x:si>
  <x:si>
    <x:t>10.51.90.233</x:t>
  </x:si>
  <x:si>
    <x:t>10.51.91.105</x:t>
  </x:si>
  <x:si>
    <x:t>10.51.90.238</x:t>
  </x:si>
  <x:si>
    <x:t>10.51.91.114</x:t>
  </x:si>
  <x:si>
    <x:t>10.51.91.113</x:t>
  </x:si>
  <x:si>
    <x:t>10.51.91.100</x:t>
  </x:si>
  <x:si>
    <x:t>10.51.90.231</x:t>
  </x:si>
  <x:si>
    <x:t>10.51.91.107</x:t>
  </x:si>
  <x:si>
    <x:t>10.51.91.104</x:t>
  </x:si>
  <x:si>
    <x:t>10.51.91.103</x:t>
  </x:si>
  <x:si>
    <x:t>10.51.91.102</x:t>
  </x:si>
  <x:si>
    <x:t>10.51.91.108</x:t>
  </x:si>
  <x:si>
    <x:t>10.51.91.109</x:t>
  </x:si>
  <x:si>
    <x:t>10.51.91.106</x:t>
  </x:si>
  <x:si>
    <x:t>10.51.91.101</x:t>
  </x:si>
  <x:si>
    <x:t>10.51.91.110</x:t>
  </x:si>
  <x:si>
    <x:t>10.51.91.111</x:t>
  </x:si>
  <x:si>
    <x:t>10.51.91.112</x:t>
  </x:si>
  <x:si>
    <x:t>10.51.91.117</x:t>
  </x:si>
  <x:si>
    <x:t>10.51.91.130</x:t>
  </x:si>
  <x:si>
    <x:t>10.51.91.116</x:t>
  </x:si>
  <x:si>
    <x:t>10.51.91.123</x:t>
  </x:si>
  <x:si>
    <x:t>10.51.91.118</x:t>
  </x:si>
  <x:si>
    <x:t>10.51.91.128</x:t>
  </x:si>
  <x:si>
    <x:t>10.51.91.129</x:t>
  </x:si>
  <x:si>
    <x:t>10.51.91.126</x:t>
  </x:si>
  <x:si>
    <x:t>10.51.91.144</x:t>
  </x:si>
  <x:si>
    <x:t>10.51.91.132</x:t>
  </x:si>
  <x:si>
    <x:t>10.51.91.137</x:t>
  </x:si>
  <x:si>
    <x:t>10.51.91.139</x:t>
  </x:si>
  <x:si>
    <x:t>10.51.91.131</x:t>
  </x:si>
  <x:si>
    <x:t>10.51.91.119</x:t>
  </x:si>
  <x:si>
    <x:t>10.51.91.135</x:t>
  </x:si>
  <x:si>
    <x:t>10.51.91.142</x:t>
  </x:si>
  <x:si>
    <x:t>10.51.91.145</x:t>
  </x:si>
  <x:si>
    <x:t>10.51.91.122</x:t>
  </x:si>
  <x:si>
    <x:t>10.51.91.141</x:t>
  </x:si>
  <x:si>
    <x:t>10.51.91.134</x:t>
  </x:si>
  <x:si>
    <x:t>10.51.91.127</x:t>
  </x:si>
  <x:si>
    <x:t>10.51.91.124</x:t>
  </x:si>
  <x:si>
    <x:t>10.51.91.133</x:t>
  </x:si>
  <x:si>
    <x:t>10.51.91.143</x:t>
  </x:si>
  <x:si>
    <x:t>10.51.91.120</x:t>
  </x:si>
  <x:si>
    <x:t>10.51.91.136</x:t>
  </x:si>
  <x:si>
    <x:t>10.51.91.140</x:t>
  </x:si>
  <x:si>
    <x:t>10.51.91.121</x:t>
  </x:si>
  <x:si>
    <x:t>10.51.91.125</x:t>
  </x:si>
  <x:si>
    <x:t>10.51.91.138</x:t>
  </x:si>
  <x:si>
    <x:t>10.51.91.115</x:t>
  </x:si>
  <x:si>
    <x:t>20030827-0089</x:t>
  </x:si>
  <x:si>
    <x:t>20200717-0846</x:t>
  </x:si>
  <x:si>
    <x:t>20201021-0858</x:t>
  </x:si>
  <x:si>
    <x:t>20201021-0856</x:t>
  </x:si>
  <x:si>
    <x:t>20030827-0087</x:t>
  </x:si>
  <x:si>
    <x:t>20200717-0840</x:t>
  </x:si>
  <x:si>
    <x:t>10.54.37.129</x:t>
  </x:si>
  <x:si>
    <x:t>10.54.37.127</x:t>
  </x:si>
  <x:si>
    <x:t>10.54.37.122</x:t>
  </x:si>
  <x:si>
    <x:t>20200717-0844</x:t>
  </x:si>
  <x:si>
    <x:t>20200925-0854</x:t>
  </x:si>
  <x:si>
    <x:t>10.51.91.146</x:t>
  </x:si>
  <x:si>
    <x:t>20030827-0086</x:t>
  </x:si>
  <x:si>
    <x:t>10.54.37.126</x:t>
  </x:si>
  <x:si>
    <x:t>20200717-0845</x:t>
  </x:si>
  <x:si>
    <x:t>20200717-0843</x:t>
  </x:si>
  <x:si>
    <x:t>10.54.37.121</x:t>
  </x:si>
  <x:si>
    <x:t>10.54.37.128</x:t>
  </x:si>
  <x:si>
    <x:t>20200717-0836</x:t>
  </x:si>
  <x:si>
    <x:t>10.54.37.125</x:t>
  </x:si>
  <x:si>
    <x:t>20201021-0859</x:t>
  </x:si>
  <x:si>
    <x:t>20030827-0090</x:t>
  </x:si>
  <x:si>
    <x:t>10.54.37.124</x:t>
  </x:si>
  <x:si>
    <x:t>20030827-0091</x:t>
  </x:si>
  <x:si>
    <x:t>10.54.36.102</x:t>
  </x:si>
  <x:si>
    <x:t>20200717-0847</x:t>
  </x:si>
  <x:si>
    <x:t>20201021-0860</x:t>
  </x:si>
  <x:si>
    <x:t>10.54.37.131</x:t>
  </x:si>
  <x:si>
    <x:t>20201021-0857</x:t>
  </x:si>
  <x:si>
    <x:t>20030827-0088</x:t>
  </x:si>
  <x:si>
    <x:t>20201021-0855</x:t>
  </x:si>
  <x:si>
    <x:t>10.54.37.130</x:t>
  </x:si>
  <x:si>
    <x:t>10.54.37.112</x:t>
  </x:si>
  <x:si>
    <x:t>20200717-0831</x:t>
  </x:si>
  <x:si>
    <x:t>10.54.37.116</x:t>
  </x:si>
  <x:si>
    <x:t>20200717-0832</x:t>
  </x:si>
  <x:si>
    <x:t>20030827-0100</x:t>
  </x:si>
  <x:si>
    <x:t>10.54.37.107</x:t>
  </x:si>
  <x:si>
    <x:t>20200717-0841</x:t>
  </x:si>
  <x:si>
    <x:t>10.54.37.113</x:t>
  </x:si>
  <x:si>
    <x:t>10.54.37.109</x:t>
  </x:si>
  <x:si>
    <x:t>10.54.37.117</x:t>
  </x:si>
  <x:si>
    <x:t>10.54.37.118</x:t>
  </x:si>
  <x:si>
    <x:t>20200717-0834</x:t>
  </x:si>
  <x:si>
    <x:t>20200717-0829</x:t>
  </x:si>
  <x:si>
    <x:t>20200717-0842</x:t>
  </x:si>
  <x:si>
    <x:t>10.54.37.106</x:t>
  </x:si>
  <x:si>
    <x:t>20200717-0835</x:t>
  </x:si>
  <x:si>
    <x:t>20200717-0827</x:t>
  </x:si>
  <x:si>
    <x:t>20200717-0825</x:t>
  </x:si>
  <x:si>
    <x:t>10.54.37.119</x:t>
  </x:si>
  <x:si>
    <x:t>10.54.37.123</x:t>
  </x:si>
  <x:si>
    <x:t>20200717-0839</x:t>
  </x:si>
  <x:si>
    <x:t>20200717-0833</x:t>
  </x:si>
  <x:si>
    <x:t>20200717-0830</x:t>
  </x:si>
  <x:si>
    <x:t>20200717-0837</x:t>
  </x:si>
  <x:si>
    <x:t>10.54.37.111</x:t>
  </x:si>
  <x:si>
    <x:t>10.54.37.114</x:t>
  </x:si>
  <x:si>
    <x:t>10.54.37.120</x:t>
  </x:si>
  <x:si>
    <x:t>20200717-0838</x:t>
  </x:si>
  <x:si>
    <x:t>20200717-0828</x:t>
  </x:si>
  <x:si>
    <x:t>20200717-0826</x:t>
  </x:si>
  <x:si>
    <x:t>10.54.37.110</x:t>
  </x:si>
  <x:si>
    <x:t>10.54.37.115</x:t>
  </x:si>
  <x:si>
    <x:t>20190927-0804</x:t>
  </x:si>
  <x:si>
    <x:t>20050407-0248</x:t>
  </x:si>
  <x:si>
    <x:t>20041217-0239</x:t>
  </x:si>
  <x:si>
    <x:t>20050715-0265</x:t>
  </x:si>
  <x:si>
    <x:t>20050224-0257</x:t>
  </x:si>
  <x:si>
    <x:t>10.51.90.128</x:t>
  </x:si>
  <x:si>
    <x:t>20190927-0806</x:t>
  </x:si>
  <x:si>
    <x:t>20190927-0807</x:t>
  </x:si>
  <x:si>
    <x:t>20041217-0240</x:t>
  </x:si>
  <x:si>
    <x:t>20200717-0820</x:t>
  </x:si>
  <x:si>
    <x:t>10.54.37.104</x:t>
  </x:si>
  <x:si>
    <x:t>20200717-0823</x:t>
  </x:si>
  <x:si>
    <x:t>20050715-0250</x:t>
  </x:si>
  <x:si>
    <x:t>20040313-0056</x:t>
  </x:si>
  <x:si>
    <x:t>20040302-0096</x:t>
  </x:si>
  <x:si>
    <x:t>20200717-0824</x:t>
  </x:si>
  <x:si>
    <x:t>10.54.37.108</x:t>
  </x:si>
  <x:si>
    <x:t>20200717-0819</x:t>
  </x:si>
  <x:si>
    <x:t>20200717-0818</x:t>
  </x:si>
  <x:si>
    <x:t>10.54.37.102</x:t>
  </x:si>
  <x:si>
    <x:t>20030827-0197</x:t>
  </x:si>
  <x:si>
    <x:t>20030827-0198</x:t>
  </x:si>
  <x:si>
    <x:t>20050715-0264</x:t>
  </x:si>
  <x:si>
    <x:t>20030827-0092</x:t>
  </x:si>
  <x:si>
    <x:t>20200717-0821</x:t>
  </x:si>
  <x:si>
    <x:t>20030827-0192</x:t>
  </x:si>
  <x:si>
    <x:t>20050407-0246</x:t>
  </x:si>
  <x:si>
    <x:t>10.54.37.103</x:t>
  </x:si>
  <x:si>
    <x:t>20200717-0822</x:t>
  </x:si>
  <x:si>
    <x:t>20030827-0102</x:t>
  </x:si>
  <x:si>
    <x:t>10.54.37.105</x:t>
  </x:si>
  <x:si>
    <x:t>20040119-0199</x:t>
  </x:si>
  <x:si>
    <x:t>20180521-0776</x:t>
  </x:si>
  <x:si>
    <x:t>20050715-0268</x:t>
  </x:si>
  <x:si>
    <x:t>20050728-0276</x:t>
  </x:si>
  <x:si>
    <x:t>20050728-0281</x:t>
  </x:si>
  <x:si>
    <x:t>20050728-0282</x:t>
  </x:si>
  <x:si>
    <x:t>20061118-0385</x:t>
  </x:si>
  <x:si>
    <x:t>20040226-0005</x:t>
  </x:si>
  <x:si>
    <x:t>20050715-0269</x:t>
  </x:si>
  <x:si>
    <x:t>20050715-0272</x:t>
  </x:si>
  <x:si>
    <x:t>20050728-0273</x:t>
  </x:si>
  <x:si>
    <x:t>20050728-0283</x:t>
  </x:si>
  <x:si>
    <x:t>20050728-0279</x:t>
  </x:si>
  <x:si>
    <x:t>20050728-0278</x:t>
  </x:si>
  <x:si>
    <x:t>20050715-0271</x:t>
  </x:si>
  <x:si>
    <x:t>20050728-0274</x:t>
  </x:si>
  <x:si>
    <x:t>20050728-0251</x:t>
  </x:si>
  <x:si>
    <x:t>20050728-0275</x:t>
  </x:si>
  <x:si>
    <x:t>20180601-0777</x:t>
  </x:si>
  <x:si>
    <x:t>20050407-0247</x:t>
  </x:si>
  <x:si>
    <x:t>20050728-0280</x:t>
  </x:si>
  <x:si>
    <x:t>20180601-0778</x:t>
  </x:si>
  <x:si>
    <x:t>20050715-0267</x:t>
  </x:si>
  <x:si>
    <x:t>20050715-0270</x:t>
  </x:si>
  <x:si>
    <x:t>20050407-0245</x:t>
  </x:si>
  <x:si>
    <x:t>20050728-0277</x:t>
  </x:si>
  <x:si>
    <x:t>10.51.91.147</x:t>
  </x:si>
  <x:si>
    <x:t>20050715-0266</x:t>
  </x:si>
  <x:si>
    <x:t>20061228-0393</x:t>
  </x:si>
  <x:si>
    <x:t>20070510-0408</x:t>
  </x:si>
  <x:si>
    <x:t>20161223-0733</x:t>
  </x:si>
  <x:si>
    <x:t>20070510-0412</x:t>
  </x:si>
  <x:si>
    <x:t>20161107-0763</x:t>
  </x:si>
  <x:si>
    <x:t>20070510-0406</x:t>
  </x:si>
  <x:si>
    <x:t>20070510-0409</x:t>
  </x:si>
  <x:si>
    <x:t>20061118-0392</x:t>
  </x:si>
  <x:si>
    <x:t>20070510-0411</x:t>
  </x:si>
  <x:si>
    <x:t>20061118-0391</x:t>
  </x:si>
  <x:si>
    <x:t>20061228-0398</x:t>
  </x:si>
  <x:si>
    <x:t>20060520-0384</x:t>
  </x:si>
  <x:si>
    <x:t>20070510-0410</x:t>
  </x:si>
  <x:si>
    <x:t>10.51.90.111</x:t>
  </x:si>
  <x:si>
    <x:t>20061118-0386</x:t>
  </x:si>
  <x:si>
    <x:t>20061118-0388</x:t>
  </x:si>
  <x:si>
    <x:t>20050930-0377</x:t>
  </x:si>
  <x:si>
    <x:t>20060520-0376</x:t>
  </x:si>
  <x:si>
    <x:t>20161017-0720</x:t>
  </x:si>
  <x:si>
    <x:t>10.54.38.127</x:t>
  </x:si>
  <x:si>
    <x:t>10.54.38.100</x:t>
  </x:si>
  <x:si>
    <x:t>10.54.38.125</x:t>
  </x:si>
  <x:si>
    <x:t>10.54.38.133</x:t>
  </x:si>
  <x:si>
    <x:t>10.54.38.101</x:t>
  </x:si>
  <x:si>
    <x:t>20161017-0729</x:t>
  </x:si>
  <x:si>
    <x:t>20161017-0726</x:t>
  </x:si>
  <x:si>
    <x:t>20161017-0731</x:t>
  </x:si>
  <x:si>
    <x:t>20161017-0719</x:t>
  </x:si>
  <x:si>
    <x:t>20061118-0390</x:t>
  </x:si>
  <x:si>
    <x:t>20061228-0397</x:t>
  </x:si>
  <x:si>
    <x:t>20061228-0395</x:t>
  </x:si>
  <x:si>
    <x:t>20061228-0396</x:t>
  </x:si>
  <x:si>
    <x:t>20161017-0728</x:t>
  </x:si>
  <x:si>
    <x:t>20161017-0722</x:t>
  </x:si>
  <x:si>
    <x:t>10.54.38.131</x:t>
  </x:si>
  <x:si>
    <x:t>10.54.38.126</x:t>
  </x:si>
  <x:si>
    <x:t>20060520-0383</x:t>
  </x:si>
  <x:si>
    <x:t>20070510-0407</x:t>
  </x:si>
  <x:si>
    <x:t>20061228-0394</x:t>
  </x:si>
  <x:si>
    <x:t>20061118-0387</x:t>
  </x:si>
  <x:si>
    <x:t>20060520-0382</x:t>
  </x:si>
  <x:si>
    <x:t>20161017-0723</x:t>
  </x:si>
  <x:si>
    <x:t>20060520-0381</x:t>
  </x:si>
  <x:si>
    <x:t>10.54.38.136</x:t>
  </x:si>
  <x:si>
    <x:t>20061118-0389</x:t>
  </x:si>
  <x:si>
    <x:t>10.54.38.134</x:t>
  </x:si>
  <x:si>
    <x:t>20161017-0704</x:t>
  </x:si>
  <x:si>
    <x:t>10.54.38.123</x:t>
  </x:si>
  <x:si>
    <x:t>10.54.38.122</x:t>
  </x:si>
  <x:si>
    <x:t>20161017-0727</x:t>
  </x:si>
  <x:si>
    <x:t>20161017-0714</x:t>
  </x:si>
  <x:si>
    <x:t>20161017-0711</x:t>
  </x:si>
  <x:si>
    <x:t>10.54.38.116</x:t>
  </x:si>
  <x:si>
    <x:t>10.54.38.114</x:t>
  </x:si>
  <x:si>
    <x:t>10.54.38.128</x:t>
  </x:si>
  <x:si>
    <x:t>10.54.38.109</x:t>
  </x:si>
  <x:si>
    <x:t>10.54.36.103</x:t>
  </x:si>
  <x:si>
    <x:t>20161017-0705</x:t>
  </x:si>
  <x:si>
    <x:t>10.54.38.132</x:t>
  </x:si>
  <x:si>
    <x:t>20161017-0725</x:t>
  </x:si>
  <x:si>
    <x:t>20161017-0718</x:t>
  </x:si>
  <x:si>
    <x:t>20161017-0713</x:t>
  </x:si>
  <x:si>
    <x:t>10.54.38.110</x:t>
  </x:si>
  <x:si>
    <x:t>20161017-0721</x:t>
  </x:si>
  <x:si>
    <x:t>10.54.38.130</x:t>
  </x:si>
  <x:si>
    <x:t>20161017-0709</x:t>
  </x:si>
  <x:si>
    <x:t>20161017-0730</x:t>
  </x:si>
  <x:si>
    <x:t>10.54.38.118</x:t>
  </x:si>
  <x:si>
    <x:t>10.54.38.111</x:t>
  </x:si>
  <x:si>
    <x:t>10.54.38.135</x:t>
  </x:si>
  <x:si>
    <x:t>10.54.38.115</x:t>
  </x:si>
  <x:si>
    <x:t>10.54.38.112</x:t>
  </x:si>
  <x:si>
    <x:t>10.54.38.124</x:t>
  </x:si>
  <x:si>
    <x:t>20161017-0708</x:t>
  </x:si>
  <x:si>
    <x:t>20161017-0724</x:t>
  </x:si>
  <x:si>
    <x:t>20161017-0732</x:t>
  </x:si>
  <x:si>
    <x:t>10.54.38.129</x:t>
  </x:si>
  <x:si>
    <x:t>10.54.38.113</x:t>
  </x:si>
  <x:si>
    <x:t>20161017-0710</x:t>
  </x:si>
  <x:si>
    <x:t>20160115-0765</x:t>
  </x:si>
  <x:si>
    <x:t>20161017-0699</x:t>
  </x:si>
  <x:si>
    <x:t>20070829-0417</x:t>
  </x:si>
  <x:si>
    <x:t>20070829-0421</x:t>
  </x:si>
  <x:si>
    <x:t>20070829-0422</x:t>
  </x:si>
  <x:si>
    <x:t>10.54.38.121</x:t>
  </x:si>
  <x:si>
    <x:t>20161017-0706</x:t>
  </x:si>
  <x:si>
    <x:t>20160107-0774</x:t>
  </x:si>
  <x:si>
    <x:t>20161017-0716</x:t>
  </x:si>
  <x:si>
    <x:t>20161017-0717</x:t>
  </x:si>
  <x:si>
    <x:t>10.54.38.119</x:t>
  </x:si>
  <x:si>
    <x:t>20161017-0703</x:t>
  </x:si>
  <x:si>
    <x:t>10.54.38.102</x:t>
  </x:si>
  <x:si>
    <x:t>20070829-0423</x:t>
  </x:si>
  <x:si>
    <x:t>20070829-0419</x:t>
  </x:si>
  <x:si>
    <x:t>10.54.38.108</x:t>
  </x:si>
  <x:si>
    <x:t>20160115-0764</x:t>
  </x:si>
  <x:si>
    <x:t>20161017-0700</x:t>
  </x:si>
  <x:si>
    <x:t>20070829-0413</x:t>
  </x:si>
  <x:si>
    <x:t>10.54.38.117</x:t>
  </x:si>
  <x:si>
    <x:t>10.51.91.148</x:t>
  </x:si>
  <x:si>
    <x:t>10.54.38.103</x:t>
  </x:si>
  <x:si>
    <x:t>20070829-0415</x:t>
  </x:si>
  <x:si>
    <x:t>20070829-0416</x:t>
  </x:si>
  <x:si>
    <x:t>10.54.38.106</x:t>
  </x:si>
  <x:si>
    <x:t>20161017-0697</x:t>
  </x:si>
  <x:si>
    <x:t>10.54.38.120</x:t>
  </x:si>
  <x:si>
    <x:t>20161017-0715</x:t>
  </x:si>
  <x:si>
    <x:t>10.54.38.104</x:t>
  </x:si>
  <x:si>
    <x:t>20161017-0707</x:t>
  </x:si>
  <x:si>
    <x:t>20161017-0712</x:t>
  </x:si>
  <x:si>
    <x:t>20070829-0427</x:t>
  </x:si>
  <x:si>
    <x:t>20161017-0701</x:t>
  </x:si>
  <x:si>
    <x:t>20070829-0424</x:t>
  </x:si>
  <x:si>
    <x:t>20070829-0420</x:t>
  </x:si>
  <x:si>
    <x:t>20070829-0426</x:t>
  </x:si>
  <x:si>
    <x:t>20080821-0456</x:t>
  </x:si>
  <x:si>
    <x:t>10.54.38.105</x:t>
  </x:si>
  <x:si>
    <x:t>20080110-0449</x:t>
  </x:si>
  <x:si>
    <x:t>20080821-0455</x:t>
  </x:si>
  <x:si>
    <x:t>20080110-0452</x:t>
  </x:si>
  <x:si>
    <x:t>20151218-0771</x:t>
  </x:si>
  <x:si>
    <x:t>20080821-0458</x:t>
  </x:si>
  <x:si>
    <x:t>20070829-0414</x:t>
  </x:si>
  <x:si>
    <x:t>20070829-0430</x:t>
  </x:si>
  <x:si>
    <x:t>20070829-0429</x:t>
  </x:si>
  <x:si>
    <x:t>20080110-0445</x:t>
  </x:si>
  <x:si>
    <x:t>20080110-0447</x:t>
  </x:si>
  <x:si>
    <x:t>20080821-0459</x:t>
  </x:si>
  <x:si>
    <x:t>20150825-0767</x:t>
  </x:si>
  <x:si>
    <x:t>20161017-0696</x:t>
  </x:si>
  <x:si>
    <x:t>20080821-0457</x:t>
  </x:si>
  <x:si>
    <x:t>20150825-0768</x:t>
  </x:si>
  <x:si>
    <x:t>20070829-0425</x:t>
  </x:si>
  <x:si>
    <x:t>20070829-0418</x:t>
  </x:si>
  <x:si>
    <x:t>20080110-0453</x:t>
  </x:si>
  <x:si>
    <x:t>20150223-0672</x:t>
  </x:si>
  <x:si>
    <x:t>20161017-0698</x:t>
  </x:si>
  <x:si>
    <x:t>20080821-0461</x:t>
  </x:si>
  <x:si>
    <x:t>20080110-0448</x:t>
  </x:si>
  <x:si>
    <x:t>10.54.38.107</x:t>
  </x:si>
  <x:si>
    <x:t>10.51.90.147</x:t>
  </x:si>
  <x:si>
    <x:t>20161017-0702</x:t>
  </x:si>
  <x:si>
    <x:t>20080821-0470</x:t>
  </x:si>
  <x:si>
    <x:t>20130902-0654</x:t>
  </x:si>
  <x:si>
    <x:t>20140810-0658</x:t>
  </x:si>
  <x:si>
    <x:t>20140810-0656</x:t>
  </x:si>
  <x:si>
    <x:t>20080821-0465</x:t>
  </x:si>
  <x:si>
    <x:t>20130329-0647</x:t>
  </x:si>
  <x:si>
    <x:t>20080821-0463</x:t>
  </x:si>
  <x:si>
    <x:t>20080821-0476</x:t>
  </x:si>
  <x:si>
    <x:t>20080821-0467</x:t>
  </x:si>
  <x:si>
    <x:t>20080821-0454</x:t>
  </x:si>
  <x:si>
    <x:t>20140603-0770</x:t>
  </x:si>
  <x:si>
    <x:t>20080821-0460</x:t>
  </x:si>
  <x:si>
    <x:t>20120113-0621</x:t>
  </x:si>
  <x:si>
    <x:t>20120113-0620</x:t>
  </x:si>
  <x:si>
    <x:t>20130329-0646</x:t>
  </x:si>
  <x:si>
    <x:t>20150825-0766</x:t>
  </x:si>
  <x:si>
    <x:t>20070829-0428</x:t>
  </x:si>
  <x:si>
    <x:t>20080821-0468</x:t>
  </x:si>
  <x:si>
    <x:t>20080821-0471</x:t>
  </x:si>
  <x:si>
    <x:t>20080110-0450</x:t>
  </x:si>
  <x:si>
    <x:t>20080821-0466</x:t>
  </x:si>
  <x:si>
    <x:t>20140810-0657</x:t>
  </x:si>
  <x:si>
    <x:t>20080110-0451</x:t>
  </x:si>
  <x:si>
    <x:t>20080821-0472</x:t>
  </x:si>
  <x:si>
    <x:t>20080821-0464</x:t>
  </x:si>
  <x:si>
    <x:t>10.51.91.149</x:t>
  </x:si>
  <x:si>
    <x:t>20080821-0473</x:t>
  </x:si>
  <x:si>
    <x:t>20080110-0446</x:t>
  </x:si>
  <x:si>
    <x:t>20080821-0474</x:t>
  </x:si>
  <x:si>
    <x:t>20080821-0469</x:t>
  </x:si>
  <x:si>
    <x:t>20150825-0769</x:t>
  </x:si>
  <x:si>
    <x:t>20080821-0462</x:t>
  </x:si>
  <x:si>
    <x:t>20120524-0649</x:t>
  </x:si>
  <x:si>
    <x:t>20090305-0494</x:t>
  </x:si>
  <x:si>
    <x:t>20081224-0482</x:t>
  </x:si>
  <x:si>
    <x:t>20120113-0619</x:t>
  </x:si>
  <x:si>
    <x:t>20120113-0622</x:t>
  </x:si>
  <x:si>
    <x:t>20120113-0627</x:t>
  </x:si>
  <x:si>
    <x:t>20120524-0653</x:t>
  </x:si>
  <x:si>
    <x:t>20120524-0650</x:t>
  </x:si>
  <x:si>
    <x:t>20090305-0495</x:t>
  </x:si>
  <x:si>
    <x:t>20080821-0560</x:t>
  </x:si>
  <x:si>
    <x:t>20120113-0624</x:t>
  </x:si>
  <x:si>
    <x:t>20120522-0648</x:t>
  </x:si>
  <x:si>
    <x:t>20080821-0478</x:t>
  </x:si>
  <x:si>
    <x:t>20080821-0480</x:t>
  </x:si>
  <x:si>
    <x:t>20120524-0652</x:t>
  </x:si>
  <x:si>
    <x:t>20120113-0626</x:t>
  </x:si>
  <x:si>
    <x:t>20080821-0481</x:t>
  </x:si>
  <x:si>
    <x:t>20120113-0623</x:t>
  </x:si>
  <x:si>
    <x:t>20090515-0497</x:t>
  </x:si>
  <x:si>
    <x:t>20081224-0484</x:t>
  </x:si>
  <x:si>
    <x:t>20120113-0625</x:t>
  </x:si>
  <x:si>
    <x:t>20080821-0479</x:t>
  </x:si>
  <x:si>
    <x:t>20120113-0617</x:t>
  </x:si>
  <x:si>
    <x:t>20120113-0613</x:t>
  </x:si>
  <x:si>
    <x:t>20120113-0616</x:t>
  </x:si>
  <x:si>
    <x:t>20120113-0602</x:t>
  </x:si>
  <x:si>
    <x:t>20120113-0590</x:t>
  </x:si>
  <x:si>
    <x:t>20120113-0609</x:t>
  </x:si>
  <x:si>
    <x:t>20081224-0483</x:t>
  </x:si>
  <x:si>
    <x:t>20120113-0601</x:t>
  </x:si>
  <x:si>
    <x:t>20120113-0597</x:t>
  </x:si>
  <x:si>
    <x:t>20120113-0611</x:t>
  </x:si>
  <x:si>
    <x:t>20120113-0594</x:t>
  </x:si>
  <x:si>
    <x:t>20120113-0604</x:t>
  </x:si>
  <x:si>
    <x:t>20120113-0596</x:t>
  </x:si>
  <x:si>
    <x:t>20120113-0592</x:t>
  </x:si>
  <x:si>
    <x:t>20080821-0477</x:t>
  </x:si>
  <x:si>
    <x:t>20120113-0591</x:t>
  </x:si>
  <x:si>
    <x:t>20120113-0599</x:t>
  </x:si>
  <x:si>
    <x:t>20120113-0607</x:t>
  </x:si>
  <x:si>
    <x:t>20120113-0605</x:t>
  </x:si>
  <x:si>
    <x:t>20120113-0603</x:t>
  </x:si>
  <x:si>
    <x:t>20120113-0612</x:t>
  </x:si>
  <x:si>
    <x:t>20120113-0595</x:t>
  </x:si>
  <x:si>
    <x:t>20120113-0589</x:t>
  </x:si>
  <x:si>
    <x:t>20120113-0618</x:t>
  </x:si>
  <x:si>
    <x:t>20120113-0606</x:t>
  </x:si>
  <x:si>
    <x:t>20120524-0651</x:t>
  </x:si>
  <x:si>
    <x:t>20120113-0598</x:t>
  </x:si>
  <x:si>
    <x:t>20120113-0593</x:t>
  </x:si>
  <x:si>
    <x:t>20120113-0614</x:t>
  </x:si>
  <x:si>
    <x:t>20111006-0566</x:t>
  </x:si>
  <x:si>
    <x:t>20120113-0610</x:t>
  </x:si>
  <x:si>
    <x:t>20120113-0569</x:t>
  </x:si>
  <x:si>
    <x:t>20120113-0608</x:t>
  </x:si>
  <x:si>
    <x:t>20110905-0565</x:t>
  </x:si>
  <x:si>
    <x:t>20120113-0570</x:t>
  </x:si>
  <x:si>
    <x:t>20120113-0585</x:t>
  </x:si>
  <x:si>
    <x:t>20120113-0586</x:t>
  </x:si>
  <x:si>
    <x:t>20120113-0588</x:t>
  </x:si>
  <x:si>
    <x:t>20120113-0571</x:t>
  </x:si>
  <x:si>
    <x:t>20120113-0581</x:t>
  </x:si>
  <x:si>
    <x:t>20120113-0600</x:t>
  </x:si>
  <x:si>
    <x:t>20110627-0561</x:t>
  </x:si>
  <x:si>
    <x:t>20090515-0531</x:t>
  </x:si>
  <x:si>
    <x:t>20090515-0534</x:t>
  </x:si>
  <x:si>
    <x:t>20091013-0546</x:t>
  </x:si>
  <x:si>
    <x:t>20100226-0543</x:t>
  </x:si>
  <x:si>
    <x:t>20100726-0549</x:t>
  </x:si>
  <x:si>
    <x:t>20100226-0540</x:t>
  </x:si>
  <x:si>
    <x:t>20120113-0579</x:t>
  </x:si>
  <x:si>
    <x:t>20120113-0584</x:t>
  </x:si>
  <x:si>
    <x:t>20120113-0580</x:t>
  </x:si>
  <x:si>
    <x:t>20120113-0582</x:t>
  </x:si>
  <x:si>
    <x:t>10.51.91.150</x:t>
  </x:si>
  <x:si>
    <x:t>20120113-0583</x:t>
  </x:si>
  <x:si>
    <x:t>20110927-0567</x:t>
  </x:si>
  <x:si>
    <x:t>20090515-0533</x:t>
  </x:si>
  <x:si>
    <x:t>20091230-0545</x:t>
  </x:si>
  <x:si>
    <x:t>20120113-0568</x:t>
  </x:si>
  <x:si>
    <x:t>20120101-0615</x:t>
  </x:si>
  <x:si>
    <x:t>20090515-0498</x:t>
  </x:si>
  <x:si>
    <x:t>20090515-0499</x:t>
  </x:si>
  <x:si>
    <x:t>20120113-0587</x:t>
  </x:si>
  <x:si>
    <x:t>20090515-0532</x:t>
  </x:si>
  <x:si>
    <x:t>20090515-0503</x:t>
  </x:si>
  <x:si>
    <x:t>20100726-0550</x:t>
  </x:si>
  <x:si>
    <x:t>20090515-0505</x:t>
  </x:si>
  <x:si>
    <x:t>20100226-0542</x:t>
  </x:si>
  <x:si>
    <x:t>20090515-0504</x:t>
  </x:si>
  <x:si>
    <x:t>20100726-0551</x:t>
  </x:si>
  <x:si>
    <x:t>20090515-0510</x:t>
  </x:si>
  <x:si>
    <x:t>20090515-0517</x:t>
  </x:si>
  <x:si>
    <x:t>20090515-0518</x:t>
  </x:si>
  <x:si>
    <x:t>20091201-0548</x:t>
  </x:si>
  <x:si>
    <x:t>10.51.91.152</x:t>
  </x:si>
  <x:si>
    <x:t>20090515-0519</x:t>
  </x:si>
  <x:si>
    <x:t>20110216-0557</x:t>
  </x:si>
  <x:si>
    <x:t>20090515-0501</x:t>
  </x:si>
  <x:si>
    <x:t>20100726-0552</x:t>
  </x:si>
  <x:si>
    <x:t>10.51.91.151</x:t>
  </x:si>
  <x:si>
    <x:t>20100226-0544</x:t>
  </x:si>
  <x:si>
    <x:t>20100226-0541</x:t>
  </x:si>
  <x:si>
    <x:t>20090515-0500</x:t>
  </x:si>
  <x:si>
    <x:t>20090515-0502</x:t>
  </x:si>
  <x:si>
    <x:t>20090515-0506</x:t>
  </x:si>
  <x:si>
    <x:t>20090515-0509</x:t>
  </x:si>
  <x:si>
    <x:t>20110103-0556</x:t>
  </x:si>
  <x:si>
    <x:t>20090515-0530</x:t>
  </x:si>
  <x:si>
    <x:t>20090515-0529</x:t>
  </x:si>
  <x:si>
    <x:t>20090515-0528</x:t>
  </x:si>
  <x:si>
    <x:t>20090515-0524</x:t>
  </x:si>
  <x:si>
    <x:t>20090515-0507</x:t>
  </x:si>
  <x:si>
    <x:t>20090515-0512</x:t>
  </x:si>
  <x:si>
    <x:t>20090515-0513</x:t>
  </x:si>
  <x:si>
    <x:t>20121128-0630</x:t>
  </x:si>
  <x:si>
    <x:t>20130108-0634</x:t>
  </x:si>
  <x:si>
    <x:t>20100519-0547</x:t>
  </x:si>
  <x:si>
    <x:t>20090515-0508</x:t>
  </x:si>
  <x:si>
    <x:t>20090515-0526</x:t>
  </x:si>
  <x:si>
    <x:t>20090515-0516</x:t>
  </x:si>
  <x:si>
    <x:t>20090515-0511</x:t>
  </x:si>
  <x:si>
    <x:t>20120827-0578</x:t>
  </x:si>
  <x:si>
    <x:t>20130108-0635</x:t>
  </x:si>
  <x:si>
    <x:t>20130108-0636</x:t>
  </x:si>
  <x:si>
    <x:t>20090515-0525</x:t>
  </x:si>
  <x:si>
    <x:t>20110216-0558</x:t>
  </x:si>
  <x:si>
    <x:t>20090515-0514</x:t>
  </x:si>
  <x:si>
    <x:t>20090515-0520</x:t>
  </x:si>
  <x:si>
    <x:t>20090515-0521</x:t>
  </x:si>
  <x:si>
    <x:t>20090515-0515</x:t>
  </x:si>
  <x:si>
    <x:t>20090515-0523</x:t>
  </x:si>
  <x:si>
    <x:t>20090515-0522</x:t>
  </x:si>
  <x:si>
    <x:t>20110103-0555</x:t>
  </x:si>
  <x:si>
    <x:t>20090515-0527</x:t>
  </x:si>
  <x:si>
    <x:t>20080821-0488</x:t>
  </x:si>
  <x:si>
    <x:t>20130108-0644</x:t>
  </x:si>
  <x:si>
    <x:t>20080821-0486</x:t>
  </x:si>
  <x:si>
    <x:t>20090305-0490</x:t>
  </x:si>
  <x:si>
    <x:t>20090320-0496</x:t>
  </x:si>
  <x:si>
    <x:t>20110530-0563</x:t>
  </x:si>
  <x:si>
    <x:t>10.51.90.161</x:t>
  </x:si>
  <x:si>
    <x:t>20120101-0573</x:t>
  </x:si>
  <x:si>
    <x:t>20120827-0575</x:t>
  </x:si>
  <x:si>
    <x:t>20080821-0487</x:t>
  </x:si>
  <x:si>
    <x:t>20121128-0628</x:t>
  </x:si>
  <x:si>
    <x:t>20150223-0660</x:t>
  </x:si>
  <x:si>
    <x:t>20080821-0485</x:t>
  </x:si>
  <x:si>
    <x:t>20150223-0663</x:t>
  </x:si>
  <x:si>
    <x:t>20150223-0667</x:t>
  </x:si>
  <x:si>
    <x:t>20150223-0668</x:t>
  </x:si>
  <x:si>
    <x:t>20130108-0637</x:t>
  </x:si>
  <x:si>
    <x:t>20090305-0491</x:t>
  </x:si>
  <x:si>
    <x:t>20110905-0564</x:t>
  </x:si>
  <x:si>
    <x:t>20090305-0492</x:t>
  </x:si>
  <x:si>
    <x:t>20121128-0629</x:t>
  </x:si>
  <x:si>
    <x:t>20120827-0572</x:t>
  </x:si>
  <x:si>
    <x:t>20130108-0633</x:t>
  </x:si>
  <x:si>
    <x:t>20080821-0489</x:t>
  </x:si>
  <x:si>
    <x:t>20120827-0577</x:t>
  </x:si>
  <x:si>
    <x:t>20120827-0576</x:t>
  </x:si>
  <x:si>
    <x:t>20110304-0559</x:t>
  </x:si>
  <x:si>
    <x:t>20090305-0493</x:t>
  </x:si>
  <x:si>
    <x:t>20120827-0574</x:t>
  </x:si>
  <x:si>
    <x:t>20110530-0562</x:t>
  </x:si>
  <x:si>
    <x:t>20130108-0631</x:t>
  </x:si>
  <x:si>
    <x:t>20130108-0632</x:t>
  </x:si>
  <x:si>
    <x:t>20150223-0669</x:t>
  </x:si>
  <x:si>
    <x:t>20070831-0432</x:t>
  </x:si>
  <x:si>
    <x:t>20130108-0638</x:t>
  </x:si>
  <x:si>
    <x:t>20150511-0679</x:t>
  </x:si>
  <x:si>
    <x:t>20150511-0681</x:t>
  </x:si>
  <x:si>
    <x:t>20150223-0671</x:t>
  </x:si>
  <x:si>
    <x:t>20070831-0439</x:t>
  </x:si>
  <x:si>
    <x:t>20150511-0674</x:t>
  </x:si>
  <x:si>
    <x:t>20070831-0435</x:t>
  </x:si>
  <x:si>
    <x:t>20150511-0683</x:t>
  </x:si>
  <x:si>
    <x:t>20150223-0662</x:t>
  </x:si>
  <x:si>
    <x:t>10.51.90.155</x:t>
  </x:si>
  <x:si>
    <x:t>20130108-0642</x:t>
  </x:si>
  <x:si>
    <x:t>20130108-0643</x:t>
  </x:si>
  <x:si>
    <x:t>20080110-0442</x:t>
  </x:si>
  <x:si>
    <x:t>20150511-0677</x:t>
  </x:si>
  <x:si>
    <x:t>20130108-0645</x:t>
  </x:si>
  <x:si>
    <x:t>20130108-0640</x:t>
  </x:si>
  <x:si>
    <x:t>20130108-0641</x:t>
  </x:si>
  <x:si>
    <x:t>20150223-0665</x:t>
  </x:si>
  <x:si>
    <x:t>20130108-0639</x:t>
  </x:si>
  <x:si>
    <x:t>20140810-0659</x:t>
  </x:si>
  <x:si>
    <x:t>20080310-0538</x:t>
  </x:si>
  <x:si>
    <x:t>20150223-0664</x:t>
  </x:si>
  <x:si>
    <x:t>20080110-0536</x:t>
  </x:si>
  <x:si>
    <x:t>20150223-0670</x:t>
  </x:si>
  <x:si>
    <x:t>20150223-0661</x:t>
  </x:si>
  <x:si>
    <x:t>20080310-0539</x:t>
  </x:si>
  <x:si>
    <x:t>20080310-0537</x:t>
  </x:si>
  <x:si>
    <x:t>20150223-0666</x:t>
  </x:si>
  <x:si>
    <x:t>20080110-0443</x:t>
  </x:si>
  <x:si>
    <x:t>20150511-0682</x:t>
  </x:si>
  <x:si>
    <x:t>20150511-0678</x:t>
  </x:si>
  <x:si>
    <x:t>20070831-0440</x:t>
  </x:si>
  <x:si>
    <x:t>20070831-0437</x:t>
  </x:si>
  <x:si>
    <x:t>20070831-0433</x:t>
  </x:si>
  <x:si>
    <x:t>20070831-0434</x:t>
  </x:si>
  <x:si>
    <x:t>20150511-0673</x:t>
  </x:si>
  <x:si>
    <x:t>20150511-0676</x:t>
  </x:si>
  <x:si>
    <x:t>20070831-0431</x:t>
  </x:si>
  <x:si>
    <x:t>20070830-0441</x:t>
  </x:si>
  <x:si>
    <x:t>20150511-0680</x:t>
  </x:si>
  <x:si>
    <x:t>20150511-0675</x:t>
  </x:si>
  <x:si>
    <x:t>20070831-0438</x:t>
  </x:si>
  <x:si>
    <x:t>20080110-0444</x:t>
  </x:si>
  <x:si>
    <x:t>20170328-0775</x:t>
  </x:si>
  <x:si>
    <x:t>10.51.91.153</x:t>
  </x:si>
  <x:si>
    <x:t>20070831-0436</x:t>
  </x:si>
  <x:si>
    <x:t>10.51.90.160</x:t>
  </x:si>
  <x:si>
    <x:t>20160323-0693</x:t>
  </x:si>
  <x:si>
    <x:t>20150916-0772</x:t>
  </x:si>
  <x:si>
    <x:t>20070628-0553</x:t>
  </x:si>
  <x:si>
    <x:t>20170404-0736</x:t>
  </x:si>
  <x:si>
    <x:t>20170404-0735</x:t>
  </x:si>
  <x:si>
    <x:t>20160323-0688</x:t>
  </x:si>
  <x:si>
    <x:t>20170404-0738</x:t>
  </x:si>
  <x:si>
    <x:t>20160323-0686</x:t>
  </x:si>
  <x:si>
    <x:t>10.51.90.148</x:t>
  </x:si>
  <x:si>
    <x:t>20170404-0737</x:t>
  </x:si>
  <x:si>
    <x:t>20170101-0734</x:t>
  </x:si>
  <x:si>
    <x:t>20160323-0685</x:t>
  </x:si>
  <x:si>
    <x:t>20170404-0739</x:t>
  </x:si>
  <x:si>
    <x:t>20070628-0554</x:t>
  </x:si>
  <x:si>
    <x:t>20160323-0695</x:t>
  </x:si>
  <x:si>
    <x:t>10.51.91.154</x:t>
  </x:si>
  <x:si>
    <x:t>10.54.36.100</x:t>
  </x:si>
  <x:si>
    <x:t>20070328-0535</x:t>
  </x:si>
  <x:si>
    <x:t>20160323-0694</x:t>
  </x:si>
  <x:si>
    <x:t>20150511-0684</x:t>
  </x:si>
  <x:si>
    <x:t>20160323-0689</x:t>
  </x:si>
  <x:si>
    <x:t>20160323-0687</x:t>
  </x:si>
  <x:si>
    <x:t>20170705-0749</x:t>
  </x:si>
  <x:si>
    <x:t>20170705-0750</x:t>
  </x:si>
  <x:si>
    <x:t>20170705-0751</x:t>
  </x:si>
  <x:si>
    <x:t>20180102-0753</x:t>
  </x:si>
  <x:si>
    <x:t>20170404-0742</x:t>
  </x:si>
  <x:si>
    <x:t>20160323-0690</x:t>
  </x:si>
  <x:si>
    <x:t>20160323-0692</x:t>
  </x:si>
  <x:si>
    <x:t>20160323-0691</x:t>
  </x:si>
  <x:si>
    <x:t>20061228-0402</x:t>
  </x:si>
  <x:si>
    <x:t>20170705-0745</x:t>
  </x:si>
  <x:si>
    <x:t>20060502-0365</x:t>
  </x:si>
  <x:si>
    <x:t>20170705-0747</x:t>
  </x:si>
  <x:si>
    <x:t>20060502-0368</x:t>
  </x:si>
  <x:si>
    <x:t>20060502-0374</x:t>
  </x:si>
  <x:si>
    <x:t>20180102-0757</x:t>
  </x:si>
  <x:si>
    <x:t>20061228-0400</x:t>
  </x:si>
  <x:si>
    <x:t>20060502-0350</x:t>
  </x:si>
  <x:si>
    <x:t>20180102-0754</x:t>
  </x:si>
  <x:si>
    <x:t>20060502-0353</x:t>
  </x:si>
  <x:si>
    <x:t>10.51.91.155</x:t>
  </x:si>
  <x:si>
    <x:t>20061228-0403</x:t>
  </x:si>
  <x:si>
    <x:t>10.51.90.150</x:t>
  </x:si>
  <x:si>
    <x:t>20061228-0404</x:t>
  </x:si>
  <x:si>
    <x:t>20060502-0352</x:t>
  </x:si>
  <x:si>
    <x:t>20061228-0399</x:t>
  </x:si>
  <x:si>
    <x:t>20170404-0743</x:t>
  </x:si>
  <x:si>
    <x:t>10.51.90.151</x:t>
  </x:si>
  <x:si>
    <x:t>10.51.90.135</x:t>
  </x:si>
  <x:si>
    <x:t>20170705-0748</x:t>
  </x:si>
  <x:si>
    <x:t>20060502-0351</x:t>
  </x:si>
  <x:si>
    <x:t>20180102-0755</x:t>
  </x:si>
  <x:si>
    <x:t>20170404-0740</x:t>
  </x:si>
  <x:si>
    <x:t>20170404-0741</x:t>
  </x:si>
  <x:si>
    <x:t>20170404-0744</x:t>
  </x:si>
  <x:si>
    <x:t>20060502-0361</x:t>
  </x:si>
  <x:si>
    <x:t>20170705-0752</x:t>
  </x:si>
  <x:si>
    <x:t>20170705-0746</x:t>
  </x:si>
  <x:si>
    <x:t>20061228-0405</x:t>
  </x:si>
  <x:si>
    <x:t>20061228-0401</x:t>
  </x:si>
  <x:si>
    <x:t>20180820-0779</x:t>
  </x:si>
  <x:si>
    <x:t>20060502-0334</x:t>
  </x:si>
  <x:si>
    <x:t>20060502-0349</x:t>
  </x:si>
  <x:si>
    <x:t>20060502-0372</x:t>
  </x:si>
  <x:si>
    <x:t>20050730-0258</x:t>
  </x:si>
  <x:si>
    <x:t>20060411-0380</x:t>
  </x:si>
  <x:si>
    <x:t>20060502-0371</x:t>
  </x:si>
  <x:si>
    <x:t>20060508-0378</x:t>
  </x:si>
  <x:si>
    <x:t>20060502-0336</x:t>
  </x:si>
  <x:si>
    <x:t>20060502-0347</x:t>
  </x:si>
  <x:si>
    <x:t>20180102-0758</x:t>
  </x:si>
  <x:si>
    <x:t>20060502-0375</x:t>
  </x:si>
  <x:si>
    <x:t>20060502-0346</x:t>
  </x:si>
  <x:si>
    <x:t>20180102-0760</x:t>
  </x:si>
  <x:si>
    <x:t>20060502-0356</x:t>
  </x:si>
  <x:si>
    <x:t>20060502-0364</x:t>
  </x:si>
  <x:si>
    <x:t>20180102-0756</x:t>
  </x:si>
  <x:si>
    <x:t>20060502-0359</x:t>
  </x:si>
  <x:si>
    <x:t>20060502-0362</x:t>
  </x:si>
  <x:si>
    <x:t>20060502-0358</x:t>
  </x:si>
  <x:si>
    <x:t>20060502-0370</x:t>
  </x:si>
  <x:si>
    <x:t>20060502-0357</x:t>
  </x:si>
  <x:si>
    <x:t>20060502-0363</x:t>
  </x:si>
  <x:si>
    <x:t>20060502-0369</x:t>
  </x:si>
  <x:si>
    <x:t>20060508-0379</x:t>
  </x:si>
  <x:si>
    <x:t>20060502-0355</x:t>
  </x:si>
  <x:si>
    <x:t>20060502-0354</x:t>
  </x:si>
  <x:si>
    <x:t>20060502-0373</x:t>
  </x:si>
  <x:si>
    <x:t>20060502-0367</x:t>
  </x:si>
  <x:si>
    <x:t>20060502-0366</x:t>
  </x:si>
  <x:si>
    <x:t>20060502-0360</x:t>
  </x:si>
  <x:si>
    <x:t>20060502-0335</x:t>
  </x:si>
  <x:si>
    <x:t>20201021-0863</x:t>
  </x:si>
  <x:si>
    <x:t>20201021-0862</x:t>
  </x:si>
  <x:si>
    <x:t>20210111-0884</x:t>
  </x:si>
  <x:si>
    <x:t>20030827-0085</x:t>
  </x:si>
  <x:si>
    <x:t>20030827-0082</x:t>
  </x:si>
  <x:si>
    <x:t>20210512-0885</x:t>
  </x:si>
  <x:si>
    <x:t>20180102-0759</x:t>
  </x:si>
  <x:si>
    <x:t>20030827-0084</x:t>
  </x:si>
  <x:si>
    <x:t>20201102-0881</x:t>
  </x:si>
  <x:si>
    <x:t>20060502-0344</x:t>
  </x:si>
  <x:si>
    <x:t>20060502-0340</x:t>
  </x:si>
  <x:si>
    <x:t>20030827-0083</x:t>
  </x:si>
  <x:si>
    <x:t>20201102-0883</x:t>
  </x:si>
  <x:si>
    <x:t>20201102-0882</x:t>
  </x:si>
  <x:si>
    <x:t>20201102-0880</x:t>
  </x:si>
  <x:si>
    <x:t>20201021-0879</x:t>
  </x:si>
  <x:si>
    <x:t>20201021-0878</x:t>
  </x:si>
  <x:si>
    <x:t>20060502-0338</x:t>
  </x:si>
  <x:si>
    <x:t>20051110-0263</x:t>
  </x:si>
  <x:si>
    <x:t>20060502-0343</x:t>
  </x:si>
  <x:si>
    <x:t>20050730-0256</x:t>
  </x:si>
  <x:si>
    <x:t>20201021-0876</x:t>
  </x:si>
  <x:si>
    <x:t>20060502-0348</x:t>
  </x:si>
  <x:si>
    <x:t>20201021-0871</x:t>
  </x:si>
  <x:si>
    <x:t>20201021-0875</x:t>
  </x:si>
  <x:si>
    <x:t>20201021-0874</x:t>
  </x:si>
  <x:si>
    <x:t>20201021-0873</x:t>
  </x:si>
  <x:si>
    <x:t>20060502-0337</x:t>
  </x:si>
  <x:si>
    <x:t>20201021-0867</x:t>
  </x:si>
  <x:si>
    <x:t>20201021-0869</x:t>
  </x:si>
  <x:si>
    <x:t>20201021-0868</x:t>
  </x:si>
  <x:si>
    <x:t>20201021-0861</x:t>
  </x:si>
  <x:si>
    <x:t>20201021-0877</x:t>
  </x:si>
  <x:si>
    <x:t>20201021-0865</x:t>
  </x:si>
  <x:si>
    <x:t>20201021-0872</x:t>
  </x:si>
  <x:si>
    <x:t>20201021-0866</x:t>
  </x:si>
  <x:si>
    <x:t>20201021-0864</x:t>
  </x:si>
  <x:si>
    <x:t>20201021-0870</x:t>
  </x:si>
  <x:si>
    <x:t>20030827-0012</x:t>
  </x:si>
  <x:si>
    <x:t>20020628-0075</x:t>
  </x:si>
  <x:si>
    <x:t>20030827-0001</x:t>
  </x:si>
  <x:si>
    <x:t>20020628-0028</x:t>
  </x:si>
  <x:si>
    <x:t>20020628-0097</x:t>
  </x:si>
  <x:si>
    <x:t>20020628-0194</x:t>
  </x:si>
  <x:si>
    <x:t>20020628-0026</x:t>
  </x:si>
  <x:si>
    <x:t>20030228-0014</x:t>
  </x:si>
  <x:si>
    <x:t>20021231-0013</x:t>
  </x:si>
  <x:si>
    <x:t>20020628-0059</x:t>
  </x:si>
  <x:si>
    <x:t>20021231-0052</x:t>
  </x:si>
  <x:si>
    <x:t>20021231-0053</x:t>
  </x:si>
  <x:si>
    <x:t>20030228-0095</x:t>
  </x:si>
  <x:si>
    <x:t>20030827-0044</x:t>
  </x:si>
  <x:si>
    <x:t>20021231-0200</x:t>
  </x:si>
  <x:si>
    <x:t>20030827-0050</x:t>
  </x:si>
  <x:si>
    <x:t>20021231-0094</x:t>
  </x:si>
  <x:si>
    <x:t>20021231-0093</x:t>
  </x:si>
  <x:si>
    <x:t>20030827-0048</x:t>
  </x:si>
  <x:si>
    <x:t>20030827-0046</x:t>
  </x:si>
  <x:si>
    <x:t>20030827-0066</x:t>
  </x:si>
  <x:si>
    <x:t>20020628-0060</x:t>
  </x:si>
  <x:si>
    <x:t>20030827-0039</x:t>
  </x:si>
  <x:si>
    <x:t>20030827-0045</x:t>
  </x:si>
  <x:si>
    <x:t>20030827-0040</x:t>
  </x:si>
  <x:si>
    <x:t>20030827-0064</x:t>
  </x:si>
  <x:si>
    <x:t>20030827-0043</x:t>
  </x:si>
  <x:si>
    <x:t>20030827-0067</x:t>
  </x:si>
  <x:si>
    <x:t>20030827-0042</x:t>
  </x:si>
  <x:si>
    <x:t>20020628-0027</x:t>
  </x:si>
  <x:si>
    <x:t>20021231-0073</x:t>
  </x:si>
  <x:si>
    <x:t>20030827-0047</x:t>
  </x:si>
  <x:si>
    <x:t>20021231-0072</x:t>
  </x:si>
  <x:si>
    <x:t>20021231-0054</x:t>
  </x:si>
  <x:si>
    <x:t>20030827-0041</x:t>
  </x:si>
  <x:si>
    <x:t>20030827-0062</x:t>
  </x:si>
  <x:si>
    <x:t>20030827-0069</x:t>
  </x:si>
  <x:si>
    <x:t>20231219-0904</x:t>
  </x:si>
  <x:si>
    <x:t>20030827-0063</x:t>
  </x:si>
  <x:si>
    <x:t>20030827-0065</x:t>
  </x:si>
  <x:si>
    <x:t>20030827-0070</x:t>
  </x:si>
  <x:si>
    <x:t>20030827-0037</x:t>
  </x:si>
  <x:si>
    <x:t>20021231-0055</x:t>
  </x:si>
  <x:si>
    <x:t>20030827-0038</x:t>
  </x:si>
  <x:si>
    <x:t>20030827-0068</x:t>
  </x:si>
  <x:si>
    <x:t>조립품 조립품</x:t>
  </x:si>
  <x:si>
    <x:t>엘지 0</x:t>
  </x:si>
  <x:si>
    <x:t>대우루컴즈 솔로탑G-3FEE</x:t>
  </x:si>
  <x:si>
    <x:t>주연테크 JY-AX44P5G</x:t>
  </x:si>
  <x:si>
    <x:t>늑대와여우컴퓨터 WFG-H116FC-IGTB</x:t>
  </x:si>
  <x:si>
    <x:t>엘지 CN/15UG470-MP5SKN</x:t>
  </x:si>
  <x:si>
    <x:t>다나와컴퓨터 MHAA-AD-E7SAC</x:t>
  </x:si>
  <x:si>
    <x:t>늑대와여우컴퓨터 NY-Q95PE00D</x:t>
  </x:si>
  <x:si>
    <x:t>Gyeonggi_inchang.hs_AP02</x:t>
  </x:si>
  <x:si>
    <x:t>CN/8100Elite CMT WMO24PA</x:t>
  </x:si>
  <x:si>
    <x:t>신도리코, N606, 모노 36매, 컬러스캔가능</x:t>
  </x:si>
  <x:si>
    <x:t>Gyeonggi_inchang.hs_AP05</x:t>
  </x:si>
  <x:si>
    <x:t>AVERATEC TS-508.T5J33F3NH</x:t>
  </x:si>
  <x:si>
    <x:t>Gyeonggi_inchang.hs_AP31</x:t>
  </x:si>
  <x:si>
    <x:t>Gyeonggi_inchang.hs_AP14</x:t>
  </x:si>
  <x:si>
    <x:t>Gyeonggi_inchang.hs_AP21</x:t>
  </x:si>
  <x:si>
    <x:t>Gyeonggi_inchang.hs_AP01</x:t>
  </x:si>
  <x:si>
    <x:t>Gyeonggi_inchang.hs_AP08</x:t>
  </x:si>
  <x:si>
    <x:t>https://accounts.google.com</x:t>
  </x:si>
  <x:si>
    <x:t>http://10.0.200.219:8080</x:t>
  </x:si>
  <x:si>
    <x:t>Gyeonggi_inchang.hs_AP11</x:t>
  </x:si>
  <x:si>
    <x:t>Gyeonggi_inchang.hs_AP07</x:t>
  </x:si>
  <x:si>
    <x:t>(옵션)신도리코, 자동양면원고이송기, RADF</x:t>
  </x:si>
  <x:si>
    <x:t>Gyeonggi_inchang.hs_AP10</x:t>
  </x:si>
  <x:si>
    <x:t>생년월일 1996년 1월 13일 (인창고 개교일)</x:t>
  </x:si>
  <x:si>
    <x:t>삼성전자, ML-1520, A4, 14ppm</x:t>
  </x:si>
  <x:si>
    <x:t>Gyeonggi_inchang.hs_AP30</x:t>
  </x:si>
  <x:si>
    <x:t>Gyeonggi_inchang.hs_AP17</x:t>
  </x:si>
  <x:si>
    <x:t>Gyeonggi_inchang.hs_AP27</x:t>
  </x:si>
  <x:si>
    <x:t>plotter@inchangh.goe.go.kr</x:t>
  </x:si>
  <x:si>
    <x:t>Gyeonggi_inchang.hs_AP25</x:t>
  </x:si>
  <x:si>
    <x:t>Gyeonggi_inchang.hs_AP09</x:t>
  </x:si>
  <x:si>
    <x:t>Kyocera  ECOSYS P7040cdn</x:t>
  </x:si>
  <x:si>
    <x:t>https://10.0.100.73:8806/</x:t>
  </x:si>
  <x:si>
    <x:t>Gyeonggi_inchang.hs_AP28</x:t>
  </x:si>
  <x:si>
    <x:t>Intel Core i7 150U(1.8GHz)</x:t>
  </x:si>
  <x:si>
    <x:t>Gyeonggi_inchang.hs_AP32</x:t>
  </x:si>
  <x:si>
    <x:t>Gyeonggi_inchang.hs_AP04</x:t>
  </x:si>
  <x:si>
    <x:t>Gyeonggi_inchang.hs_AP12</x:t>
  </x:si>
  <x:si>
    <x:t>Intel Core i5 12400(2.5GHz)</x:t>
  </x:si>
  <x:si>
    <x:t>4층 면학실, 교과교실 AP 본체 1개+위성 2개</x:t>
  </x:si>
  <x:si>
    <x:t>Gyeonggi_inchang.hs_AP19</x:t>
  </x:si>
  <x:si>
    <x:t>Gyeonggi_inchang.hs_AP13</x:t>
  </x:si>
  <x:si>
    <x:t>Gyeonggi_inchang.hs_AP18</x:t>
  </x:si>
  <x:si>
    <x:t>Kyocera TASKalfa 3010i 토너</x:t>
  </x:si>
  <x:si>
    <x:t>Gyeonggi_inchang.hs_AP24</x:t>
  </x:si>
  <x:si>
    <x:t>Gyeonggi_inchang.hs_AP03</x:t>
  </x:si>
  <x:si>
    <x:t>가입이메일: ibc@inchang.hs.kr</x:t>
  </x:si>
  <x:si>
    <x:t>Gyeonggi_inchang.hs_AP29</x:t>
  </x:si>
  <x:si>
    <x:t>(옵션)한국후지제록스, ADF, 자동원고송고장치</x:t>
  </x:si>
  <x:si>
    <x:t>Gyeonggi_inchang.hs_AP06</x:t>
  </x:si>
  <x:si>
    <x:t>Gyeonggi_inchang.hs_AP15</x:t>
  </x:si>
  <x:si>
    <x:t>SM-P615NZAHKOO(갤럭시탭 S6 L)</x:t>
  </x:si>
  <x:si>
    <x:t>신도리코, N607, 모노 42매, 컬러스캔가능</x:t>
  </x:si>
  <x:si>
    <x:t>Gyeonggi_inchang.hs_AP26</x:t>
  </x:si>
  <x:si>
    <x:t>Gyeonggi_inchang.hs_AP33</x:t>
  </x:si>
  <x:si>
    <x:t>Gyeonggi_inchang.hs_AP16</x:t>
  </x:si>
  <x:si>
    <x:t>Gyeonggi_inchang.hs_AP22</x:t>
  </x:si>
  <x:si>
    <x:t>Compaq PROLIANT ML350 G3</x:t>
  </x:si>
  <x:si>
    <x:t>Gyeonggi_inchang.hs_AP23</x:t>
  </x:si>
  <x:si>
    <x:t>https://mdm.aiedu.or.kr/</x:t>
  </x:si>
  <x:si>
    <x:t>Gyeonggi_inchang.hs_AP20</x:t>
  </x:si>
  <x:si>
    <x:t>한국후지제록스, DocuPrint 255, A3, 25ppm</x:t>
  </x:si>
  <x:si>
    <x:t>한국후지제록스, DPC2428, A3/컬러, 24/24ppm</x:t>
  </x:si>
  <x:si>
    <x:t>한국후지제록스, CN/DocuPrint 2065, 26ppm</x:t>
  </x:si>
  <x:si>
    <x:t>Kyocera TASKalfa 5003i (1, 2학년부)</x:t>
  </x:si>
  <x:si>
    <x:t>Fuji xerox, DocuPrint P205b, 24ppm</x:t>
  </x:si>
  <x:si>
    <x:t>Brother, VN/HL-L5100DN, A4/흑백/40ppm</x:t>
  </x:si>
  <x:si>
    <x:t>삼성전자, CLP-620NDK, A4/컬러20,흑백20ppm</x:t>
  </x:si>
  <x:si>
    <x:t>한국후지제록스, DCIIC 3000G, 디지털(흑백/컬러겸용)</x:t>
  </x:si>
  <x:si>
    <x:t>한국후지제록스, CN/DCIII 3007G, 고급형디지털복사기</x:t>
  </x:si>
  <x:si>
    <x:t>Kyocera TASKalfa 4002i (1, 3학년부)</x:t>
  </x:si>
  <x:si>
    <x:t>Wee클래스</x:t>
  </x:si>
  <x:si>
    <x:t>성명</x:t>
  </x:si>
  <x:si>
    <x:t>기타</x:t>
  </x:si>
  <x:si>
    <x:t>1학년</x:t>
  </x:si>
  <x:si>
    <x:t>교사</x:t>
  </x:si>
  <x:si>
    <x:t>2학년</x:t>
  </x:si>
  <x:si>
    <x:t>15</x:t>
  </x:si>
  <x:si>
    <x:t>40</x:t>
  </x:si>
  <x:si>
    <x:t/>
  </x:si>
  <x:si>
    <x:t>10</x:t>
  </x:si>
  <x:si>
    <x:t>20</x:t>
  </x:si>
  <x:si>
    <x:t>30</x:t>
  </x:si>
  <x:si>
    <x:t>50</x:t>
  </x:si>
  <x:si>
    <x:t>4</x:t>
  </x:si>
  <x:si>
    <x:t>HP, CN/DesignJet Z5200PostScript(CQ113A), 111.8cm</x:t>
  </x:si>
  <x:si>
    <x:t>잉크젯프린터, 캐논코리아비즈니스솔루션, JP/iX5000, A3/컬러, 17/25ppm</x:t>
  </x:si>
  <x:si>
    <x:t>신도리코, CN/MF 5550, 흑백, A4, 53매,레터 55매/min, 컬러스캔가능</x:t>
  </x:si>
  <x:si>
    <x:t>Kyocera document solutions, CN/FS-4100DNG, 흑백/45ppm</x:t>
  </x:si>
  <x:si>
    <x:t>잉크젯프린터, 한국HP, Business InkJet 2800, A3/컬러, 24/21ppm</x:t>
  </x:si>
  <x:si>
    <x:t>DR281-GS51-012 intel core i5</x:t>
  </x:si>
  <x:si>
    <x:t>신도리코, Aficio 2032, 디지털복합기겸용, 흑백</x:t>
  </x:si>
  <x:si>
    <x:t>https://msg.goe.go.kr:18007/</x:t>
  </x:si>
  <x:si>
    <x:t>HP Designjet Z5200 PostScript</x:t>
  </x:si>
  <x:si>
    <x:t>HP, US/CP1215, A4/컬러, 8/12ppm</x:t>
  </x:si>
  <x:si>
    <x:t>https://teacher.iamservice.net/</x:t>
  </x:si>
  <x:si>
    <x:t>https://10.59.1.24/DLPCenter</x:t>
  </x:si>
  <x:si>
    <x:t>Epson, ID/WF-5621, A4/흑백컬러19ipm</x:t>
  </x:si>
  <x:si>
    <x:t>﻿SINDOH ﻿N606 42BW-4 (Generic)</x:t>
  </x:si>
  <x:si>
    <x:t>학생가입키 : MSGOO-SFHWA-GOOXX-OLIKN</x:t>
  </x:si>
  <x:si>
    <x:t>삼성전자, ML-2255G, A4/흑백, 20ppm</x:t>
  </x:si>
  <x:si>
    <x:t>신도리코, Aficio 2027, 디지털복합기겸용, 흑백</x:t>
  </x:si>
  <x:si>
    <x:t>https://cloud.goe.go.kr/admin/</x:t>
  </x:si>
  <x:si>
    <x:t>Privay-I 관리자 계정 목록</x:t>
  </x:si>
  <x:si>
    <x:t>44101503-20426960</x:t>
  </x:si>
  <x:si>
    <x:t>1C:EC:72:01:58:89</x:t>
  </x:si>
  <x:si>
    <x:t>1C:EC:72:01:58:11</x:t>
  </x:si>
  <x:si>
    <x:t>44101503-20427059</x:t>
  </x:si>
  <x:si>
    <x:t>1C:EC:72:01:58:7F</x:t>
  </x:si>
  <x:si>
    <x:t>44101503-20427050</x:t>
  </x:si>
  <x:si>
    <x:t>1C:EC:72:01:58:84</x:t>
  </x:si>
  <x:si>
    <x:t>1C:EC:72:01:58:6B</x:t>
  </x:si>
  <x:si>
    <x:t>43212104-20632439</x:t>
  </x:si>
  <x:si>
    <x:t>클라우드서비스 통합로그인 지원시스템</x:t>
  </x:si>
  <x:si>
    <x:t>1C:EC:72:01:58:75</x:t>
  </x:si>
  <x:si>
    <x:t>2020-05-28(재고조사)</x:t>
  </x:si>
  <x:si>
    <x:t>2021-05-28(마라톤 교환)</x:t>
  </x:si>
  <x:si>
    <x:t>1C:EC:72:01:58:48</x:t>
  </x:si>
  <x:si>
    <x:t>HP C9404(M/B-C) 헤드</x:t>
  </x:si>
  <x:si>
    <x:t>CN/15UG470-MP5SKN</x:t>
  </x:si>
  <x:si>
    <x:t>1C:EC:72:01:58:7A</x:t>
  </x:si>
  <x:si>
    <x:t>44101501-20498947</x:t>
  </x:si>
  <x:si>
    <x:t>i5-1135G7(2.40Ghz)</x:t>
  </x:si>
  <x:si>
    <x:t>1C:EC:72:01:58:5C</x:t>
  </x:si>
  <x:si>
    <x:t>정원엔시스템, Hart-2612MW</x:t>
  </x:si>
  <x:si>
    <x:t>M2721(2010.08.26폐기)</x:t>
  </x:si>
  <x:si>
    <x:t>스마트아이디어, SCB-40R</x:t>
  </x:si>
  <x:si>
    <x:t xml:space="preserve"> TASKalfa2554ciG  </x:t>
  </x:si>
  <x:si>
    <x:t>불용해야 함 2025/3/27</x:t>
  </x:si>
  <x:si>
    <x:t>44101503-20427057</x:t>
  </x:si>
  <x:si>
    <x:t>1C:EC:72:01:58:70</x:t>
  </x:si>
  <x:si>
    <x:t>삼성NT750XGK-KG71G</x:t>
  </x:si>
  <x:si>
    <x:t>44101501-22032178</x:t>
  </x:si>
  <x:si>
    <x:t>도원산업, CF1-BTL30S1</x:t>
  </x:si>
  <x:si>
    <x:t>1C:EC:72:01:58:1B</x:t>
  </x:si>
  <x:si>
    <x:t>43212105-20704694</x:t>
  </x:si>
  <x:si>
    <x:t>44101501-20752268</x:t>
  </x:si>
  <x:si>
    <x:t>43212105-20505550</x:t>
  </x:si>
  <x:si>
    <x:t>C9407A(P/B-L/G) 헤드</x:t>
  </x:si>
  <x:si>
    <x:t>C9448A(M/B)-무광 검정</x:t>
  </x:si>
  <x:si>
    <x:t>43212105-20523512</x:t>
  </x:si>
  <x:si>
    <x:t>ibc@inchang.hs.kr</x:t>
  </x:si>
  <x:si>
    <x:t>1C:EC:72:01:58:07</x:t>
  </x:si>
  <x:si>
    <x:t>1C:EC:72:01:58:3E</x:t>
  </x:si>
  <x:si>
    <x:t>CN/NT550XCJ-K13G</x:t>
  </x:si>
  <x:si>
    <x:t>1C:EC:72:01:58:8E</x:t>
  </x:si>
  <x:si>
    <x:t>GSMS시스템(단말기 a/s처리)</x:t>
  </x:si>
  <x:si>
    <x:t>SINDOH ﻿N607 42BW-4</x:t>
  </x:si>
  <x:si>
    <x:t>CN/DM-V190-PA10G</x:t>
  </x:si>
  <x:si>
    <x:t>신도리코, Aficio 2127</x:t>
  </x:si>
  <x:si>
    <x:t>43212105-21727786</x:t>
  </x:si>
  <x:si>
    <x:t>43212105-21084844</x:t>
  </x:si>
  <x:si>
    <x:t>43212105-20704676</x:t>
  </x:si>
  <x:si>
    <x:t>2학년 면학실4(구 3층실습용4)</x:t>
  </x:si>
  <x:si>
    <x:t>DocuPrint DP-C2200</x:t>
  </x:si>
  <x:si>
    <x:t>CN/NT270B5E-X02G</x:t>
  </x:si>
  <x:si>
    <x:t>CN/DB405S3A-A02G</x:t>
  </x:si>
  <x:si>
    <x:t>1C:EC:72:01:57:FD</x:t>
  </x:si>
  <x:si>
    <x:t>M2950(2010.08.26폐기)</x:t>
  </x:si>
  <x:si>
    <x:t>1C:EC:72:01:58:57</x:t>
  </x:si>
  <x:si>
    <x:t>2학년 면학실2(구 3층실습용2)</x:t>
  </x:si>
  <x:si>
    <x:t>43212104-21112991</x:t>
  </x:si>
  <x:si>
    <x:t>CN/4421s WZ047PA</x:t>
  </x:si>
  <x:si>
    <x:t>박성일(가사실용에서 관리전환)</x:t>
  </x:si>
  <x:si>
    <x:t>1C:EC:72:01:58:20</x:t>
  </x:si>
  <x:si>
    <x:t>DN/DM-C600-PA04G</x:t>
  </x:si>
  <x:si>
    <x:t>44101501-21439381</x:t>
  </x:si>
  <x:si>
    <x:t>44101501-22674347</x:t>
  </x:si>
  <x:si>
    <x:t>1C:EC:72:01:58:16</x:t>
  </x:si>
  <x:si>
    <x:t>1C:EC:72:01:58:2F</x:t>
  </x:si>
  <x:si>
    <x:t>1C:EC:72:01:58:0C</x:t>
  </x:si>
  <x:si>
    <x:t>도움반 실습용3(구 3층실습용7)</x:t>
  </x:si>
  <x:si>
    <x:t>교사(2012.04.16일자)폐기</x:t>
  </x:si>
  <x:si>
    <x:t>44101501-23212820</x:t>
  </x:si>
  <x:si>
    <x:t>44101503-21537499</x:t>
  </x:si>
  <x:si>
    <x:t>43212105-20523596</x:t>
  </x:si>
  <x:si>
    <x:t>교육청 교육정보기기 관리시스템</x:t>
  </x:si>
  <x:si>
    <x:t>44101501-23579683</x:t>
  </x:si>
  <x:si>
    <x:t>43212104-21788706</x:t>
  </x:si>
  <x:si>
    <x:t>경기도교육청 메신저 관리자 페이지</x:t>
  </x:si>
  <x:si>
    <x:t>43212104-20634275</x:t>
  </x:si>
  <x:si>
    <x:t>43212105-21525144</x:t>
  </x:si>
  <x:si>
    <x:t>CN/NT202B5C-S03G</x:t>
  </x:si>
  <x:si>
    <x:t>43212105-21331599</x:t>
  </x:si>
  <x:si>
    <x:t>도움반 실습용1(구 3층실습용5)</x:t>
  </x:si>
  <x:si>
    <x:t>44101503-20595443</x:t>
  </x:si>
  <x:si>
    <x:t>2학년 면학실3(구 3층실습용3)</x:t>
  </x:si>
  <x:si>
    <x:t>CN/NT370E5L-K24G</x:t>
  </x:si>
  <x:si>
    <x:t>CN/15Z960-GP50KN</x:t>
  </x:si>
  <x:si>
    <x:t>CN/4320s XU390PA</x:t>
  </x:si>
  <x:si>
    <x:t>1C:EC:72:01:57:F8</x:t>
  </x:si>
  <x:si>
    <x:t>MV25(2010.08.26폐기)</x:t>
  </x:si>
  <x:si>
    <x:t xml:space="preserve">DocuCentre-II 2055 </x:t>
  </x:si>
  <x:si>
    <x:t>SINDOH MF 4550_5550</x:t>
  </x:si>
  <x:si>
    <x:t>인창고 YouTube 용 계정</x:t>
  </x:si>
  <x:si>
    <x:t>43212105-23428140</x:t>
  </x:si>
  <x:si>
    <x:t>Canon, (VN)GX6091</x:t>
  </x:si>
  <x:si>
    <x:t>44101501-20469343</x:t>
  </x:si>
  <x:si>
    <x:t>WINDOW SRVER 2012</x:t>
  </x:si>
  <x:si>
    <x:t>43212105-21866944</x:t>
  </x:si>
  <x:si>
    <x:t>11/28 현재 76,000장 인쇄</x:t>
  </x:si>
  <x:si>
    <x:t>삼성 NT550XED-KG01G</x:t>
  </x:si>
  <x:si>
    <x:t>2학년 면학실1(구 3층실습용1)</x:t>
  </x:si>
  <x:si>
    <x:t>44101501-22032177</x:t>
  </x:si>
  <x:si>
    <x:t>43212105-23060005</x:t>
  </x:si>
  <x:si>
    <x:t>MS 클라우드 학교 계정 관리</x:t>
  </x:si>
  <x:si>
    <x:t>44101501-23212449</x:t>
  </x:si>
  <x:si>
    <x:t>43212107-22449586</x:t>
  </x:si>
  <x:si>
    <x:t>plotter OneDrive 계정</x:t>
  </x:si>
  <x:si>
    <x:t>256GB SSD + 1GB HDD</x:t>
  </x:si>
  <x:si>
    <x:t>도움반 실습용2(구 3층실습용6)</x:t>
  </x:si>
  <x:si>
    <x:t>43212105-21525085</x:t>
  </x:si>
  <x:si>
    <x:t>43212105-22147395</x:t>
  </x:si>
  <x:si>
    <x:t>1C:EC:72:01:57:F3</x:t>
  </x:si>
  <x:si>
    <x:t>CN/13Z940-MF50KN</x:t>
  </x:si>
  <x:si>
    <x:t>&lt; 전자칠판 위치 &gt;(총 11대)</x:t>
  </x:si>
  <x:si>
    <x:t>Brother HL-L5100DN</x:t>
  </x:si>
  <x:si>
    <x:t>Kyocera P2235dnG</x:t>
  </x:si>
  <x:si>
    <x:t>43212105-21848746</x:t>
  </x:si>
  <x:si>
    <x:t>43212105-22999063</x:t>
  </x:si>
  <x:si>
    <x:t>43212105-20562622</x:t>
  </x:si>
  <x:si>
    <x:t>(CN)MFC2-L8690CDW</x:t>
  </x:si>
  <x:si>
    <x:t>도움반 실습용4(구 3층실습용8)</x:t>
  </x:si>
  <x:si>
    <x:t>교사(2010.12.24일자 폐기)</x:t>
  </x:si>
  <x:si>
    <x:t>1C:EC:72:01:58:93</x:t>
  </x:si>
  <x:si>
    <x:t xml:space="preserve">Windows 11 Home </x:t>
  </x:si>
  <x:si>
    <x:t>44101501-20838515</x:t>
  </x:si>
  <x:si>
    <x:t>1C:EC:72:01:58:39</x:t>
  </x:si>
  <x:si>
    <x:t>44101503-20427087</x:t>
  </x:si>
  <x:si>
    <x:t>1C:EC:72:01:58:2A</x:t>
  </x:si>
  <x:si>
    <x:t>43212105-22449325</x:t>
  </x:si>
  <x:si>
    <x:t>1C:EC:72:01:58:66</x:t>
  </x:si>
  <x:si>
    <x:t>DocuCentre-II 3005G</x:t>
  </x:si>
  <x:si>
    <x:t>1C:EC:72:01:58:25</x:t>
  </x:si>
  <x:si>
    <x:t>43212104-20478778</x:t>
  </x:si>
  <x:si>
    <x:t>43212105-22444409</x:t>
  </x:si>
  <x:si>
    <x:t>44101503-22880368</x:t>
  </x:si>
  <x:si>
    <x:t>43212105-20622491</x:t>
  </x:si>
  <x:si>
    <x:t>1C:EC:72:01:58:61</x:t>
  </x:si>
  <x:si>
    <x:t>Kyocera FS-6975DN</x:t>
  </x:si>
  <x:si>
    <x:t>SAMSUNG SL-C473W</x:t>
  </x:si>
  <x:si>
    <x:t>스마트 단말 관리 시스템(MDM)</x:t>
  </x:si>
  <x:si>
    <x:t>44101501-20990653</x:t>
  </x:si>
  <x:si>
    <x:t>43212104-20751959</x:t>
  </x:si>
  <x:si>
    <x:t>44101503-22633688</x:t>
  </x:si>
  <x:si>
    <x:t>43212105-22198102</x:t>
  </x:si>
  <x:si>
    <x:t>43212105-21741549</x:t>
  </x:si>
  <x:si>
    <x:t>CN/NT202B5B-S05G</x:t>
  </x:si>
  <x:si>
    <x:t xml:space="preserve">Intel Core i5 120U	</x:t>
  </x:si>
  <x:si>
    <x:t>1C:EC:72:01:58:02</x:t>
  </x:si>
  <x:si>
    <x:t>DocuPrint C5005 d</x:t>
  </x:si>
  <x:si>
    <x:t>44101501-22674348</x:t>
  </x:si>
  <x:si>
    <x:t>1C:EC:72:01:58:34</x:t>
  </x:si>
  <x:si>
    <x:t>Kyocera FS-4100DN</x:t>
  </x:si>
  <x:si>
    <x:t>43212105-10064694</x:t>
  </x:si>
  <x:si>
    <x:t>1C:EC:72:01:58:43</x:t>
  </x:si>
  <x:si>
    <x:t>43212110-21566882</x:t>
  </x:si>
  <x:si>
    <x:t>43212107-20449818</x:t>
  </x:si>
  <x:si>
    <x:t>44101503-20426970</x:t>
  </x:si>
  <x:si>
    <x:t>44101501-22054843</x:t>
  </x:si>
  <x:si>
    <x:t>1C:EC:72:01:58:4D</x:t>
  </x:si>
  <x:si>
    <x:t>1C:EC:72:01:58:52</x:t>
  </x:si>
  <x:si>
    <x:t>44101503-21171456</x:t>
  </x:si>
  <x:si>
    <x:t>43212105-21084845</x:t>
  </x:si>
  <x:si>
    <x:t>202402-0929</x:t>
  </x:si>
  <x:si>
    <x:t>202402-0927</x:t>
  </x:si>
  <x:si>
    <x:t>202402-0928</x:t>
  </x:si>
  <x:si>
    <x:t>202402-0922</x:t>
  </x:si>
  <x:si>
    <x:t>202402-0926</x:t>
  </x:si>
  <x:si>
    <x:t>202402-0924</x:t>
  </x:si>
  <x:si>
    <x:t>202402-0918</x:t>
  </x:si>
  <x:si>
    <x:t>202402-0921</x:t>
  </x:si>
  <x:si>
    <x:t>202402-0920</x:t>
  </x:si>
  <x:si>
    <x:t>202402-0919</x:t>
  </x:si>
  <x:si>
    <x:t>202402-0925</x:t>
  </x:si>
  <x:si>
    <x:t>202402-0923</x:t>
  </x:si>
  <x:si>
    <x:t>202504-0960</x:t>
  </x:si>
  <x:si>
    <x:t>202504-0961</x:t>
  </x:si>
  <x:si>
    <x:t>인창고등학교</x:t>
  </x:si>
  <x:si>
    <x:t>Intel® Core™ i5-1135G7 Processor</x:t>
  </x:si>
  <x:si>
    <x:t>https://www.goedu.kr/scmnst/login</x:t>
  </x:si>
  <x:si>
    <x:t>캐논코리아비즈니스솔루션, LBP1441G, A4, 10ppm</x:t>
  </x:si>
  <x:si>
    <x:t>교직원가입키 : MVNIU-IGEVP-NSYAW-XFHQI</x:t>
  </x:si>
  <x:si>
    <x:t>잉크젯프린터, Epson, JP/B-310N, A4 37ppm</x:t>
  </x:si>
  <x:si>
    <x:t>NT750XGK-KG56P</x:t>
  </x:si>
  <x:si>
    <x:t>20260305-0962</x:t>
  </x:si>
  <x:si>
    <x:t>20260305-0963</x:t>
  </x:si>
  <x:si>
    <x:t>20260305-0964</x:t>
  </x:si>
  <x:si>
    <x:t>20260305-0965</x:t>
  </x:si>
  <x:si>
    <x:t>20260305-0966</x:t>
  </x:si>
  <x:si>
    <x:t>20260305-0967</x:t>
  </x:si>
  <x:si>
    <x:t>20260305-0968</x:t>
  </x:si>
  <x:si>
    <x:t>20260305-0969</x:t>
  </x:si>
  <x:si>
    <x:t>20260305-0970</x:t>
  </x:si>
  <x:si>
    <x:t>20260305-0971</x:t>
  </x:si>
  <x:si>
    <x:t>20260305-0972</x:t>
  </x:si>
  <x:si>
    <x:t>Intel Core 5 120U(1.4GHz)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</x:si>
</x:sst>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####\-##\-##"/>
    <x:numFmt numFmtId="165" formatCode="####\-##"/>
  </x:numFmts>
  <x:fonts count="32"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x:font>
      <x:name val="돋움"/>
      <x:sz val="9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563c1"/>
          <x:u/>
          <hs:underlineType val="1"/>
          <hs:underlineShape val="solid"/>
          <hs:underlineColor rgb="ff0563c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563c1"/>
          <x:u/>
        </x:font>
      </mc:Fallback>
    </mc:AlternateConte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</x:font>
      </mc:Fallback>
    </mc:AlternateContent>
    <x:font>
      <x:name val="맑은 고딕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afabab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afabab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strike val="1"/>
          <hs:strikeoutType val="1"/>
          <hs:strikeoutShape val="solid"/>
          <hs:strikeout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strike val="1"/>
          <hs:strikeoutType val="1"/>
          <hs:strikeoutShape val="solid"/>
          <hs:strikeout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strike val="1"/>
        </x:font>
      </mc:Fallback>
    </mc:AlternateContent>
    <x:font>
      <x:name val="맑은 고딕"/>
      <x:sz val="8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cc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cc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x:strike val="1"/>
          <hs:strikeoutType val="1"/>
          <hs:strikeoutShape val="solid"/>
          <hs:strikeout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</x:fonts>
  <x:fills count="30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c0c0c0"/>
        <x:bgColor indexed="64"/>
      </x:patternFill>
    </x:fill>
    <x:fill>
      <x:patternFill patternType="solid">
        <x:fgColor rgb="ffddebf7"/>
        <x:bgColor indexed="64"/>
      </x:patternFill>
    </x:fill>
    <x:fill>
      <x:patternFill patternType="solid">
        <x:fgColor rgb="fffbe5d7"/>
        <x:bgColor indexed="64"/>
      </x:patternFill>
    </x:fill>
    <x:fill>
      <x:patternFill patternType="solid">
        <x:fgColor rgb="ffc6e0b3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ffe699"/>
        <x:bgColor indexed="64"/>
      </x:patternFill>
    </x:fill>
    <x:fill>
      <x:patternFill patternType="solid">
        <x:fgColor rgb="ffb4c6e7"/>
        <x:bgColor indexed="64"/>
      </x:patternFill>
    </x:fill>
    <x:fill>
      <x:patternFill patternType="solid">
        <x:fgColor rgb="fff4b184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rgb="ffe6f2ff"/>
        <x:bgColor indexed="64"/>
      </x:patternFill>
    </x:fill>
    <x:fill>
      <x:patternFill patternType="solid">
        <x:fgColor rgb="fff8cbac"/>
        <x:bgColor indexed="64"/>
      </x:patternFill>
    </x:fill>
    <x:fill>
      <x:patternFill patternType="solid">
        <x:fgColor rgb="ffdae3f3"/>
        <x:bgColor indexed="64"/>
      </x:patternFill>
    </x:fill>
    <x:fill>
      <x:patternFill patternType="solid">
        <x:fgColor rgb="ffededed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bed7ee"/>
        <x:bgColor indexed="64"/>
      </x:patternFill>
    </x:fill>
    <x:fill>
      <x:patternFill patternType="solid">
        <x:fgColor rgb="ffdbdbdb"/>
        <x:bgColor indexed="64"/>
      </x:patternFill>
    </x:fill>
    <x:fill>
      <x:patternFill patternType="solid">
        <x:fgColor rgb="ffbf9000"/>
        <x:bgColor indexed="64"/>
      </x:patternFill>
    </x:fill>
    <x:fill>
      <x:patternFill patternType="solid">
        <x:fgColor rgb="ffccccff"/>
        <x:bgColor rgb="ffffffff"/>
      </x:patternFill>
    </x:fill>
    <x:fill>
      <x:patternFill patternType="solid">
        <x:fgColor rgb="ffbf9000"/>
        <x:bgColor rgb="ffffffff"/>
      </x:patternFill>
    </x:fill>
    <x:fill>
      <x:patternFill patternType="solid">
        <x:fgColor rgb="ffffff00"/>
        <x:bgColor rgb="ffffffff"/>
      </x:patternFill>
    </x:fill>
    <x:fill>
      <x:patternFill patternType="solid">
        <x:fgColor rgb="ffd0cece"/>
        <x:bgColor indexed="64"/>
      </x:patternFill>
    </x:fill>
    <x:fill>
      <x:patternFill patternType="solid">
        <x:fgColor rgb="ff00b0f0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0070c0"/>
        <x:bgColor indexed="64"/>
      </x:patternFill>
    </x:fill>
    <x:fill>
      <x:patternFill patternType="solid">
        <x:fgColor rgb="ff9cc3e6"/>
        <x:bgColor indexed="64"/>
      </x:patternFill>
    </x:fill>
  </x:fills>
  <x:borders count="10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>
        <x:color auto="1"/>
      </x:right>
      <x:top style="thin">
        <x:color rgb="ff000000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rgb="ffdfdfdf"/>
      </x:bottom>
    </x:border>
    <x:border>
      <x:left style="hair"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>
        <x:color auto="1"/>
      </x:bottom>
    </x:border>
    <x:border>
      <x:left style="hair">
        <x:color auto="1"/>
      </x:left>
      <x:right style="hair">
        <x:color auto="1"/>
      </x:right>
      <x:top>
        <x:color auto="1"/>
      </x:top>
      <x:bottom style="hair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auto="1"/>
      </x:top>
      <x:bottom style="thin">
        <x:color rgb="ff000000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hair">
        <x:color rgb="ff000000"/>
      </x:bottom>
    </x:border>
    <x:border>
      <x:left style="thin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</x:border>
    <x:border>
      <x:left style="thin">
        <x:color rgb="ff000000"/>
      </x:left>
      <x:right style="thin">
        <x:color rgb="ff000000"/>
      </x:right>
      <x:top style="hair">
        <x:color rgb="ff000000"/>
      </x:top>
      <x:bottom style="thin">
        <x:color rgb="ff000000"/>
      </x:bottom>
    </x:border>
    <x:border>
      <x:left style="thin">
        <x:color auto="1"/>
      </x:left>
      <x:right style="thin">
        <x:color rgb="ff000000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auto="1"/>
      </x:top>
      <x:bottom style="hair">
        <x:color rgb="ff000000"/>
      </x:bottom>
    </x:border>
    <x:border>
      <x:left style="thin">
        <x:color auto="1"/>
      </x:left>
      <x:right style="thin">
        <x:color rgb="ff000000"/>
      </x:right>
      <x:top style="thin">
        <x:color auto="1"/>
      </x:top>
      <x:bottom style="thin">
        <x:color rgb="ff000000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rgb="ff000000"/>
      </x:bottom>
    </x:border>
    <x:border>
      <x:left style="thin"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 style="thin">
        <x:color auto="1"/>
      </x:left>
      <x:right style="thin">
        <x:color rgb="ff000000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hair">
        <x:color rgb="ff000000"/>
      </x:top>
      <x:bottom>
        <x:color auto="1"/>
      </x:bottom>
    </x:border>
    <x:border>
      <x:left style="thin">
        <x:color auto="1"/>
      </x:left>
      <x:right style="thin">
        <x:color rgb="ff000000"/>
      </x:right>
      <x:top style="thin"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hair">
        <x:color auto="1"/>
      </x:left>
      <x:right>
        <x:color auto="1"/>
      </x:right>
      <x:top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hair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hair">
        <x:color auto="1"/>
      </x:bottom>
    </x:border>
    <x:border>
      <x:left style="thin">
        <x:color rgb="ff000000"/>
      </x:left>
      <x:right style="thin"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rgb="ff000000"/>
      </x:left>
      <x:right style="thin">
        <x:color auto="1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rgb="ff000000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rgb="ff000000"/>
      </x:left>
      <x:right style="thin">
        <x:color auto="1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double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double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double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double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double">
        <x:color auto="1"/>
      </x:top>
      <x:bottom>
        <x:color auto="1"/>
      </x:bottom>
    </x:border>
  </x:borders>
  <x:cellStyleXfs count="5">
    <x:xf numFmtId="0" fontId="0" fillId="0" borderId="0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0" fontId="6" fillId="0" borderId="0">
      <x:alignment horizontal="general" vertical="center"/>
    </x:xf>
    <x:xf numFmtId="0" fontId="7" fillId="0" borderId="0">
      <x:alignment horizontal="general" vertical="bottom"/>
    </x:xf>
    <x:xf numFmtId="0" fontId="8" fillId="0" borderId="0">
      <x:alignment horizontal="general" vertical="center"/>
    </x:xf>
  </x:cellStyleXfs>
  <x:cellXfs count="413"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NumberFormat="1" applyFont="1" applyAlignment="1">
          <x:alignment horizontal="center" vertical="center"/>
        </x:xf>
      </mc:Fallback>
    </mc:AlternateContent>
    <x:xf numFmtId="0" fontId="9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3" borderId="8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8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2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2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0" fillId="0" borderId="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0" borderId="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2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2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0" fillId="0" borderId="0" xfId="2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0" fillId="0" borderId="0" xfId="2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9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9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3" xfId="0" applyNumberFormat="1" applyFont="1" applyBorder="1" applyAlignment="1" hs:applyExtension="1">
          <x:alignment horizontal="left" vertical="center" indent="2"/>
          <hs:parashape hs:leftMargin="2268" hs:lineSpacingType="betweenLines" hs:lineSpacing="75" hs:breakNonLatinWord="breakWord" hs:breakLatinWord="keepWord" hs:condense="0" hs:textAlignment="baseLine"/>
        </x:xf>
      </mc:Choice>
      <mc:Fallback>
        <x:xf numFmtId="0" fontId="9" fillId="0" borderId="23" xfId="0" applyNumberFormat="1" applyFont="1" applyBorder="1" applyAlignment="1">
          <x:alignment horizontal="left" vertical="center" indent="2"/>
        </x:xf>
      </mc:Fallback>
    </mc:AlternateContent>
    <x:xf numFmtId="0" fontId="9" fillId="0" borderId="23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5" xfId="0" applyNumberFormat="1" applyFont="1" applyBorder="1" applyAlignment="1" hs:applyExtension="1">
          <x:alignment horizontal="left" vertical="center" indent="2"/>
          <hs:parashape hs:leftMargin="2268" hs:lineSpacingType="betweenLines" hs:lineSpacing="75" hs:breakNonLatinWord="breakWord" hs:breakLatinWord="keepWord" hs:condense="0" hs:textAlignment="baseLine"/>
        </x:xf>
      </mc:Choice>
      <mc:Fallback>
        <x:xf numFmtId="0" fontId="9" fillId="0" borderId="15" xfId="0" applyNumberFormat="1" applyFont="1" applyBorder="1" applyAlignment="1">
          <x:alignment horizontal="left" vertical="center" indent="2"/>
        </x:xf>
      </mc:Fallback>
    </mc:AlternateContent>
    <x:xf numFmtId="0" fontId="9" fillId="0" borderId="15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7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7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8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8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7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7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0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0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0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0" borderId="21" xfId="0" applyNumberFormat="1" applyFont="1" applyFill="1" applyBorder="1" applyAlignment="1">
          <x:alignment horizontal="center" vertical="center"/>
        </x:xf>
      </mc:Fallback>
    </mc:AlternateContent>
    <x:xf numFmtId="0" fontId="1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9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9" fillId="0" borderId="39" xfId="0" applyNumberFormat="1" applyFont="1" applyBorder="1" applyAlignment="1">
          <x:alignment horizontal="center" vertical="center"/>
        </x:xf>
      </mc:Fallback>
    </mc:AlternateContent>
    <x:xf numFmtId="0" fontId="9" fillId="0" borderId="40" xfId="0" applyNumberFormat="1" applyFont="1" applyBorder="1">
      <x:alignment horizontal="general" vertical="center"/>
    </x:xf>
    <x:xf numFmtId="0" fontId="9" fillId="0" borderId="41" xfId="0" applyNumberFormat="1" applyFont="1" applyBorder="1">
      <x:alignment horizontal="general" vertical="center"/>
    </x:xf>
    <x:xf numFmtId="0" fontId="9" fillId="0" borderId="42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4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6" xfId="0" applyNumberFormat="1" applyFont="1" applyBorder="1" applyAlignment="1">
          <x:alignment horizontal="center" vertical="center"/>
        </x:xf>
      </mc:Fallback>
    </mc:AlternateContent>
    <x:xf numFmtId="0" fontId="9" fillId="0" borderId="47" xfId="0" applyNumberFormat="1" applyFont="1" applyBorder="1">
      <x:alignment horizontal="general" vertical="center"/>
    </x:xf>
    <x:xf numFmtId="0" fontId="9" fillId="0" borderId="48" xfId="0" applyNumberFormat="1" applyFont="1" applyBorder="1">
      <x:alignment horizontal="general" vertical="center"/>
    </x:xf>
    <x:xf numFmtId="0" fontId="14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4" fontId="9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9" fillId="0" borderId="18" xfId="0" applyNumberFormat="1" applyFont="1" applyBorder="1" applyAlignment="1">
          <x:alignment horizontal="center" vertical="center"/>
        </x:xf>
      </mc:Fallback>
    </mc:AlternateContent>
    <x:xf numFmtId="14" fontId="9" fillId="0" borderId="48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4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1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1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2" applyNumberFormat="1" applyFon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2" applyNumberFormat="1" applyFont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2" borderId="0" xfId="2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2" borderId="0" xfId="2" applyNumberFormat="1" applyFont="1" applyFill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2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2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1" xfId="0" applyNumberFormat="1" applyFont="1" applyBorder="1" applyAlignment="1" hs:applyExtension="1">
          <x:alignment horizontal="left" vertical="center" indent="4"/>
          <hs:parashape hs:leftMargin="4535" hs:lineSpacingType="betweenLines" hs:lineSpacing="75" hs:breakNonLatinWord="breakWord" hs:breakLatinWord="keepWord" hs:condense="0" hs:textAlignment="baseLine"/>
        </x:xf>
      </mc:Choice>
      <mc:Fallback>
        <x:xf numFmtId="0" fontId="9" fillId="0" borderId="51" xfId="0" applyNumberFormat="1" applyFont="1" applyBorder="1" applyAlignment="1">
          <x:alignment horizontal="left" vertical="center" indent="4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4" xfId="0" applyNumberFormat="1" applyFont="1" applyBorder="1" applyAlignment="1" hs:applyExtension="1">
          <x:alignment horizontal="left" vertical="center" indent="4"/>
          <hs:parashape hs:leftMargin="4535" hs:lineSpacingType="betweenLines" hs:lineSpacing="75" hs:breakNonLatinWord="breakWord" hs:breakLatinWord="keepWord" hs:condense="0" hs:textAlignment="baseLine"/>
        </x:xf>
      </mc:Choice>
      <mc:Fallback>
        <x:xf numFmtId="0" fontId="9" fillId="0" borderId="24" xfId="0" applyNumberFormat="1" applyFont="1" applyBorder="1" applyAlignment="1">
          <x:alignment horizontal="left" vertical="center" indent="4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" xfId="0" applyNumberFormat="1" applyFont="1" applyBorder="1" applyAlignment="1">
          <x:alignment horizontal="center" vertical="center"/>
        </x:xf>
      </mc:Fallback>
    </mc:AlternateContent>
    <x:xf numFmtId="0" fontId="9" fillId="0" borderId="18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5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1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1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left" vertical="center" indent="2"/>
          <hs:parashape hs:leftMargin="2268"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left" vertical="center" indent="2"/>
        </x:xf>
      </mc:Fallback>
    </mc:AlternateContent>
    <x:xf numFmtId="0" fontId="9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4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9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9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9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9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0" fillId="0" borderId="9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0" borderId="9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64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64" xfId="2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0" fillId="0" borderId="64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0" borderId="64" xfId="2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3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3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4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4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5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5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4" borderId="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4" borderId="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6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6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7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7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8" borderId="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8" borderId="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8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8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8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8" xfId="0" applyNumberFormat="1" applyFont="1" applyBorder="1" applyAlignment="1">
          <x:alignment horizontal="center" vertical="center" shrinkToFit="1"/>
        </x:xf>
      </mc:Fallback>
    </mc:AlternateContent>
    <x:xf numFmtId="0" fontId="9" fillId="0" borderId="39" xfId="0" applyNumberFormat="1" applyFont="1" applyBorder="1">
      <x:alignment horizontal="general" vertical="center"/>
    </x:xf>
    <x:xf numFmtId="0" fontId="9" fillId="0" borderId="45" xfId="0" applyNumberFormat="1" applyFont="1" applyBorder="1">
      <x:alignment horizontal="general" vertical="center"/>
    </x:xf>
    <x:xf numFmtId="14" fontId="9" fillId="0" borderId="18" xfId="0" applyNumberFormat="1" applyFont="1" applyBorder="1">
      <x:alignment horizontal="general" vertical="center"/>
    </x:xf>
    <x:xf numFmtId="0" fontId="9" fillId="0" borderId="35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" fillId="0" borderId="9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9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9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9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7" xfId="0" applyNumberFormat="1" applyFont="1" applyBorder="1" applyAlignment="1">
          <x:alignment horizontal="center" vertical="center"/>
        </x:xf>
      </mc:Fallback>
    </mc:AlternateContent>
    <x:xf numFmtId="0" fontId="9" fillId="0" borderId="0" xfId="0" quotePrefix="1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4" fontId="15" fillId="0" borderId="39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5" fillId="0" borderId="39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5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5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0" xfId="0" applyNumberFormat="1" applyFon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NumberFormat="1" applyFont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9" fillId="0" borderId="0" xfId="0" applyNumberFormat="1" applyFont="1" applyAlignment="1">
          <x:alignment horizontal="center" vertical="center"/>
        </x:xf>
      </mc:Fallback>
    </mc:AlternateContent>
    <x:xf numFmtId="14" fontId="9" fillId="0" borderId="4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6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64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64" xfId="2" applyNumberFormat="1" applyFont="1" applyBorder="1" applyAlignment="1">
          <x:alignment horizontal="center" vertical="center" shrinkToFit="1"/>
        </x:xf>
      </mc:Fallback>
    </mc:AlternateContent>
    <x:xf numFmtId="0" fontId="10" fillId="19" borderId="0" xfId="0" applyNumberFormat="1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20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0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1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1" borderId="0" xfId="0" applyNumberFormat="1" applyFont="1" applyFill="1" applyAlignment="1">
          <x:alignment horizontal="center" vertical="center"/>
        </x:xf>
      </mc:Fallback>
    </mc:AlternateContent>
    <x:xf numFmtId="0" fontId="10" fillId="21" borderId="0" xfId="0" applyNumberFormat="1" applyFont="1" applyFill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10" fillId="21" borderId="0" xfId="0" applyNumberFormat="1" applyFont="1" applyFill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21" borderId="0" xfId="0" applyNumberFormat="1" applyFont="1" applyFill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2" borderId="0" xfId="0" applyNumberFormat="1" applyFont="1" applyFill="1" applyAlignment="1">
          <x:alignment horizontal="center" vertical="center"/>
        </x:xf>
      </mc:Fallback>
    </mc:AlternateContent>
    <x:xf numFmtId="0" fontId="10" fillId="22" borderId="0" xfId="0" applyNumberFormat="1" applyFont="1" applyFill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10" fillId="22" borderId="0" xfId="0" applyNumberFormat="1" applyFont="1" applyFill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22" borderId="0" xfId="0" applyNumberFormat="1" applyFont="1" applyFill="1" applyAlignment="1">
          <x:alignment horizontal="right" vertical="center"/>
        </x:xf>
      </mc:Fallback>
    </mc:AlternateContent>
    <x:xf numFmtId="0" fontId="10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10" fillId="0" borderId="0" xfId="0" applyNumberFormat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0" borderId="0" xfId="0" applyNumberFormat="1" applyFon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21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1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2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2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3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3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3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3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0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0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8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8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7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7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9" xfId="0" applyNumberFormat="1" applyFont="1" applyBorder="1" applyAlignment="1">
          <x:alignment horizontal="center" vertical="center"/>
        </x:xf>
      </mc:Fallback>
    </mc:AlternateContent>
    <x:xf numFmtId="0" fontId="7" fillId="0" borderId="0" xfId="3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7" fillId="0" borderId="1" xfId="3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0" borderId="1" xfId="3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3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3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7" fillId="0" borderId="70" xfId="3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7" fillId="0" borderId="70" xfId="3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0" xfId="3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0" xfId="3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0" borderId="1" xfId="3" quotePrefix="1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0" borderId="1" xfId="3" quotePrefix="1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3" borderId="71" xfId="3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3" borderId="71" xfId="3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3" borderId="70" xfId="3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3" borderId="70" xfId="3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64" xfId="2" applyNumberFormat="1" applyFont="1" applyFill="1" applyBorder="1" applyAlignment="1">
          <x:alignment horizontal="center" vertical="center" wrapText="1"/>
        </x:xf>
      </mc:Fallback>
    </mc:AlternateContent>
    <x:xf numFmtId="0" fontId="9" fillId="0" borderId="3" xfId="0" applyNumberFormat="1" applyFont="1" applyBorder="1" applyAlignment="1">
      <x:alignment horizontal="left" vertical="center" shrinkToFit="1"/>
    </x:xf>
    <x:xf numFmtId="0" fontId="9" fillId="0" borderId="4" xfId="0" applyNumberFormat="1" applyFont="1" applyBorder="1" applyAlignment="1">
      <x:alignment horizontal="left" vertical="center" shrinkToFit="1"/>
    </x:xf>
    <x:xf numFmtId="0" fontId="9" fillId="0" borderId="6" xfId="0" applyNumberFormat="1" applyFont="1" applyBorder="1" applyAlignment="1">
      <x:alignment horizontal="left" vertical="center" shrinkToFit="1"/>
    </x:xf>
    <x:xf numFmtId="0" fontId="9" fillId="0" borderId="61" xfId="0" applyNumberFormat="1" applyFont="1" applyBorder="1" applyAlignment="1">
      <x:alignment horizontal="left" vertical="center" shrinkToFit="1"/>
    </x:xf>
    <x:xf numFmtId="0" fontId="18" fillId="0" borderId="3" xfId="0" applyNumberFormat="1" applyFont="1" applyBorder="1" applyAlignment="1">
      <x:alignment horizontal="left" vertical="center" shrinkToFit="1"/>
    </x:xf>
    <x:xf numFmtId="0" fontId="9" fillId="0" borderId="62" xfId="0" applyNumberFormat="1" applyFont="1" applyBorder="1" applyAlignment="1">
      <x:alignment horizontal="left" vertical="center" shrinkToFit="1"/>
    </x:xf>
    <x:xf numFmtId="0" fontId="9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10" fillId="2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2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0" fillId="2" borderId="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2" borderId="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" xfId="2" applyNumberFormat="1" applyFont="1" applyBorder="1" applyAlignment="1">
          <x:alignment horizontal="center" vertical="center" shrinkToFit="1"/>
        </x:xf>
      </mc:Fallback>
    </mc:AlternateContent>
    <x:xf numFmtId="0" fontId="9" fillId="0" borderId="67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2" borderId="24" xfId="0" applyNumberFormat="1" applyFont="1" applyFill="1" applyBorder="1" applyAlignment="1" hs:applyExtension="1">
          <x:alignment horizontal="left" vertical="center" indent="4"/>
          <hs:parashape hs:leftMargin="4535" hs:lineSpacingType="betweenLines" hs:lineSpacing="75" hs:breakNonLatinWord="breakWord" hs:breakLatinWord="keepWord" hs:condense="0" hs:textAlignment="baseLine"/>
        </x:xf>
      </mc:Choice>
      <mc:Fallback>
        <x:xf numFmtId="0" fontId="9" fillId="2" borderId="24" xfId="0" applyNumberFormat="1" applyFont="1" applyFill="1" applyBorder="1" applyAlignment="1">
          <x:alignment horizontal="left" vertical="center" indent="4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51" xfId="0" applyNumberFormat="1" applyFont="1" applyFill="1" applyBorder="1" applyAlignment="1" hs:applyExtension="1">
          <x:alignment horizontal="left" vertical="center" indent="4"/>
          <hs:parashape hs:leftMargin="4535" hs:lineSpacingType="betweenLines" hs:lineSpacing="75" hs:breakNonLatinWord="breakWord" hs:breakLatinWord="keepWord" hs:condense="0" hs:textAlignment="baseLine"/>
        </x:xf>
      </mc:Choice>
      <mc:Fallback>
        <x:xf numFmtId="0" fontId="9" fillId="2" borderId="51" xfId="0" applyNumberFormat="1" applyFont="1" applyFill="1" applyBorder="1" applyAlignment="1">
          <x:alignment horizontal="left" vertical="center" indent="4"/>
        </x:xf>
      </mc:Fallback>
    </mc:AlternateContent>
    <x:xf numFmtId="0" fontId="9" fillId="2" borderId="1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6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6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4" borderId="8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4" borderId="8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9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9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9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9" xfId="2" applyNumberFormat="1" applyFont="1" applyBorder="1" applyAlignment="1">
          <x:alignment horizontal="center" vertical="center" wrapText="1"/>
        </x:xf>
      </mc:Fallback>
    </mc:AlternateContent>
    <x:xf numFmtId="0" fontId="15" fillId="0" borderId="4" xfId="0" applyNumberFormat="1" applyFont="1" applyBorder="1" applyAlignment="1">
      <x:alignment horizontal="left" vertical="center" shrinkToFit="1"/>
    </x:xf>
    <mc:AlternateContent xmlns:mc="http://schemas.openxmlformats.org/markup-compatibility/2006">
      <mc:Choice xmlns:hs="http://schemas.haansoft.com/office/spreadsheet/8.0" Requires="hs">
        <x:xf numFmtId="0" fontId="9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5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5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6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6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5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5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5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5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5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5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5" borderId="6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5" borderId="61" xfId="0" applyNumberFormat="1" applyFont="1" applyFill="1" applyBorder="1" applyAlignment="1">
          <x:alignment horizontal="center" vertical="center"/>
        </x:xf>
      </mc:Fallback>
    </mc:AlternateContent>
    <x:xf numFmtId="0" fontId="8" fillId="0" borderId="0" xfId="4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4" fillId="2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4" borderId="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4" borderId="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4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4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1" borderId="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1" borderId="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1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1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6" borderId="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6" borderId="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6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6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6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0" fillId="0" borderId="9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0" borderId="9" xfId="2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0" xfId="0" applyNumberFormat="1" applyFont="1" applyAlignment="1">
          <x:alignment horizontal="center" vertical="center"/>
        </x:xf>
      </mc:Fallback>
    </mc:AlternateContent>
    <x:xf numFmtId="0" fontId="23" fillId="0" borderId="0" xfId="3" applyNumberFormat="1" applyFo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1" xfId="3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3" applyNumberForma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2" borderId="1" xfId="3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2" borderId="1" xfId="3" applyNumberForma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2" borderId="1" xfId="3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2" borderId="1" xfId="3" applyNumberFormat="1" applyFont="1" applyFill="1" applyBorder="1" applyAlignment="1">
          <x:alignment horizontal="center" vertical="bottom"/>
        </x:xf>
      </mc:Fallback>
    </mc:AlternateContent>
    <x:xf numFmtId="0" fontId="7" fillId="2" borderId="0" xfId="3" applyNumberFormat="1" applyFill="1">
      <x:alignment horizontal="general" vertical="bottom"/>
    </x:xf>
    <x:xf numFmtId="0" fontId="23" fillId="2" borderId="0" xfId="3" applyNumberFormat="1" applyFont="1" applyFill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1" fillId="0" borderId="9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9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4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4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8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8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8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8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4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4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2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24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24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24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24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24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24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24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7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7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7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7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7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7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7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7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4" borderId="0" xfId="2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4" borderId="0" xfId="2" applyNumberFormat="1" applyFont="1" applyFill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28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28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9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9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9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9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6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6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6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6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4" xfId="0" applyNumberFormat="1" applyFont="1" applyBorder="1" applyAlignment="1">
          <x:alignment horizontal="center" vertical="center"/>
        </x:xf>
      </mc:Fallback>
    </mc:AlternateContent>
    <x:xf numFmtId="0" fontId="26" fillId="0" borderId="4" xfId="0" applyNumberFormat="1" applyFont="1" applyBorder="1" applyAlignment="1">
      <x:alignment horizontal="left" vertical="center" shrinkToFit="1"/>
    </x:xf>
    <mc:AlternateContent xmlns:mc="http://schemas.openxmlformats.org/markup-compatibility/2006">
      <mc:Choice xmlns:hs="http://schemas.haansoft.com/office/spreadsheet/8.0" Requires="hs">
        <x:xf numFmtId="0" fontId="13" fillId="0" borderId="7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7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7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7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7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7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7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75" xfId="0" applyNumberFormat="1" applyFont="1" applyBorder="1" applyAlignment="1">
          <x:alignment horizontal="center" vertical="center" wrapText="1"/>
        </x:xf>
      </mc:Fallback>
    </mc:AlternateContent>
    <x:xf numFmtId="0" fontId="13" fillId="0" borderId="75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2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5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5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6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67" xfId="0" applyNumberFormat="1" applyFont="1" applyFill="1" applyBorder="1" applyAlignment="1">
          <x:alignment horizontal="center" vertical="center"/>
        </x:xf>
      </mc:Fallback>
    </mc:AlternateContent>
    <x:xf numFmtId="0" fontId="9" fillId="2" borderId="0" xfId="0" applyNumberFormat="1" applyFont="1" applyFill="1">
      <x:alignment horizontal="general" vertical="center"/>
    </x:xf>
    <x:xf numFmtId="0" fontId="9" fillId="0" borderId="1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6" fillId="0" borderId="6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6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61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61" xfId="0" applyNumberFormat="1" applyFont="1" applyBorder="1" applyAlignment="1">
          <x:alignment horizontal="center" vertical="center" shrinkToFit="1"/>
        </x:xf>
      </mc:Fallback>
    </mc:AlternateContent>
    <x:xf numFmtId="0" fontId="26" fillId="0" borderId="61" xfId="0" applyNumberFormat="1" applyFont="1" applyBorder="1" applyAlignment="1">
      <x:alignment horizontal="left" vertical="center" shrinkToFit="1"/>
    </x:xf>
    <mc:AlternateContent xmlns:mc="http://schemas.openxmlformats.org/markup-compatibility/2006">
      <mc:Choice xmlns:hs="http://schemas.haansoft.com/office/spreadsheet/8.0" Requires="hs">
        <x:xf numFmtId="0" fontId="26" fillId="25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25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3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3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6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6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4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4" borderId="9" xfId="2" applyNumberFormat="1" applyFont="1" applyFill="1" applyBorder="1" applyAlignment="1">
          <x:alignment horizontal="center" vertical="center" shrinkToFit="1"/>
        </x:xf>
      </mc:Fallback>
    </mc:AlternateContent>
    <x:xf numFmtId="0" fontId="26" fillId="0" borderId="0" xfId="0" applyNumberFormat="1" applyFont="1">
      <x:alignment horizontal="general" vertical="center"/>
    </x:xf>
    <x:xf numFmtId="0" fontId="9" fillId="0" borderId="76" xfId="0" applyNumberFormat="1" applyFont="1" applyBorder="1">
      <x:alignment horizontal="general" vertical="center"/>
    </x:xf>
    <x:xf numFmtId="0" fontId="9" fillId="0" borderId="77" xfId="0" applyNumberFormat="1" applyFont="1" applyBorder="1">
      <x:alignment horizontal="general" vertical="center"/>
    </x:xf>
    <x:xf numFmtId="0" fontId="9" fillId="0" borderId="78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2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6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6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6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6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3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3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4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4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9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9" xfId="2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9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9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6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6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6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0" fillId="6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6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8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8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0" fillId="8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8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8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8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0" xfId="0" applyNumberFormat="1" applyFont="1" applyBorder="1" applyAlignment="1">
          <x:alignment horizontal="center" vertical="center"/>
        </x:xf>
      </mc:Fallback>
    </mc:AlternateContent>
    <x:xf numFmtId="0" fontId="9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7" borderId="7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7" borderId="7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7" borderId="7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7" borderId="7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7" borderId="7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7" borderId="7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6" borderId="7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6" borderId="7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6" borderId="7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6" borderId="7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6" borderId="7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6" borderId="7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7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7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7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7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7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7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6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6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6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6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6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6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9" borderId="7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9" borderId="7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9" borderId="7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9" borderId="7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9" borderId="7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9" borderId="7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6" borderId="7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7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6" borderId="7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7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6" borderId="7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7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7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7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7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7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7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7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9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9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9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9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9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9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6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6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6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8" borderId="7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7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8" borderId="7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7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8" borderId="7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7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8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8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8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4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4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9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9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0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0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0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0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64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64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64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64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0" fillId="0" borderId="64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0" borderId="64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64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64" xfId="2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64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64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64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64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4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4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9" borderId="64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9" borderId="64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5" borderId="64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5" borderId="64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5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5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6" borderId="64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6" borderId="64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6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6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0" fillId="26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26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64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64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64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64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6" borderId="64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6" borderId="64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4" borderId="64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4" borderId="64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1" fillId="24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1" fillId="24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4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" xfId="2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26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26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6" borderId="0" xfId="2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6" borderId="0" xfId="2" applyNumberFormat="1" applyFont="1" applyFill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6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6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2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2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64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64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28" borderId="64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28" borderId="64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64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64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5" borderId="64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5" borderId="64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64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64" xfId="2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64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0" borderId="64" xfId="2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0" fillId="2" borderId="64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2" borderId="64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0" fillId="0" borderId="6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0" borderId="64" xfId="2" applyNumberFormat="1" applyFont="1" applyBorder="1" applyAlignment="1">
          <x:alignment horizontal="center" vertical="center"/>
        </x:xf>
      </mc:Fallback>
    </mc:AlternateContent>
  </x:cellXfs>
  <x:cellStyles count="5">
    <x:cellStyle name="표준" xfId="0" builtinId="0"/>
    <x:cellStyle name="쉼표 [0]" xfId="1" builtinId="6"/>
    <x:cellStyle name="표준 2" xfId="2"/>
    <x:cellStyle name="표준 4" xfId="3"/>
    <x:cellStyle name="하이퍼링크" xfId="4" builtinId="8"/>
  </x:cellStyles>
  <x:dxfs count="14">
    <x:dxf>
      <x:fill>
        <x:patternFill patternType="solid">
          <x:fgColor rgb="ff6182d6"/>
          <x:bgColor rgb="ff6182d6"/>
        </x:patternFill>
      </x:fill>
    </x:dxf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aebfea"/>
          <x:bgColor rgb="ffaebfea"/>
        </x:patternFill>
      </x:fill>
    </x:dxf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7">
      <x:tableStyleElement type="wholeTable" size="1" dxfId="13"/>
      <x:tableStyleElement type="headerRow" size="1" dxfId="12"/>
      <x:tableStyleElement type="totalRow" size="1" dxfId="11"/>
      <x:tableStyleElement type="firstColumn" size="1" dxfId="10"/>
      <x:tableStyleElement type="lastColumn" size="1" dxfId="9"/>
      <x:tableStyleElement type="firstRowStripe" size="1" dxfId="8"/>
      <x:tableStyleElement type="firstColumnStripe" size="1" dxfId="7"/>
    </x:tableStyle>
    <x:tableStyle name="Light Style 1 - Accent 1" pivot="1" table="0" count="7">
      <x:tableStyleElement type="wholeTable" size="1" dxfId="6"/>
      <x:tableStyleElement type="headerRow" size="1" dxfId="5"/>
      <x:tableStyleElement type="totalRow" size="1" dxfId="4"/>
      <x:tableStyleElement type="firstColumn" size="1" dxfId="3"/>
      <x:tableStyleElement type="lastColumn" size="1" dxfId="2"/>
      <x:tableStyleElement type="firstRowStripe" size="1" dxfId="1"/>
      <x:tableStyleElement type="firstColumnStripe" size="1" dxfId="0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noFill/>
        </a:ln>
        <a:effectLst/>
      </a:spPr>
      <a:bodyPr/>
      <a:lstStyle/>
    </a:spDef>
    <a:lnDef>
      <a:spPr>
        <a:noFill/>
        <a:ln>
          <a:noFill/>
        </a:ln>
        <a:effectLst/>
      </a:spPr>
      <a:bodyPr/>
      <a:lstStyle/>
    </a:lnDef>
    <a:txDef>
      <a:spPr/>
      <a:bodyPr/>
      <a:lstStyle/>
    </a:txDef>
  </a:objectDefaults>
</a:theme>
</file>

<file path=xl/worksheets/_rels/sheet6.xml.rels><?xml version="1.0" encoding="UTF-8" standalone="yes" ?><Relationships xmlns="http://schemas.openxmlformats.org/package/2006/relationships"><Relationship Id="rId1" Type="http://schemas.openxmlformats.org/officeDocument/2006/relationships/hyperlink" Target="https://accounts.google.com/" TargetMode="External" /><Relationship Id="rId2" Type="http://schemas.openxmlformats.org/officeDocument/2006/relationships/hyperlink" Target="https://cloud.goe.go.kr/admin/" TargetMode="External" /><Relationship Id="rId3" Type="http://schemas.openxmlformats.org/officeDocument/2006/relationships/hyperlink" Target="https://mdm.aiedu.or.kr/" TargetMode="External" /><Relationship Id="rId4" Type="http://schemas.openxmlformats.org/officeDocument/2006/relationships/hyperlink" Target="https://msg.goe.go.kr:18007/" TargetMode="External" /><Relationship Id="rId5" Type="http://schemas.openxmlformats.org/officeDocument/2006/relationships/hyperlink" Target="http://10.0.200.219:8080/" TargetMode="External" /><Relationship Id="rId6" Type="http://schemas.openxmlformats.org/officeDocument/2006/relationships/hyperlink" Target="https://www.goedu.kr/scmnst/login" TargetMode="External" /><Relationship Id="rId7" Type="http://schemas.openxmlformats.org/officeDocument/2006/relationships/hyperlink" Target="https://gsms.goe.go.kr/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Z960"/>
  <x:sheetViews>
    <x:sheetView showGridLines="0" tabSelected="1" topLeftCell="A927" zoomScale="85" zoomScaleNormal="85" zoomScaleSheetLayoutView="85" workbookViewId="0">
      <x:selection activeCell="L10" activeCellId="0" sqref="L10:L10"/>
    </x:sheetView>
  </x:sheetViews>
  <x:sheetFormatPr defaultColWidth="8.9140625" defaultRowHeight="15" customHeight="1"/>
  <x:cols>
    <x:col min="1" max="1" width="22.6640625" style="91" bestFit="1" customWidth="1"/>
    <x:col min="2" max="2" width="13.1640625" style="91" bestFit="1" customWidth="1"/>
    <x:col min="3" max="3" width="10.9140625" style="91" bestFit="1" customWidth="1"/>
    <x:col min="4" max="4" width="7.6640625" style="91" customWidth="1"/>
    <x:col min="5" max="5" width="10.4140625" style="91" bestFit="1" customWidth="1"/>
    <x:col min="6" max="6" width="25.6640625" style="91" bestFit="1" customWidth="1"/>
    <x:col min="7" max="7" width="15.58203125" style="91" customWidth="1"/>
    <x:col min="8" max="8" width="17.6640625" style="91" customWidth="1"/>
    <x:col min="9" max="9" width="12.1640625" style="91" customWidth="1"/>
    <x:col min="10" max="10" width="15.6640625" style="91" customWidth="1"/>
    <x:col min="11" max="11" width="10.33203125" style="91" bestFit="1" customWidth="1"/>
    <x:col min="12" max="13" width="10.4140625" style="91" bestFit="1" customWidth="1"/>
    <x:col min="14" max="14" width="10.6640625" style="91" bestFit="1" customWidth="1"/>
    <x:col min="15" max="15" width="21.4140625" style="91" customWidth="1"/>
    <x:col min="16" max="16" width="13.6640625" style="91" customWidth="1"/>
    <x:col min="17" max="17" width="16.4140625" style="91" customWidth="1"/>
    <x:col min="18" max="18" width="34.33203125" style="91" customWidth="1"/>
    <x:col min="19" max="19" width="10.4140625" style="91" bestFit="1" customWidth="1"/>
    <x:col min="20" max="20" width="17.6640625" style="91" bestFit="1" customWidth="1"/>
    <x:col min="21" max="21" width="14.1640625" style="91" customWidth="1"/>
    <x:col min="22" max="22" width="12.4140625" style="91" bestFit="1" customWidth="1"/>
    <x:col min="23" max="23" width="6.83203125" style="91" bestFit="1" customWidth="1"/>
    <x:col min="24" max="24" width="10.83203125" style="91" bestFit="1" customWidth="1"/>
    <x:col min="25" max="16384" width="8.9140625" style="91"/>
  </x:cols>
  <x:sheetData>
    <x:row r="1" spans="1:22" s="92" customFormat="1" ht="26.35000000000000142109">
      <x:c r="A1" s="12"/>
      <x:c r="B1" s="12" t="s">
        <x:v>1970</x:v>
      </x:c>
      <x:c r="C1" s="203" t="s">
        <x:v>2005</x:v>
      </x:c>
      <x:c r="D1" s="203" t="s">
        <x:v>2035</x:v>
      </x:c>
      <x:c r="E1" s="203" t="s">
        <x:v>2001</x:v>
      </x:c>
      <x:c r="F1" s="203" t="s">
        <x:v>1576</x:v>
      </x:c>
      <x:c r="G1" s="203" t="s">
        <x:v>2042</x:v>
      </x:c>
      <x:c r="H1" s="203" t="s">
        <x:v>1271</x:v>
      </x:c>
      <x:c r="I1" s="12" t="s">
        <x:v>1290</x:v>
      </x:c>
      <x:c r="J1" s="12" t="s">
        <x:v>3145</x:v>
      </x:c>
      <x:c r="K1" s="12" t="s">
        <x:v>681</x:v>
      </x:c>
      <x:c r="L1" s="203" t="s">
        <x:v>2061</x:v>
      </x:c>
      <x:c r="M1" s="203" t="s">
        <x:v>1969</x:v>
      </x:c>
      <x:c r="N1" s="203" t="s">
        <x:v>1973</x:v>
      </x:c>
      <x:c r="O1" s="203" t="s">
        <x:v>2052</x:v>
      </x:c>
      <x:c r="P1" s="203" t="s">
        <x:v>1970</x:v>
      </x:c>
      <x:c r="Q1" s="203" t="s">
        <x:v>2033</x:v>
      </x:c>
      <x:c r="R1" s="203" t="s">
        <x:v>1256</x:v>
      </x:c>
      <x:c r="S1" s="203" t="s">
        <x:v>2044</x:v>
      </x:c>
      <x:c r="T1" s="203" t="s">
        <x:v>1259</x:v>
      </x:c>
      <x:c r="U1" s="12"/>
      <x:c r="V1" s="12" t="s">
        <x:v>2012</x:v>
      </x:c>
    </x:row>
    <x:row r="2" spans="1:26" s="92" customFormat="1" ht="13.75" customHeight="1">
      <x:c r="A2" s="387" t="s">
        <x:v>1475</x:v>
      </x:c>
      <x:c r="B2" s="157" t="str">
        <x:f>L2&amp;"-"&amp;TEXT(P2,"0000")</x:f>
        <x:v>20250708-0803</x:v>
      </x:c>
      <x:c r="C2" s="157" t="s">
        <x:v>1978</x:v>
      </x:c>
      <x:c r="D2" s="157" t="s">
        <x:v>1581</x:v>
      </x:c>
      <x:c r="E2" s="157" t="s">
        <x:v>1552</x:v>
      </x:c>
      <x:c r="F2" s="124" t="s">
        <x:v>2242</x:v>
      </x:c>
      <x:c r="G2" s="124" t="s">
        <x:v>2014</x:v>
      </x:c>
      <x:c r="H2" s="124" t="str">
        <x:f>IFERROR(VLOOKUP(O2,'정보화기기 명부'!A$2:B$187,2,FALSE),"")</x:f>
        <x:v>시설관리실</x:v>
      </x:c>
      <x:c r="I2" s="124" t="str">
        <x:f>IFERROR(VLOOKUP(A2,'교직원용 IP'!$C$2:$H$230,6,FALSE),"")</x:f>
        <x:v>10.51.90.80</x:v>
      </x:c>
      <x:c r="J2" s="157"/>
      <x:c r="K2" s="157"/>
      <x:c r="L2" s="171">
        <x:v>20250708</x:v>
      </x:c>
      <x:c r="M2" s="382">
        <x:v>665975</x:v>
      </x:c>
      <x:c r="N2" s="157" t="s">
        <x:v>2034</x:v>
      </x:c>
      <x:c r="O2" s="157" t="s">
        <x:v>1475</x:v>
      </x:c>
      <x:c r="P2" s="157">
        <x:v>803</x:v>
      </x:c>
      <x:c r="Q2" s="124" t="s">
        <x:v>706</x:v>
      </x:c>
      <x:c r="R2" s="124" t="s">
        <x:v>3110</x:v>
      </x:c>
      <x:c r="S2" s="157"/>
      <x:c r="T2" s="157" t="s">
        <x:v>2037</x:v>
      </x:c>
      <x:c r="U2" s="157"/>
      <x:c r="V2" s="157" t="s">
        <x:v>739</x:v>
      </x:c>
      <x:c r="W2" s="91" t="s">
        <x:v>2047</x:v>
      </x:c>
      <x:c r="X2" s="91"/>
      <x:c r="Y2" s="91"/>
      <x:c r="Z2" s="91"/>
    </x:row>
    <x:row r="3" spans="1:26" s="92" customFormat="1" ht="13.75" customHeight="1">
      <x:c r="A3" s="387" t="str">
        <x:f>O3</x:f>
        <x:v>성윤정</x:v>
      </x:c>
      <x:c r="B3" s="157" t="str">
        <x:f>L3&amp;"-"&amp;TEXT(P3,"0000")</x:f>
        <x:v>20250708-0805</x:v>
      </x:c>
      <x:c r="C3" s="157" t="s">
        <x:v>1978</x:v>
      </x:c>
      <x:c r="D3" s="157" t="s">
        <x:v>1581</x:v>
      </x:c>
      <x:c r="E3" s="157" t="s">
        <x:v>1552</x:v>
      </x:c>
      <x:c r="F3" s="124" t="s">
        <x:v>2242</x:v>
      </x:c>
      <x:c r="G3" s="124" t="s">
        <x:v>2014</x:v>
      </x:c>
      <x:c r="H3" s="124" t="str">
        <x:f>IFERROR(VLOOKUP(O3,'정보화기기 명부'!A$2:B$187,2,FALSE),"")</x:f>
        <x:v>교육행정실</x:v>
      </x:c>
      <x:c r="I3" s="124" t="str">
        <x:f>IFERROR(VLOOKUP(A3,'교직원용 IP'!$C$2:$H$230,6,FALSE),"")</x:f>
        <x:v>10.51.90.77</x:v>
      </x:c>
      <x:c r="J3" s="157"/>
      <x:c r="K3" s="157"/>
      <x:c r="L3" s="171">
        <x:v>20250708</x:v>
      </x:c>
      <x:c r="M3" s="382">
        <x:v>665975</x:v>
      </x:c>
      <x:c r="N3" s="157" t="s">
        <x:v>2034</x:v>
      </x:c>
      <x:c r="O3" s="157" t="s">
        <x:v>1392</x:v>
      </x:c>
      <x:c r="P3" s="157">
        <x:v>805</x:v>
      </x:c>
      <x:c r="Q3" s="124" t="s">
        <x:v>706</x:v>
      </x:c>
      <x:c r="R3" s="124" t="s">
        <x:v>3110</x:v>
      </x:c>
      <x:c r="S3" s="157"/>
      <x:c r="T3" s="157" t="s">
        <x:v>2037</x:v>
      </x:c>
      <x:c r="U3" s="157"/>
      <x:c r="V3" s="157" t="s">
        <x:v>739</x:v>
      </x:c>
      <x:c r="W3" s="91" t="s">
        <x:v>2047</x:v>
      </x:c>
      <x:c r="X3" s="91"/>
      <x:c r="Y3" s="91"/>
      <x:c r="Z3" s="91"/>
    </x:row>
    <x:row r="4" spans="1:26" s="92" customFormat="1" ht="13.75" customHeight="1">
      <x:c r="A4" s="387" t="str">
        <x:f>O4</x:f>
        <x:v>고가영1</x:v>
      </x:c>
      <x:c r="B4" s="157" t="str">
        <x:f>L4&amp;"-"&amp;TEXT(P4,"0000")</x:f>
        <x:v>20250708-0808</x:v>
      </x:c>
      <x:c r="C4" s="157" t="s">
        <x:v>1978</x:v>
      </x:c>
      <x:c r="D4" s="157" t="s">
        <x:v>1581</x:v>
      </x:c>
      <x:c r="E4" s="157" t="s">
        <x:v>1251</x:v>
      </x:c>
      <x:c r="F4" s="124" t="s">
        <x:v>2242</x:v>
      </x:c>
      <x:c r="G4" s="124" t="s">
        <x:v>2014</x:v>
      </x:c>
      <x:c r="H4" s="124" t="str">
        <x:f>IFERROR(VLOOKUP(O4,'정보화기기 명부'!A$2:B$187,2,FALSE),"")</x:f>
        <x:v/>
      </x:c>
      <x:c r="I4" s="124" t="str">
        <x:f>IFERROR(VLOOKUP(A4,'교직원용 IP'!$C$2:$H$230,6,FALSE),"")</x:f>
        <x:v>10.51.90.127</x:v>
      </x:c>
      <x:c r="J4" s="157"/>
      <x:c r="K4" s="157"/>
      <x:c r="L4" s="171">
        <x:v>20250708</x:v>
      </x:c>
      <x:c r="M4" s="382">
        <x:v>665975</x:v>
      </x:c>
      <x:c r="N4" s="157" t="s">
        <x:v>2034</x:v>
      </x:c>
      <x:c r="O4" s="157" t="s">
        <x:v>2087</x:v>
      </x:c>
      <x:c r="P4" s="157">
        <x:v>808</x:v>
      </x:c>
      <x:c r="Q4" s="124" t="s">
        <x:v>706</x:v>
      </x:c>
      <x:c r="R4" s="124" t="s">
        <x:v>3110</x:v>
      </x:c>
      <x:c r="S4" s="157"/>
      <x:c r="T4" s="157" t="s">
        <x:v>2037</x:v>
      </x:c>
      <x:c r="U4" s="157"/>
      <x:c r="V4" s="157" t="s">
        <x:v>739</x:v>
      </x:c>
      <x:c r="W4" s="91" t="s">
        <x:v>2047</x:v>
      </x:c>
      <x:c r="X4" s="91"/>
      <x:c r="Y4" s="91"/>
      <x:c r="Z4" s="91"/>
    </x:row>
    <x:row r="5" spans="1:26" s="92" customFormat="1" ht="15.75" customHeight="1">
      <x:c r="A5" s="387" t="str">
        <x:f>O5</x:f>
        <x:v>한수진</x:v>
      </x:c>
      <x:c r="B5" s="25" t="str">
        <x:f>L5&amp;"-"&amp;TEXT(P5,"0000")</x:f>
        <x:v>20250708-0853</x:v>
      </x:c>
      <x:c r="C5" s="124" t="s">
        <x:v>1978</x:v>
      </x:c>
      <x:c r="D5" s="124" t="s">
        <x:v>1581</x:v>
      </x:c>
      <x:c r="E5" s="124" t="s">
        <x:v>1251</x:v>
      </x:c>
      <x:c r="F5" s="124" t="s">
        <x:v>2242</x:v>
      </x:c>
      <x:c r="G5" s="124" t="s">
        <x:v>2014</x:v>
      </x:c>
      <x:c r="H5" s="124" t="str">
        <x:f>IFERROR(VLOOKUP(O5,'정보화기기 명부'!A$2:B$187,2,FALSE),"")</x:f>
        <x:v>Wee클래스</x:v>
      </x:c>
      <x:c r="I5" s="124" t="str">
        <x:f>IFERROR(VLOOKUP(O5,'교직원용 IP'!$C$2:$H$230,6,FALSE),"")</x:f>
        <x:v>10.51.90.117</x:v>
      </x:c>
      <x:c r="J5" s="124"/>
      <x:c r="K5" s="124"/>
      <x:c r="L5" s="171">
        <x:v>20250708</x:v>
      </x:c>
      <x:c r="M5" s="125">
        <x:v>897100</x:v>
      </x:c>
      <x:c r="N5" s="124" t="s">
        <x:v>1965</x:v>
      </x:c>
      <x:c r="O5" s="124" t="s">
        <x:v>1268</x:v>
      </x:c>
      <x:c r="P5" s="124">
        <x:v>853</x:v>
      </x:c>
      <x:c r="Q5" s="124" t="s">
        <x:v>706</x:v>
      </x:c>
      <x:c r="R5" s="124" t="s">
        <x:v>3110</x:v>
      </x:c>
      <x:c r="S5" s="124"/>
      <x:c r="T5" s="124" t="s">
        <x:v>2031</x:v>
      </x:c>
      <x:c r="U5" s="124"/>
      <x:c r="V5" s="124" t="s">
        <x:v>1561</x:v>
      </x:c>
      <x:c r="W5" s="23"/>
      <x:c r="X5" s="23"/>
      <x:c r="Y5" s="23"/>
      <x:c r="Z5" s="23"/>
    </x:row>
    <x:row r="6" spans="1:26" s="92" customFormat="1" ht="15.75" customHeight="1">
      <x:c r="A6" s="388" t="s">
        <x:v>1420</x:v>
      </x:c>
      <x:c r="B6" s="25"/>
      <x:c r="C6" s="124"/>
      <x:c r="D6" s="124"/>
      <x:c r="E6" s="124"/>
      <x:c r="F6" s="124" t="s">
        <x:v>448</x:v>
      </x:c>
      <x:c r="G6" s="124" t="s">
        <x:v>1575</x:v>
      </x:c>
      <x:c r="H6" s="124" t="s">
        <x:v>1420</x:v>
      </x:c>
      <x:c r="I6" s="124"/>
      <x:c r="J6" s="157"/>
      <x:c r="K6" s="157"/>
      <x:c r="L6" s="385">
        <x:v>20231227</x:v>
      </x:c>
      <x:c r="M6" s="125">
        <x:v>1036660</x:v>
      </x:c>
      <x:c r="N6" s="124" t="s">
        <x:v>2034</x:v>
      </x:c>
      <x:c r="O6" s="124" t="s">
        <x:v>1420</x:v>
      </x:c>
      <x:c r="P6" s="124"/>
      <x:c r="Q6" s="124"/>
      <x:c r="R6" s="124"/>
      <x:c r="S6" s="124"/>
      <x:c r="T6" s="124"/>
      <x:c r="U6" s="124"/>
      <x:c r="V6" s="124"/>
      <x:c r="W6" s="23"/>
      <x:c r="X6" s="23"/>
      <x:c r="Y6" s="23"/>
      <x:c r="Z6" s="23"/>
    </x:row>
    <x:row r="7" spans="1:22" s="23" customFormat="1" ht="15.75" customHeight="1">
      <x:c r="A7" s="157" t="str">
        <x:f>O7</x:f>
        <x:v>임향민</x:v>
      </x:c>
      <x:c r="B7" s="25" t="str">
        <x:f>L7&amp;"-"&amp;TEXT(P7,"0000")</x:f>
        <x:v>20231219-0904</x:v>
      </x:c>
      <x:c r="C7" s="124" t="s">
        <x:v>1978</x:v>
      </x:c>
      <x:c r="D7" s="124" t="s">
        <x:v>1581</x:v>
      </x:c>
      <x:c r="E7" s="124" t="s">
        <x:v>1552</x:v>
      </x:c>
      <x:c r="F7" s="124" t="s">
        <x:v>3162</x:v>
      </x:c>
      <x:c r="G7" s="124" t="s">
        <x:v>1575</x:v>
      </x:c>
      <x:c r="H7" s="124" t="s">
        <x:v>1950</x:v>
      </x:c>
      <x:c r="I7" s="124" t="str">
        <x:f>IFERROR(VLOOKUP(O7,'교직원용 IP'!$C$2:$H$230,6,FALSE),"")</x:f>
        <x:v>10.51.90.74</x:v>
      </x:c>
      <x:c r="J7" s="157"/>
      <x:c r="K7" s="157"/>
      <x:c r="L7" s="385">
        <x:v>20231219</x:v>
      </x:c>
      <x:c r="M7" s="125">
        <x:v>1036660</x:v>
      </x:c>
      <x:c r="N7" s="124" t="s">
        <x:v>2034</x:v>
      </x:c>
      <x:c r="O7" s="124" t="s">
        <x:v>1512</x:v>
      </x:c>
      <x:c r="P7" s="124">
        <x:v>904</x:v>
      </x:c>
      <x:c r="Q7" s="124"/>
      <x:c r="R7" s="124"/>
      <x:c r="S7" s="124"/>
      <x:c r="T7" s="124"/>
      <x:c r="U7" s="124"/>
      <x:c r="V7" s="124"/>
    </x:row>
    <x:row r="8" spans="1:22" s="23" customFormat="1" ht="15.75" customHeight="1">
      <x:c r="A8" s="157" t="str">
        <x:f>O8</x:f>
        <x:v>황경환</x:v>
      </x:c>
      <x:c r="B8" s="25" t="str">
        <x:f>L8&amp;"-"&amp;TEXT(P8,"0000")</x:f>
        <x:v>20230721-0903</x:v>
      </x:c>
      <x:c r="C8" s="124" t="s">
        <x:v>1978</x:v>
      </x:c>
      <x:c r="D8" s="124" t="s">
        <x:v>1581</x:v>
      </x:c>
      <x:c r="E8" s="124" t="s">
        <x:v>1552</x:v>
      </x:c>
      <x:c r="F8" s="124" t="s">
        <x:v>444</x:v>
      </x:c>
      <x:c r="G8" s="124" t="s">
        <x:v>1575</x:v>
      </x:c>
      <x:c r="H8" s="124" t="s">
        <x:v>1952</x:v>
      </x:c>
      <x:c r="I8" s="124" t="str">
        <x:f>IFERROR(VLOOKUP(O8,'교직원용 IP'!$C$2:$H$230,6,FALSE),"")</x:f>
        <x:v>10.51.90.72</x:v>
      </x:c>
      <x:c r="J8" s="157"/>
      <x:c r="K8" s="157"/>
      <x:c r="L8" s="385">
        <x:v>20230721</x:v>
      </x:c>
      <x:c r="M8" s="125">
        <x:v>1028520</x:v>
      </x:c>
      <x:c r="N8" s="124" t="s">
        <x:v>2034</x:v>
      </x:c>
      <x:c r="O8" s="124" t="s">
        <x:v>1217</x:v>
      </x:c>
      <x:c r="P8" s="124">
        <x:v>903</x:v>
      </x:c>
      <x:c r="Q8" s="124"/>
      <x:c r="R8" s="124"/>
      <x:c r="S8" s="124"/>
      <x:c r="T8" s="124"/>
      <x:c r="U8" s="124"/>
      <x:c r="V8" s="124"/>
    </x:row>
    <x:row r="9" spans="1:26" s="23" customFormat="1" ht="15.75" customHeight="1">
      <x:c r="A9" s="157" t="str">
        <x:f>O9</x:f>
        <x:v>고진아</x:v>
      </x:c>
      <x:c r="B9" s="25" t="s">
        <x:v>2154</x:v>
      </x:c>
      <x:c r="C9" s="157" t="s">
        <x:v>1564</x:v>
      </x:c>
      <x:c r="D9" s="157" t="s">
        <x:v>1581</x:v>
      </x:c>
      <x:c r="E9" s="157" t="s">
        <x:v>1251</x:v>
      </x:c>
      <x:c r="F9" s="380" t="s">
        <x:v>2124</x:v>
      </x:c>
      <x:c r="G9" s="157" t="s">
        <x:v>1289</x:v>
      </x:c>
      <x:c r="H9" s="157" t="str">
        <x:f>IFERROR(VLOOKUP(O9,'정보화기기 명부'!A$2:B$187,2,FALSE),"")</x:f>
        <x:v>혁신교육부</x:v>
      </x:c>
      <x:c r="I9" s="124" t="str">
        <x:f>IFERROR(VLOOKUP(A9,'교직원용 IP'!$C$2:$H$230,6,FALSE),"")</x:f>
        <x:v>10.51.90.83</x:v>
      </x:c>
      <x:c r="J9" s="157"/>
      <x:c r="K9" s="381"/>
      <x:c r="L9" s="157">
        <x:v>20230315</x:v>
      </x:c>
      <x:c r="M9" s="382">
        <x:v>1028000</x:v>
      </x:c>
      <x:c r="N9" s="157" t="s">
        <x:v>2034</x:v>
      </x:c>
      <x:c r="O9" s="157" t="s">
        <x:v>1221</x:v>
      </x:c>
      <x:c r="P9" s="157">
        <x:v>919</x:v>
      </x:c>
      <x:c r="Q9" s="157" t="s">
        <x:v>706</x:v>
      </x:c>
      <x:c r="R9" s="124" t="s">
        <x:v>925</x:v>
      </x:c>
      <x:c r="S9" s="124" t="s">
        <x:v>1572</x:v>
      </x:c>
      <x:c r="T9" s="124" t="s">
        <x:v>2055</x:v>
      </x:c>
      <x:c r="U9" s="157"/>
      <x:c r="V9" s="157"/>
      <x:c r="W9" s="91"/>
      <x:c r="X9" s="91"/>
      <x:c r="Y9" s="91"/>
      <x:c r="Z9" s="91"/>
    </x:row>
    <x:row r="10" spans="1:26" s="23" customFormat="1" ht="15.75" customHeight="1">
      <x:c r="A10" s="157" t="str">
        <x:f>O10</x:f>
        <x:v>김두순</x:v>
      </x:c>
      <x:c r="B10" s="25" t="s">
        <x:v>2166</x:v>
      </x:c>
      <x:c r="C10" s="157" t="s">
        <x:v>1564</x:v>
      </x:c>
      <x:c r="D10" s="157" t="s">
        <x:v>1581</x:v>
      </x:c>
      <x:c r="E10" s="157" t="s">
        <x:v>1251</x:v>
      </x:c>
      <x:c r="F10" s="380" t="s">
        <x:v>2124</x:v>
      </x:c>
      <x:c r="G10" s="157" t="s">
        <x:v>1289</x:v>
      </x:c>
      <x:c r="H10" s="157" t="str">
        <x:f>IFERROR(VLOOKUP(O10,'정보화기기 명부'!A$2:B$187,2,FALSE),"")</x:f>
        <x:v>수리과학부</x:v>
      </x:c>
      <x:c r="I10" s="124" t="str">
        <x:f>IFERROR(VLOOKUP(A10,'교직원용 IP'!$C$2:$H$230,6,FALSE),"")</x:f>
        <x:v>10.51.90.84</x:v>
      </x:c>
      <x:c r="J10" s="157"/>
      <x:c r="K10" s="381"/>
      <x:c r="L10" s="157">
        <x:v>20230315</x:v>
      </x:c>
      <x:c r="M10" s="382">
        <x:v>1028000</x:v>
      </x:c>
      <x:c r="N10" s="157" t="s">
        <x:v>2034</x:v>
      </x:c>
      <x:c r="O10" s="157" t="s">
        <x:v>1209</x:v>
      </x:c>
      <x:c r="P10" s="157">
        <x:v>920</x:v>
      </x:c>
      <x:c r="Q10" s="157" t="s">
        <x:v>706</x:v>
      </x:c>
      <x:c r="R10" s="124" t="s">
        <x:v>925</x:v>
      </x:c>
      <x:c r="S10" s="124" t="s">
        <x:v>1572</x:v>
      </x:c>
      <x:c r="T10" s="124" t="s">
        <x:v>2055</x:v>
      </x:c>
      <x:c r="U10" s="157"/>
      <x:c r="V10" s="157"/>
      <x:c r="W10" s="91"/>
      <x:c r="X10" s="91"/>
      <x:c r="Y10" s="91"/>
      <x:c r="Z10" s="91"/>
    </x:row>
    <x:row r="11" spans="1:26" s="23" customFormat="1" ht="15.75" customHeight="1">
      <x:c r="A11" s="124" t="str">
        <x:f>O11</x:f>
        <x:v>윤샤롬</x:v>
      </x:c>
      <x:c r="B11" s="25" t="s">
        <x:v>2270</x:v>
      </x:c>
      <x:c r="C11" s="157" t="s">
        <x:v>1564</x:v>
      </x:c>
      <x:c r="D11" s="157" t="s">
        <x:v>1581</x:v>
      </x:c>
      <x:c r="E11" s="157" t="s">
        <x:v>1251</x:v>
      </x:c>
      <x:c r="F11" s="380" t="s">
        <x:v>2124</x:v>
      </x:c>
      <x:c r="G11" s="157" t="s">
        <x:v>1289</x:v>
      </x:c>
      <x:c r="H11" s="157" t="str">
        <x:f>IFERROR(VLOOKUP(O11,'정보화기기 명부'!A$2:B$187,2,FALSE),"")</x:f>
        <x:v>3학년부</x:v>
      </x:c>
      <x:c r="I11" s="124" t="str">
        <x:f>IFERROR(VLOOKUP(A11,'교직원용 IP'!$C$2:$H$230,6,FALSE),"")</x:f>
        <x:v>10.51.90.101</x:v>
      </x:c>
      <x:c r="J11" s="157"/>
      <x:c r="K11" s="381"/>
      <x:c r="L11" s="157">
        <x:v>20230315</x:v>
      </x:c>
      <x:c r="M11" s="382">
        <x:v>1028000</x:v>
      </x:c>
      <x:c r="N11" s="157" t="s">
        <x:v>2034</x:v>
      </x:c>
      <x:c r="O11" s="384" t="s">
        <x:v>1216</x:v>
      </x:c>
      <x:c r="P11" s="157">
        <x:v>921</x:v>
      </x:c>
      <x:c r="Q11" s="157" t="s">
        <x:v>706</x:v>
      </x:c>
      <x:c r="R11" s="124" t="s">
        <x:v>925</x:v>
      </x:c>
      <x:c r="S11" s="124" t="s">
        <x:v>1572</x:v>
      </x:c>
      <x:c r="T11" s="124" t="s">
        <x:v>2055</x:v>
      </x:c>
      <x:c r="U11" s="157"/>
      <x:c r="V11" s="157"/>
      <x:c r="W11" s="91"/>
      <x:c r="X11" s="91"/>
      <x:c r="Y11" s="91"/>
      <x:c r="Z11" s="91"/>
    </x:row>
    <x:row r="12" spans="1:22" s="23" customFormat="1" ht="14.25" customHeight="1">
      <x:c r="A12" s="124" t="str">
        <x:f>O12</x:f>
        <x:v>교장선 노트북</x:v>
      </x:c>
      <x:c r="B12" s="25" t="str">
        <x:f>L12&amp;"-"&amp;TEXT(P12,"0000")</x:f>
        <x:v>20220905-0915</x:v>
      </x:c>
      <x:c r="C12" s="124" t="s">
        <x:v>1564</x:v>
      </x:c>
      <x:c r="D12" s="124" t="s">
        <x:v>1581</x:v>
      </x:c>
      <x:c r="E12" s="124" t="s">
        <x:v>1251</x:v>
      </x:c>
      <x:c r="F12" s="124" t="s">
        <x:v>2127</x:v>
      </x:c>
      <x:c r="G12" s="124" t="s">
        <x:v>1289</x:v>
      </x:c>
      <x:c r="H12" s="124" t="str">
        <x:f>IFERROR(VLOOKUP(O12,'정보화기기 명부'!A$2:B$187,2,FALSE),"")</x:f>
        <x:v>교장실</x:v>
      </x:c>
      <x:c r="I12" s="124" t="str">
        <x:f>IFERROR(VLOOKUP(O12,'교직원용 IP'!$C$2:$H$230,6,FALSE),"")</x:f>
        <x:v>10.51.90.144</x:v>
      </x:c>
      <x:c r="J12" s="124"/>
      <x:c r="K12" s="124"/>
      <x:c r="L12" s="124">
        <x:v>20220905</x:v>
      </x:c>
      <x:c r="M12" s="125">
        <x:v>1256750</x:v>
      </x:c>
      <x:c r="N12" s="124" t="s">
        <x:v>2034</x:v>
      </x:c>
      <x:c r="O12" s="124" t="s">
        <x:v>1994</x:v>
      </x:c>
      <x:c r="P12" s="124">
        <x:v>915</x:v>
      </x:c>
      <x:c r="Q12" s="124" t="s">
        <x:v>706</x:v>
      </x:c>
      <x:c r="R12" s="124" t="s">
        <x:v>925</x:v>
      </x:c>
      <x:c r="S12" s="124" t="s">
        <x:v>1572</x:v>
      </x:c>
      <x:c r="T12" s="124" t="s">
        <x:v>2055</x:v>
      </x:c>
      <x:c r="U12" s="124"/>
      <x:c r="V12" s="124" t="s">
        <x:v>1561</x:v>
      </x:c>
    </x:row>
    <x:row r="13" spans="1:22" s="23" customFormat="1" customHeight="1">
      <x:c r="A13" s="124" t="str">
        <x:f>O13</x:f>
        <x:v>민별</x:v>
      </x:c>
      <x:c r="B13" s="25" t="str">
        <x:f>L13&amp;"-"&amp;TEXT(P13,"0000")</x:f>
        <x:v>20220829-0905</x:v>
      </x:c>
      <x:c r="C13" s="124" t="s">
        <x:v>1564</x:v>
      </x:c>
      <x:c r="D13" s="124" t="s">
        <x:v>1581</x:v>
      </x:c>
      <x:c r="E13" s="124" t="s">
        <x:v>1251</x:v>
      </x:c>
      <x:c r="F13" s="124" t="s">
        <x:v>2172</x:v>
      </x:c>
      <x:c r="G13" s="124" t="s">
        <x:v>1575</x:v>
      </x:c>
      <x:c r="H13" s="124" t="str">
        <x:f>IFERROR(VLOOKUP(O13,'정보화기기 명부'!A$2:B$187,2,FALSE),"")</x:f>
        <x:v>3학년부</x:v>
      </x:c>
      <x:c r="I13" s="124" t="str">
        <x:f>IFERROR(VLOOKUP(O13,'교직원용 IP'!$C$2:$H$230,6,FALSE),"")</x:f>
        <x:v>10.51.90.132</x:v>
      </x:c>
      <x:c r="J13" s="383"/>
      <x:c r="K13" s="383"/>
      <x:c r="L13" s="124">
        <x:v>20220829</x:v>
      </x:c>
      <x:c r="M13" s="125">
        <x:v>896800</x:v>
      </x:c>
      <x:c r="N13" s="124" t="s">
        <x:v>2034</x:v>
      </x:c>
      <x:c r="O13" s="124" t="s">
        <x:v>1269</x:v>
      </x:c>
      <x:c r="P13" s="124">
        <x:v>905</x:v>
      </x:c>
      <x:c r="Q13" s="124" t="s">
        <x:v>706</x:v>
      </x:c>
      <x:c r="R13" s="124" t="s">
        <x:v>918</x:v>
      </x:c>
      <x:c r="S13" s="124" t="s">
        <x:v>1572</x:v>
      </x:c>
      <x:c r="T13" s="124" t="s">
        <x:v>3281</x:v>
      </x:c>
      <x:c r="U13" s="383"/>
      <x:c r="V13" s="383"/>
    </x:row>
    <x:row r="14" spans="1:22" s="23" customFormat="1" ht="17.39999999999999857891" customHeight="1">
      <x:c r="A14" s="124" t="str">
        <x:f>O14</x:f>
        <x:v>임우혁</x:v>
      </x:c>
      <x:c r="B14" s="25" t="str">
        <x:f>L14&amp;"-"&amp;TEXT(P14,"0000")</x:f>
        <x:v>20220829-0906</x:v>
      </x:c>
      <x:c r="C14" s="124" t="s">
        <x:v>1564</x:v>
      </x:c>
      <x:c r="D14" s="124" t="s">
        <x:v>1581</x:v>
      </x:c>
      <x:c r="E14" s="124" t="s">
        <x:v>1251</x:v>
      </x:c>
      <x:c r="F14" s="124" t="s">
        <x:v>2172</x:v>
      </x:c>
      <x:c r="G14" s="124" t="s">
        <x:v>1575</x:v>
      </x:c>
      <x:c r="H14" s="124" t="str">
        <x:f>IFERROR(VLOOKUP(O14,'정보화기기 명부'!A$2:B$187,2,FALSE),"")</x:f>
        <x:v>교육과정부</x:v>
      </x:c>
      <x:c r="I14" s="124" t="str">
        <x:f>IFERROR(VLOOKUP(O14,'교직원용 IP'!$C$2:$H$230,6,FALSE),"")</x:f>
        <x:v>10.51.90.131</x:v>
      </x:c>
      <x:c r="J14" s="383"/>
      <x:c r="K14" s="383"/>
      <x:c r="L14" s="124">
        <x:v>20220829</x:v>
      </x:c>
      <x:c r="M14" s="125">
        <x:v>896800</x:v>
      </x:c>
      <x:c r="N14" s="124" t="s">
        <x:v>2034</x:v>
      </x:c>
      <x:c r="O14" s="383" t="s">
        <x:v>1215</x:v>
      </x:c>
      <x:c r="P14" s="124">
        <x:v>906</x:v>
      </x:c>
      <x:c r="Q14" s="124" t="s">
        <x:v>706</x:v>
      </x:c>
      <x:c r="R14" s="124" t="s">
        <x:v>918</x:v>
      </x:c>
      <x:c r="S14" s="124" t="s">
        <x:v>1572</x:v>
      </x:c>
      <x:c r="T14" s="124" t="s">
        <x:v>3281</x:v>
      </x:c>
      <x:c r="U14" s="383"/>
      <x:c r="V14" s="383"/>
    </x:row>
    <x:row r="15" spans="1:22" s="23" customFormat="1" ht="15.65000000000000035527" customHeight="1">
      <x:c r="A15" s="124" t="str">
        <x:f>O15</x:f>
        <x:v>윤선영</x:v>
      </x:c>
      <x:c r="B15" s="25" t="str">
        <x:f>L15&amp;"-"&amp;TEXT(P15,"0000")</x:f>
        <x:v>20220829-0907</x:v>
      </x:c>
      <x:c r="C15" s="124" t="s">
        <x:v>1564</x:v>
      </x:c>
      <x:c r="D15" s="124" t="s">
        <x:v>1581</x:v>
      </x:c>
      <x:c r="E15" s="124" t="s">
        <x:v>1251</x:v>
      </x:c>
      <x:c r="F15" s="124" t="s">
        <x:v>2172</x:v>
      </x:c>
      <x:c r="G15" s="124" t="s">
        <x:v>1575</x:v>
      </x:c>
      <x:c r="H15" s="124" t="str">
        <x:f>IFERROR(VLOOKUP(O15,'정보화기기 명부'!A$2:B$187,2,FALSE),"")</x:f>
        <x:v>1학년부</x:v>
      </x:c>
      <x:c r="I15" s="124" t="str">
        <x:f>IFERROR(VLOOKUP(O15,'교직원용 IP'!$C$2:$H$230,6,FALSE),"")</x:f>
        <x:v>10.51.90.81</x:v>
      </x:c>
      <x:c r="J15" s="383"/>
      <x:c r="K15" s="383"/>
      <x:c r="L15" s="124">
        <x:v>20220829</x:v>
      </x:c>
      <x:c r="M15" s="125">
        <x:v>896800</x:v>
      </x:c>
      <x:c r="N15" s="124" t="s">
        <x:v>2034</x:v>
      </x:c>
      <x:c r="O15" s="124" t="s">
        <x:v>1450</x:v>
      </x:c>
      <x:c r="P15" s="124">
        <x:v>907</x:v>
      </x:c>
      <x:c r="Q15" s="124" t="s">
        <x:v>706</x:v>
      </x:c>
      <x:c r="R15" s="124" t="s">
        <x:v>918</x:v>
      </x:c>
      <x:c r="S15" s="124" t="s">
        <x:v>1572</x:v>
      </x:c>
      <x:c r="T15" s="124" t="s">
        <x:v>3281</x:v>
      </x:c>
      <x:c r="U15" s="383"/>
      <x:c r="V15" s="383"/>
    </x:row>
    <x:row r="16" spans="1:22" s="23" customFormat="1" customHeight="1">
      <x:c r="A16" s="124" t="str">
        <x:f>O16</x:f>
        <x:v>허정화</x:v>
      </x:c>
      <x:c r="B16" s="25" t="str">
        <x:f>L16&amp;"-"&amp;TEXT(P16,"0000")</x:f>
        <x:v>20220829-0908</x:v>
      </x:c>
      <x:c r="C16" s="124" t="s">
        <x:v>1564</x:v>
      </x:c>
      <x:c r="D16" s="124" t="s">
        <x:v>1581</x:v>
      </x:c>
      <x:c r="E16" s="124" t="s">
        <x:v>1251</x:v>
      </x:c>
      <x:c r="F16" s="124" t="s">
        <x:v>2172</x:v>
      </x:c>
      <x:c r="G16" s="124" t="s">
        <x:v>1575</x:v>
      </x:c>
      <x:c r="H16" s="124" t="str">
        <x:f>IFERROR(VLOOKUP(O16,'정보화기기 명부'!A$2:B$187,2,FALSE),"")</x:f>
        <x:v>특수교육부</x:v>
      </x:c>
      <x:c r="I16" s="124" t="str">
        <x:f>IFERROR(VLOOKUP(O16,'교직원용 IP'!$C$2:$H$230,6,FALSE),"")</x:f>
        <x:v>10.51.90.124</x:v>
      </x:c>
      <x:c r="J16" s="383"/>
      <x:c r="K16" s="383"/>
      <x:c r="L16" s="124">
        <x:v>20220829</x:v>
      </x:c>
      <x:c r="M16" s="125">
        <x:v>896800</x:v>
      </x:c>
      <x:c r="N16" s="124" t="s">
        <x:v>2034</x:v>
      </x:c>
      <x:c r="O16" s="124" t="s">
        <x:v>1205</x:v>
      </x:c>
      <x:c r="P16" s="124">
        <x:v>908</x:v>
      </x:c>
      <x:c r="Q16" s="124" t="s">
        <x:v>706</x:v>
      </x:c>
      <x:c r="R16" s="124" t="s">
        <x:v>918</x:v>
      </x:c>
      <x:c r="S16" s="124" t="s">
        <x:v>1572</x:v>
      </x:c>
      <x:c r="T16" s="124" t="s">
        <x:v>3281</x:v>
      </x:c>
      <x:c r="U16" s="383"/>
      <x:c r="V16" s="383"/>
    </x:row>
    <x:row r="17" spans="1:22" s="23" customFormat="1" customHeight="1">
      <x:c r="A17" s="124" t="str">
        <x:f>O17</x:f>
        <x:v>김용숙</x:v>
      </x:c>
      <x:c r="B17" s="25" t="str">
        <x:f>L17&amp;"-"&amp;TEXT(P17,"0000")</x:f>
        <x:v>20220829-0909</x:v>
      </x:c>
      <x:c r="C17" s="124" t="s">
        <x:v>1564</x:v>
      </x:c>
      <x:c r="D17" s="124" t="s">
        <x:v>1581</x:v>
      </x:c>
      <x:c r="E17" s="124" t="s">
        <x:v>1251</x:v>
      </x:c>
      <x:c r="F17" s="124" t="s">
        <x:v>2172</x:v>
      </x:c>
      <x:c r="G17" s="124" t="s">
        <x:v>1575</x:v>
      </x:c>
      <x:c r="H17" s="124" t="str">
        <x:f>IFERROR(VLOOKUP(O17,'정보화기기 명부'!A$2:B$187,2,FALSE),"")</x:f>
        <x:v>수리과학부</x:v>
      </x:c>
      <x:c r="I17" s="124" t="str">
        <x:f>IFERROR(VLOOKUP(O17,'교직원용 IP'!$C$2:$H$230,6,FALSE),"")</x:f>
        <x:v>10.51.90.126</x:v>
      </x:c>
      <x:c r="J17" s="383"/>
      <x:c r="K17" s="383"/>
      <x:c r="L17" s="124">
        <x:v>20220829</x:v>
      </x:c>
      <x:c r="M17" s="125">
        <x:v>896800</x:v>
      </x:c>
      <x:c r="N17" s="124" t="s">
        <x:v>2034</x:v>
      </x:c>
      <x:c r="O17" s="124" t="s">
        <x:v>1207</x:v>
      </x:c>
      <x:c r="P17" s="124">
        <x:v>909</x:v>
      </x:c>
      <x:c r="Q17" s="124" t="s">
        <x:v>706</x:v>
      </x:c>
      <x:c r="R17" s="124" t="s">
        <x:v>918</x:v>
      </x:c>
      <x:c r="S17" s="124" t="s">
        <x:v>1572</x:v>
      </x:c>
      <x:c r="T17" s="124" t="s">
        <x:v>3281</x:v>
      </x:c>
      <x:c r="U17" s="383"/>
      <x:c r="V17" s="383"/>
    </x:row>
    <x:row r="18" spans="1:22" s="23" customFormat="1" customHeight="1">
      <x:c r="A18" s="124" t="str">
        <x:f>O18</x:f>
        <x:v>신진태</x:v>
      </x:c>
      <x:c r="B18" s="25" t="str">
        <x:f>L18&amp;"-"&amp;TEXT(P18,"0000")</x:f>
        <x:v>20220829-0910</x:v>
      </x:c>
      <x:c r="C18" s="124" t="s">
        <x:v>1564</x:v>
      </x:c>
      <x:c r="D18" s="124" t="s">
        <x:v>1581</x:v>
      </x:c>
      <x:c r="E18" s="124" t="s">
        <x:v>1251</x:v>
      </x:c>
      <x:c r="F18" s="124" t="s">
        <x:v>2172</x:v>
      </x:c>
      <x:c r="G18" s="124" t="s">
        <x:v>1575</x:v>
      </x:c>
      <x:c r="H18" s="124" t="str">
        <x:f>IFERROR(VLOOKUP(O18,'정보화기기 명부'!A$2:B$187,2,FALSE),"")</x:f>
        <x:v>특수교육부</x:v>
      </x:c>
      <x:c r="I18" s="124" t="str">
        <x:f>IFERROR(VLOOKUP(O18,'교직원용 IP'!$C$2:$H$230,6,FALSE),"")</x:f>
        <x:v>10.51.90.123</x:v>
      </x:c>
      <x:c r="J18" s="383"/>
      <x:c r="K18" s="383"/>
      <x:c r="L18" s="124">
        <x:v>20220829</x:v>
      </x:c>
      <x:c r="M18" s="125">
        <x:v>896800</x:v>
      </x:c>
      <x:c r="N18" s="124" t="s">
        <x:v>2034</x:v>
      </x:c>
      <x:c r="O18" s="383" t="s">
        <x:v>1214</x:v>
      </x:c>
      <x:c r="P18" s="124">
        <x:v>910</x:v>
      </x:c>
      <x:c r="Q18" s="124" t="s">
        <x:v>706</x:v>
      </x:c>
      <x:c r="R18" s="124" t="s">
        <x:v>918</x:v>
      </x:c>
      <x:c r="S18" s="124" t="s">
        <x:v>1572</x:v>
      </x:c>
      <x:c r="T18" s="124" t="s">
        <x:v>3281</x:v>
      </x:c>
      <x:c r="U18" s="383"/>
      <x:c r="V18" s="383"/>
    </x:row>
    <x:row r="19" spans="1:22" s="23" customFormat="1" customHeight="1">
      <x:c r="A19" s="124" t="str">
        <x:f>O19</x:f>
        <x:v>김태형</x:v>
      </x:c>
      <x:c r="B19" s="25" t="str">
        <x:f>L19&amp;"-"&amp;TEXT(P19,"0000")</x:f>
        <x:v>20220829-0911</x:v>
      </x:c>
      <x:c r="C19" s="124" t="s">
        <x:v>1564</x:v>
      </x:c>
      <x:c r="D19" s="124" t="s">
        <x:v>1581</x:v>
      </x:c>
      <x:c r="E19" s="124" t="s">
        <x:v>1251</x:v>
      </x:c>
      <x:c r="F19" s="124" t="s">
        <x:v>2172</x:v>
      </x:c>
      <x:c r="G19" s="124" t="s">
        <x:v>1575</x:v>
      </x:c>
      <x:c r="H19" s="124" t="str">
        <x:f>IFERROR(VLOOKUP(O19,'정보화기기 명부'!A$2:B$187,2,FALSE),"")</x:f>
        <x:v>학생인권안전부</x:v>
      </x:c>
      <x:c r="I19" s="124" t="str">
        <x:f>IFERROR(VLOOKUP(O19,'교직원용 IP'!$C$2:$H$230,6,FALSE),"")</x:f>
        <x:v>10.51.90.136</x:v>
      </x:c>
      <x:c r="J19" s="383"/>
      <x:c r="K19" s="383"/>
      <x:c r="L19" s="124">
        <x:v>20220829</x:v>
      </x:c>
      <x:c r="M19" s="125">
        <x:v>896800</x:v>
      </x:c>
      <x:c r="N19" s="124" t="s">
        <x:v>2034</x:v>
      </x:c>
      <x:c r="O19" s="124" t="s">
        <x:v>1265</x:v>
      </x:c>
      <x:c r="P19" s="124">
        <x:v>911</x:v>
      </x:c>
      <x:c r="Q19" s="124" t="s">
        <x:v>706</x:v>
      </x:c>
      <x:c r="R19" s="124" t="s">
        <x:v>918</x:v>
      </x:c>
      <x:c r="S19" s="124" t="s">
        <x:v>1572</x:v>
      </x:c>
      <x:c r="T19" s="124" t="s">
        <x:v>3281</x:v>
      </x:c>
      <x:c r="U19" s="383"/>
      <x:c r="V19" s="383"/>
    </x:row>
    <x:row r="20" spans="1:22" s="23" customFormat="1" customHeight="1">
      <x:c r="A20" s="124" t="str">
        <x:f>O20</x:f>
        <x:v>임숙진</x:v>
      </x:c>
      <x:c r="B20" s="25" t="str">
        <x:f>L20&amp;"-"&amp;TEXT(P20,"0000")</x:f>
        <x:v>20220829-0912</x:v>
      </x:c>
      <x:c r="C20" s="124" t="s">
        <x:v>1564</x:v>
      </x:c>
      <x:c r="D20" s="124" t="s">
        <x:v>1581</x:v>
      </x:c>
      <x:c r="E20" s="124" t="s">
        <x:v>1251</x:v>
      </x:c>
      <x:c r="F20" s="124" t="s">
        <x:v>2172</x:v>
      </x:c>
      <x:c r="G20" s="124" t="s">
        <x:v>1575</x:v>
      </x:c>
      <x:c r="H20" s="124" t="str">
        <x:f>IFERROR(VLOOKUP(O20,'정보화기기 명부'!A$2:B$187,2,FALSE),"")</x:f>
        <x:v>혁신교육부</x:v>
      </x:c>
      <x:c r="I20" s="124" t="str">
        <x:f>IFERROR(VLOOKUP(O20,'교직원용 IP'!$C$2:$H$230,6,FALSE),"")</x:f>
        <x:v>10.51.90.102</x:v>
      </x:c>
      <x:c r="J20" s="383"/>
      <x:c r="K20" s="383"/>
      <x:c r="L20" s="124">
        <x:v>20220829</x:v>
      </x:c>
      <x:c r="M20" s="125">
        <x:v>896800</x:v>
      </x:c>
      <x:c r="N20" s="124" t="s">
        <x:v>2034</x:v>
      </x:c>
      <x:c r="O20" s="124" t="s">
        <x:v>1574</x:v>
      </x:c>
      <x:c r="P20" s="124">
        <x:v>912</x:v>
      </x:c>
      <x:c r="Q20" s="124" t="s">
        <x:v>706</x:v>
      </x:c>
      <x:c r="R20" s="124" t="s">
        <x:v>918</x:v>
      </x:c>
      <x:c r="S20" s="124" t="s">
        <x:v>1572</x:v>
      </x:c>
      <x:c r="T20" s="124" t="s">
        <x:v>3281</x:v>
      </x:c>
      <x:c r="U20" s="383"/>
      <x:c r="V20" s="383"/>
    </x:row>
    <x:row r="21" spans="1:22" s="23" customFormat="1" customHeight="1">
      <x:c r="A21" s="389" t="str">
        <x:f>O21</x:f>
        <x:v>맹수용</x:v>
      </x:c>
      <x:c r="B21" s="25" t="str">
        <x:f>L21&amp;"-"&amp;TEXT(P21,"0000")</x:f>
        <x:v>20220829-0913</x:v>
      </x:c>
      <x:c r="C21" s="124" t="s">
        <x:v>1564</x:v>
      </x:c>
      <x:c r="D21" s="124" t="s">
        <x:v>1581</x:v>
      </x:c>
      <x:c r="E21" s="124" t="s">
        <x:v>1251</x:v>
      </x:c>
      <x:c r="F21" s="124" t="s">
        <x:v>2172</x:v>
      </x:c>
      <x:c r="G21" s="124" t="s">
        <x:v>1575</x:v>
      </x:c>
      <x:c r="H21" s="124" t="str">
        <x:f>IFERROR(VLOOKUP(O21,'정보화기기 명부'!A$2:B$187,2,FALSE),"")</x:f>
        <x:v>인문사회부</x:v>
      </x:c>
      <x:c r="I21" s="124" t="str">
        <x:f>IFERROR(VLOOKUP(O21,'교직원용 IP'!$C$2:$H$230,6,FALSE),"")</x:f>
        <x:v>10.51.90.121</x:v>
      </x:c>
      <x:c r="J21" s="383"/>
      <x:c r="K21" s="383"/>
      <x:c r="L21" s="124">
        <x:v>20220829</x:v>
      </x:c>
      <x:c r="M21" s="125">
        <x:v>896800</x:v>
      </x:c>
      <x:c r="N21" s="124" t="s">
        <x:v>2034</x:v>
      </x:c>
      <x:c r="O21" s="124" t="s">
        <x:v>1210</x:v>
      </x:c>
      <x:c r="P21" s="124">
        <x:v>913</x:v>
      </x:c>
      <x:c r="Q21" s="124" t="s">
        <x:v>706</x:v>
      </x:c>
      <x:c r="R21" s="124" t="s">
        <x:v>918</x:v>
      </x:c>
      <x:c r="S21" s="124" t="s">
        <x:v>1572</x:v>
      </x:c>
      <x:c r="T21" s="124" t="s">
        <x:v>3281</x:v>
      </x:c>
      <x:c r="U21" s="383"/>
      <x:c r="V21" s="383"/>
    </x:row>
    <x:row r="22" spans="1:22" s="23" customFormat="1" customHeight="1">
      <x:c r="A22" s="124" t="str">
        <x:f>O22</x:f>
        <x:v>정현숙</x:v>
      </x:c>
      <x:c r="B22" s="25" t="str">
        <x:f>L22&amp;"-"&amp;TEXT(P22,"0000")</x:f>
        <x:v>20220829-0914</x:v>
      </x:c>
      <x:c r="C22" s="124" t="s">
        <x:v>1564</x:v>
      </x:c>
      <x:c r="D22" s="124" t="s">
        <x:v>1581</x:v>
      </x:c>
      <x:c r="E22" s="124" t="s">
        <x:v>1251</x:v>
      </x:c>
      <x:c r="F22" s="124" t="s">
        <x:v>2172</x:v>
      </x:c>
      <x:c r="G22" s="124" t="s">
        <x:v>1575</x:v>
      </x:c>
      <x:c r="H22" s="124" t="str">
        <x:f>IFERROR(VLOOKUP(O22,'정보화기기 명부'!A$2:B$187,2,FALSE),"")</x:f>
        <x:v>1학년부</x:v>
      </x:c>
      <x:c r="I22" s="124" t="str">
        <x:f>IFERROR(VLOOKUP(O22,'교직원용 IP'!$C$2:$H$230,6,FALSE),"")</x:f>
        <x:v>10.51.90.142</x:v>
      </x:c>
      <x:c r="J22" s="124"/>
      <x:c r="K22" s="124"/>
      <x:c r="L22" s="124">
        <x:v>20220829</x:v>
      </x:c>
      <x:c r="M22" s="125">
        <x:v>896800</x:v>
      </x:c>
      <x:c r="N22" s="124" t="s">
        <x:v>2034</x:v>
      </x:c>
      <x:c r="O22" s="124" t="s">
        <x:v>1228</x:v>
      </x:c>
      <x:c r="P22" s="124">
        <x:v>914</x:v>
      </x:c>
      <x:c r="Q22" s="124" t="s">
        <x:v>706</x:v>
      </x:c>
      <x:c r="R22" s="124" t="s">
        <x:v>918</x:v>
      </x:c>
      <x:c r="S22" s="124" t="s">
        <x:v>1572</x:v>
      </x:c>
      <x:c r="T22" s="124" t="s">
        <x:v>3281</x:v>
      </x:c>
      <x:c r="U22" s="124"/>
      <x:c r="V22" s="124"/>
    </x:row>
    <x:row r="23" spans="1:22" s="23" customFormat="1" customHeight="1">
      <x:c r="A23" s="157" t="str">
        <x:f>O23</x:f>
        <x:v>유희정</x:v>
      </x:c>
      <x:c r="B23" s="25" t="str">
        <x:f>L23&amp;"-"&amp;TEXT(P23,"0000")</x:f>
        <x:v>20220308-0903</x:v>
      </x:c>
      <x:c r="C23" s="124" t="s">
        <x:v>1564</x:v>
      </x:c>
      <x:c r="D23" s="124" t="s">
        <x:v>1581</x:v>
      </x:c>
      <x:c r="E23" s="124" t="s">
        <x:v>1251</x:v>
      </x:c>
      <x:c r="F23" s="124" t="s">
        <x:v>2167</x:v>
      </x:c>
      <x:c r="G23" s="124" t="s">
        <x:v>1289</x:v>
      </x:c>
      <x:c r="H23" s="124" t="str">
        <x:f>IFERROR(VLOOKUP(O23,'정보화기기 명부'!A$2:B$187,2,FALSE),"")</x:f>
        <x:v>정보교육부</x:v>
      </x:c>
      <x:c r="I23" s="124" t="str">
        <x:f>IFERROR(VLOOKUP(O23,'교직원용 IP'!$C$2:$H$230,6,FALSE),"")</x:f>
        <x:v>10.51.90.107</x:v>
      </x:c>
      <x:c r="J23" s="157"/>
      <x:c r="K23" s="157"/>
      <x:c r="L23" s="385">
        <x:v>20220308</x:v>
      </x:c>
      <x:c r="M23" s="125">
        <x:v>1160000</x:v>
      </x:c>
      <x:c r="N23" s="124" t="s">
        <x:v>2034</x:v>
      </x:c>
      <x:c r="O23" s="124" t="s">
        <x:v>1562</x:v>
      </x:c>
      <x:c r="P23" s="124">
        <x:v>903</x:v>
      </x:c>
      <x:c r="Q23" s="124" t="s">
        <x:v>693</x:v>
      </x:c>
      <x:c r="R23" s="124" t="s">
        <x:v>3194</x:v>
      </x:c>
      <x:c r="S23" s="124" t="s">
        <x:v>1572</x:v>
      </x:c>
      <x:c r="T23" s="124" t="s">
        <x:v>2055</x:v>
      </x:c>
      <x:c r="U23" s="124"/>
      <x:c r="V23" s="124"/>
    </x:row>
    <x:row r="24" spans="1:22" s="23" customFormat="1" customHeight="1">
      <x:c r="A24" s="157" t="str">
        <x:f>O24</x:f>
        <x:v>이수경</x:v>
      </x:c>
      <x:c r="B24" s="25" t="str">
        <x:f>L24&amp;"-"&amp;TEXT(P24,"0000")</x:f>
        <x:v>20220308-0904</x:v>
      </x:c>
      <x:c r="C24" s="124" t="s">
        <x:v>1564</x:v>
      </x:c>
      <x:c r="D24" s="124" t="s">
        <x:v>1581</x:v>
      </x:c>
      <x:c r="E24" s="124" t="s">
        <x:v>1251</x:v>
      </x:c>
      <x:c r="F24" s="124" t="s">
        <x:v>2167</x:v>
      </x:c>
      <x:c r="G24" s="124" t="s">
        <x:v>1289</x:v>
      </x:c>
      <x:c r="H24" s="124" t="str">
        <x:f>IFERROR(VLOOKUP(O24,'정보화기기 명부'!A$2:B$187,2,FALSE),"")</x:f>
        <x:v>3학년부</x:v>
      </x:c>
      <x:c r="I24" s="124" t="str">
        <x:f>IFERROR(VLOOKUP(O24,'교직원용 IP'!$C$2:$H$230,6,FALSE),"")</x:f>
        <x:v>10.51.90.133</x:v>
      </x:c>
      <x:c r="J24" s="157"/>
      <x:c r="K24" s="157"/>
      <x:c r="L24" s="385">
        <x:v>20220308</x:v>
      </x:c>
      <x:c r="M24" s="125">
        <x:v>1160000</x:v>
      </x:c>
      <x:c r="N24" s="124" t="s">
        <x:v>2034</x:v>
      </x:c>
      <x:c r="O24" s="124" t="s">
        <x:v>1255</x:v>
      </x:c>
      <x:c r="P24" s="124">
        <x:v>904</x:v>
      </x:c>
      <x:c r="Q24" s="124" t="s">
        <x:v>693</x:v>
      </x:c>
      <x:c r="R24" s="124" t="s">
        <x:v>3194</x:v>
      </x:c>
      <x:c r="S24" s="124" t="s">
        <x:v>1572</x:v>
      </x:c>
      <x:c r="T24" s="124" t="s">
        <x:v>2055</x:v>
      </x:c>
      <x:c r="U24" s="124"/>
      <x:c r="V24" s="124"/>
    </x:row>
    <x:row r="25" spans="1:22" s="23" customFormat="1" customHeight="1">
      <x:c r="A25" s="157" t="s">
        <x:v>1493</x:v>
      </x:c>
      <x:c r="B25" s="25" t="str">
        <x:f>L25&amp;"-"&amp;TEXT(P25,"0000")</x:f>
        <x:v>20220117-0902</x:v>
      </x:c>
      <x:c r="C25" s="124" t="s">
        <x:v>1978</x:v>
      </x:c>
      <x:c r="D25" s="124" t="s">
        <x:v>1581</x:v>
      </x:c>
      <x:c r="E25" s="124" t="s">
        <x:v>1552</x:v>
      </x:c>
      <x:c r="F25" s="124" t="s">
        <x:v>2155</x:v>
      </x:c>
      <x:c r="G25" s="124" t="s">
        <x:v>1575</x:v>
      </x:c>
      <x:c r="H25" s="124" t="str">
        <x:f>IFERROR(VLOOKUP(O25,'정보화기기 명부'!A$2:B$187,2,FALSE),"")</x:f>
        <x:v/>
      </x:c>
      <x:c r="I25" s="124" t="str">
        <x:f>IFERROR(VLOOKUP(O25,'교직원용 IP'!$C$2:$H$230,6,FALSE),"")</x:f>
        <x:v/>
      </x:c>
      <x:c r="J25" s="157"/>
      <x:c r="K25" s="157"/>
      <x:c r="L25" s="385">
        <x:v>20220117</x:v>
      </x:c>
      <x:c r="M25" s="125">
        <x:v>587000</x:v>
      </x:c>
      <x:c r="N25" s="124" t="s">
        <x:v>2034</x:v>
      </x:c>
      <x:c r="O25" s="157" t="s">
        <x:v>1565</x:v>
      </x:c>
      <x:c r="P25" s="124">
        <x:v>902</x:v>
      </x:c>
      <x:c r="Q25" s="124" t="s">
        <x:v>693</x:v>
      </x:c>
      <x:c r="R25" s="124"/>
      <x:c r="S25" s="124"/>
      <x:c r="T25" s="124"/>
      <x:c r="U25" s="124"/>
      <x:c r="V25" s="124"/>
    </x:row>
    <x:row r="26" spans="1:22" s="23" customFormat="1" ht="13.19999999999999928946">
      <x:c r="A26" s="157" t="str">
        <x:f>O26</x:f>
        <x:v>김이조</x:v>
      </x:c>
      <x:c r="B26" s="25" t="str">
        <x:f>L26&amp;"-"&amp;TEXT(P26,"0000")</x:f>
        <x:v>20220117-0901</x:v>
      </x:c>
      <x:c r="C26" s="124" t="s">
        <x:v>1978</x:v>
      </x:c>
      <x:c r="D26" s="124" t="s">
        <x:v>1581</x:v>
      </x:c>
      <x:c r="E26" s="124" t="s">
        <x:v>1552</x:v>
      </x:c>
      <x:c r="F26" s="124" t="s">
        <x:v>2155</x:v>
      </x:c>
      <x:c r="G26" s="124" t="s">
        <x:v>1575</x:v>
      </x:c>
      <x:c r="H26" s="124" t="str">
        <x:f>IFERROR(VLOOKUP(O26,'정보화기기 명부'!A$2:B$187,2,FALSE),"")</x:f>
        <x:v>교육행정실</x:v>
      </x:c>
      <x:c r="I26" s="124" t="str">
        <x:f>IFERROR(VLOOKUP(O26,'교직원용 IP'!$C$2:$H$230,6,FALSE),"")</x:f>
        <x:v>10.51.90.75</x:v>
      </x:c>
      <x:c r="J26" s="157"/>
      <x:c r="K26" s="157"/>
      <x:c r="L26" s="385">
        <x:v>20220117</x:v>
      </x:c>
      <x:c r="M26" s="125">
        <x:v>587000</x:v>
      </x:c>
      <x:c r="N26" s="124" t="s">
        <x:v>2034</x:v>
      </x:c>
      <x:c r="O26" s="157" t="s">
        <x:v>1463</x:v>
      </x:c>
      <x:c r="P26" s="124">
        <x:v>901</x:v>
      </x:c>
      <x:c r="Q26" s="124" t="s">
        <x:v>693</x:v>
      </x:c>
      <x:c r="R26" s="124"/>
      <x:c r="S26" s="124"/>
      <x:c r="T26" s="124"/>
      <x:c r="U26" s="124"/>
      <x:c r="V26" s="124"/>
    </x:row>
    <x:row r="27" spans="1:22" s="23" customFormat="1" ht="13.19999999999999928946">
      <x:c r="A27" s="157" t="str">
        <x:f>O27</x:f>
        <x:v>정보과학실 학생용 8</x:v>
      </x:c>
      <x:c r="B27" s="25" t="str">
        <x:f>L27&amp;"-"&amp;TEXT(P27,"0000")</x:f>
        <x:v>20220117-0900</x:v>
      </x:c>
      <x:c r="C27" s="124" t="s">
        <x:v>1978</x:v>
      </x:c>
      <x:c r="D27" s="124" t="s">
        <x:v>1581</x:v>
      </x:c>
      <x:c r="E27" s="124" t="s">
        <x:v>1568</x:v>
      </x:c>
      <x:c r="F27" s="124" t="s">
        <x:v>2155</x:v>
      </x:c>
      <x:c r="G27" s="124" t="s">
        <x:v>1575</x:v>
      </x:c>
      <x:c r="H27" s="124" t="str">
        <x:f>IFERROR(VLOOKUP(O27,'정보화기기 명부'!A$2:B$187,2,FALSE),"")</x:f>
        <x:v>정보과학실</x:v>
      </x:c>
      <x:c r="I27" s="187" t="str">
        <x:f>IFERROR(VLOOKUP(O27,'학생용 IP'!$C$11:$H$326,5,FALSE),"")</x:f>
        <x:v>10.54.36.22</x:v>
      </x:c>
      <x:c r="J27" s="157"/>
      <x:c r="K27" s="157"/>
      <x:c r="L27" s="385">
        <x:v>20220117</x:v>
      </x:c>
      <x:c r="M27" s="125">
        <x:v>587000</x:v>
      </x:c>
      <x:c r="N27" s="124" t="s">
        <x:v>2034</x:v>
      </x:c>
      <x:c r="O27" s="124" t="s">
        <x:v>689</x:v>
      </x:c>
      <x:c r="P27" s="124">
        <x:v>900</x:v>
      </x:c>
      <x:c r="Q27" s="124" t="s">
        <x:v>693</x:v>
      </x:c>
      <x:c r="R27" s="124"/>
      <x:c r="S27" s="124"/>
      <x:c r="T27" s="124"/>
      <x:c r="U27" s="124"/>
      <x:c r="V27" s="124"/>
    </x:row>
    <x:row r="28" spans="1:22" s="23" customFormat="1" ht="13.19999999999999928946">
      <x:c r="A28" s="157" t="str">
        <x:f>O28</x:f>
        <x:v>정보과학실 학생용 7</x:v>
      </x:c>
      <x:c r="B28" s="25" t="str">
        <x:f>L28&amp;"-"&amp;TEXT(P28,"0000")</x:f>
        <x:v>20220117-0899</x:v>
      </x:c>
      <x:c r="C28" s="124" t="s">
        <x:v>1978</x:v>
      </x:c>
      <x:c r="D28" s="124" t="s">
        <x:v>1581</x:v>
      </x:c>
      <x:c r="E28" s="124" t="s">
        <x:v>1568</x:v>
      </x:c>
      <x:c r="F28" s="124" t="s">
        <x:v>2155</x:v>
      </x:c>
      <x:c r="G28" s="124" t="s">
        <x:v>1575</x:v>
      </x:c>
      <x:c r="H28" s="124" t="str">
        <x:f>IFERROR(VLOOKUP(O28,'정보화기기 명부'!A$2:B$187,2,FALSE),"")</x:f>
        <x:v>정보과학실</x:v>
      </x:c>
      <x:c r="I28" s="187" t="str">
        <x:f>IFERROR(VLOOKUP(O28,'학생용 IP'!$C$11:$H$326,5,FALSE),"")</x:f>
        <x:v>10.54.36.21</x:v>
      </x:c>
      <x:c r="J28" s="157"/>
      <x:c r="K28" s="157"/>
      <x:c r="L28" s="385">
        <x:v>20220117</x:v>
      </x:c>
      <x:c r="M28" s="125">
        <x:v>587000</x:v>
      </x:c>
      <x:c r="N28" s="124" t="s">
        <x:v>2034</x:v>
      </x:c>
      <x:c r="O28" s="124" t="s">
        <x:v>669</x:v>
      </x:c>
      <x:c r="P28" s="124">
        <x:v>899</x:v>
      </x:c>
      <x:c r="Q28" s="124" t="s">
        <x:v>693</x:v>
      </x:c>
      <x:c r="R28" s="124"/>
      <x:c r="S28" s="124"/>
      <x:c r="T28" s="124"/>
      <x:c r="U28" s="124"/>
      <x:c r="V28" s="124"/>
    </x:row>
    <x:row r="29" spans="1:22" s="23" customFormat="1" ht="13.19999999999999928946">
      <x:c r="A29" s="157" t="str">
        <x:f>O29</x:f>
        <x:v>정보과학실 학생용 6</x:v>
      </x:c>
      <x:c r="B29" s="25" t="str">
        <x:f>L29&amp;"-"&amp;TEXT(P29,"0000")</x:f>
        <x:v>20220117-0898</x:v>
      </x:c>
      <x:c r="C29" s="124" t="s">
        <x:v>1978</x:v>
      </x:c>
      <x:c r="D29" s="124" t="s">
        <x:v>1581</x:v>
      </x:c>
      <x:c r="E29" s="124" t="s">
        <x:v>1568</x:v>
      </x:c>
      <x:c r="F29" s="124" t="s">
        <x:v>2155</x:v>
      </x:c>
      <x:c r="G29" s="124" t="s">
        <x:v>1575</x:v>
      </x:c>
      <x:c r="H29" s="124" t="str">
        <x:f>IFERROR(VLOOKUP(O29,'정보화기기 명부'!A$2:B$187,2,FALSE),"")</x:f>
        <x:v>정보과학실</x:v>
      </x:c>
      <x:c r="I29" s="187" t="str">
        <x:f>IFERROR(VLOOKUP(O29,'학생용 IP'!$C$11:$H$326,5,FALSE),"")</x:f>
        <x:v>10.54.36.20</x:v>
      </x:c>
      <x:c r="J29" s="157"/>
      <x:c r="K29" s="157"/>
      <x:c r="L29" s="385">
        <x:v>20220117</x:v>
      </x:c>
      <x:c r="M29" s="125">
        <x:v>587000</x:v>
      </x:c>
      <x:c r="N29" s="124" t="s">
        <x:v>2034</x:v>
      </x:c>
      <x:c r="O29" s="124" t="s">
        <x:v>663</x:v>
      </x:c>
      <x:c r="P29" s="124">
        <x:v>898</x:v>
      </x:c>
      <x:c r="Q29" s="124" t="s">
        <x:v>693</x:v>
      </x:c>
      <x:c r="R29" s="124"/>
      <x:c r="S29" s="124"/>
      <x:c r="T29" s="124"/>
      <x:c r="U29" s="124"/>
      <x:c r="V29" s="124"/>
    </x:row>
    <x:row r="30" spans="1:22" s="23" customFormat="1" ht="13.19999999999999928946">
      <x:c r="A30" s="157" t="str">
        <x:f>O30</x:f>
        <x:v>정보과학실 학생용 5</x:v>
      </x:c>
      <x:c r="B30" s="25" t="str">
        <x:f>L30&amp;"-"&amp;TEXT(P30,"0000")</x:f>
        <x:v>20220117-0897</x:v>
      </x:c>
      <x:c r="C30" s="124" t="s">
        <x:v>1978</x:v>
      </x:c>
      <x:c r="D30" s="124" t="s">
        <x:v>1581</x:v>
      </x:c>
      <x:c r="E30" s="124" t="s">
        <x:v>1568</x:v>
      </x:c>
      <x:c r="F30" s="124" t="s">
        <x:v>2155</x:v>
      </x:c>
      <x:c r="G30" s="124" t="s">
        <x:v>1575</x:v>
      </x:c>
      <x:c r="H30" s="124" t="str">
        <x:f>IFERROR(VLOOKUP(O30,'정보화기기 명부'!A$2:B$187,2,FALSE),"")</x:f>
        <x:v>정보과학실</x:v>
      </x:c>
      <x:c r="I30" s="187" t="str">
        <x:f>IFERROR(VLOOKUP(O30,'학생용 IP'!$C$11:$H$326,5,FALSE),"")</x:f>
        <x:v>10.54.36.19</x:v>
      </x:c>
      <x:c r="J30" s="157"/>
      <x:c r="K30" s="157"/>
      <x:c r="L30" s="385">
        <x:v>20220117</x:v>
      </x:c>
      <x:c r="M30" s="125">
        <x:v>587000</x:v>
      </x:c>
      <x:c r="N30" s="124" t="s">
        <x:v>2034</x:v>
      </x:c>
      <x:c r="O30" s="207" t="s">
        <x:v>694</x:v>
      </x:c>
      <x:c r="P30" s="124">
        <x:v>897</x:v>
      </x:c>
      <x:c r="Q30" s="124" t="s">
        <x:v>693</x:v>
      </x:c>
      <x:c r="R30" s="124"/>
      <x:c r="S30" s="124"/>
      <x:c r="T30" s="124"/>
      <x:c r="U30" s="124"/>
      <x:c r="V30" s="124"/>
    </x:row>
    <x:row r="31" spans="1:22" s="23" customFormat="1" ht="13.19999999999999928946">
      <x:c r="A31" s="157" t="str">
        <x:f>O31</x:f>
        <x:v>정보과학실 학생용 4</x:v>
      </x:c>
      <x:c r="B31" s="25" t="str">
        <x:f>L31&amp;"-"&amp;TEXT(P31,"0000")</x:f>
        <x:v>20220117-0896</x:v>
      </x:c>
      <x:c r="C31" s="124" t="s">
        <x:v>1978</x:v>
      </x:c>
      <x:c r="D31" s="124" t="s">
        <x:v>1581</x:v>
      </x:c>
      <x:c r="E31" s="124" t="s">
        <x:v>1568</x:v>
      </x:c>
      <x:c r="F31" s="124" t="s">
        <x:v>2155</x:v>
      </x:c>
      <x:c r="G31" s="124" t="s">
        <x:v>1575</x:v>
      </x:c>
      <x:c r="H31" s="124" t="str">
        <x:f>IFERROR(VLOOKUP(O31,'정보화기기 명부'!A$2:B$187,2,FALSE),"")</x:f>
        <x:v>정보과학실</x:v>
      </x:c>
      <x:c r="I31" s="187" t="str">
        <x:f>IFERROR(VLOOKUP(O31,'학생용 IP'!$C$11:$H$326,5,FALSE),"")</x:f>
        <x:v>10.54.36.18</x:v>
      </x:c>
      <x:c r="J31" s="157"/>
      <x:c r="K31" s="157"/>
      <x:c r="L31" s="385">
        <x:v>20220117</x:v>
      </x:c>
      <x:c r="M31" s="125">
        <x:v>587000</x:v>
      </x:c>
      <x:c r="N31" s="124" t="s">
        <x:v>2034</x:v>
      </x:c>
      <x:c r="O31" s="207" t="s">
        <x:v>732</x:v>
      </x:c>
      <x:c r="P31" s="124">
        <x:v>896</x:v>
      </x:c>
      <x:c r="Q31" s="124" t="s">
        <x:v>693</x:v>
      </x:c>
      <x:c r="R31" s="124"/>
      <x:c r="S31" s="124"/>
      <x:c r="T31" s="124"/>
      <x:c r="U31" s="124"/>
      <x:c r="V31" s="124"/>
    </x:row>
    <x:row r="32" spans="1:26" s="23" customFormat="1" ht="13.19999999999999928946">
      <x:c r="A32" s="390" t="str">
        <x:f>O32</x:f>
        <x:v>교사 예비용 17</x:v>
      </x:c>
      <x:c r="B32" s="211" t="str">
        <x:f>L32&amp;"-"&amp;TEXT(P32,"0000")</x:f>
        <x:v>20210823-0886</x:v>
      </x:c>
      <x:c r="C32" s="391" t="s">
        <x:v>1564</x:v>
      </x:c>
      <x:c r="D32" s="391" t="s">
        <x:v>1581</x:v>
      </x:c>
      <x:c r="E32" s="391" t="s">
        <x:v>1251</x:v>
      </x:c>
      <x:c r="F32" s="391" t="s">
        <x:v>2127</x:v>
      </x:c>
      <x:c r="G32" s="391" t="s">
        <x:v>1289</x:v>
      </x:c>
      <x:c r="H32" s="391" t="str">
        <x:f>IFERROR(VLOOKUP(O32,'정보화기기 명부'!A$2:B$187,2,FALSE),"")</x:f>
        <x:v/>
      </x:c>
      <x:c r="I32" s="391" t="str">
        <x:f>IFERROR(VLOOKUP(O32,'교직원용 IP'!$C$2:$H$230,6,FALSE),"")</x:f>
        <x:v/>
      </x:c>
      <x:c r="J32" s="391"/>
      <x:c r="K32" s="391"/>
      <x:c r="L32" s="390">
        <x:v>20210823</x:v>
      </x:c>
      <x:c r="M32" s="392">
        <x:v>855000</x:v>
      </x:c>
      <x:c r="N32" s="391" t="s">
        <x:v>2034</x:v>
      </x:c>
      <x:c r="O32" s="291" t="s">
        <x:v>848</x:v>
      </x:c>
      <x:c r="P32" s="247">
        <x:v>886</x:v>
      </x:c>
      <x:c r="Q32" s="247" t="s">
        <x:v>693</x:v>
      </x:c>
      <x:c r="R32" s="247"/>
      <x:c r="S32" s="247" t="s">
        <x:v>1572</x:v>
      </x:c>
      <x:c r="T32" s="247" t="s">
        <x:v>2037</x:v>
      </x:c>
      <x:c r="U32" s="247"/>
      <x:c r="V32" s="247"/>
      <x:c r="W32" s="259"/>
      <x:c r="X32" s="259"/>
      <x:c r="Y32" s="259"/>
      <x:c r="Z32" s="259"/>
    </x:row>
    <x:row r="33" spans="1:26" s="23" customFormat="1" ht="13.19999999999999928946">
      <x:c r="A33" s="390" t="str">
        <x:f>O33</x:f>
        <x:v>교사 예비용 16</x:v>
      </x:c>
      <x:c r="B33" s="211" t="str">
        <x:f>L33&amp;"-"&amp;TEXT(P33,"0000")</x:f>
        <x:v>20210823-0887</x:v>
      </x:c>
      <x:c r="C33" s="391" t="s">
        <x:v>1564</x:v>
      </x:c>
      <x:c r="D33" s="391" t="s">
        <x:v>1581</x:v>
      </x:c>
      <x:c r="E33" s="391" t="s">
        <x:v>1251</x:v>
      </x:c>
      <x:c r="F33" s="391" t="s">
        <x:v>2127</x:v>
      </x:c>
      <x:c r="G33" s="391" t="s">
        <x:v>1289</x:v>
      </x:c>
      <x:c r="H33" s="391" t="str">
        <x:f>IFERROR(VLOOKUP(O33,'정보화기기 명부'!A$2:B$187,2,FALSE),"")</x:f>
        <x:v/>
      </x:c>
      <x:c r="I33" s="391" t="str">
        <x:f>IFERROR(VLOOKUP(O33,'교직원용 IP'!$C$2:$H$230,6,FALSE),"")</x:f>
        <x:v/>
      </x:c>
      <x:c r="J33" s="391"/>
      <x:c r="K33" s="391"/>
      <x:c r="L33" s="390">
        <x:v>20210823</x:v>
      </x:c>
      <x:c r="M33" s="392">
        <x:v>855000</x:v>
      </x:c>
      <x:c r="N33" s="391" t="s">
        <x:v>2034</x:v>
      </x:c>
      <x:c r="O33" s="291" t="s">
        <x:v>852</x:v>
      </x:c>
      <x:c r="P33" s="247">
        <x:v>887</x:v>
      </x:c>
      <x:c r="Q33" s="247" t="s">
        <x:v>693</x:v>
      </x:c>
      <x:c r="R33" s="247"/>
      <x:c r="S33" s="247" t="s">
        <x:v>1572</x:v>
      </x:c>
      <x:c r="T33" s="247" t="s">
        <x:v>2037</x:v>
      </x:c>
      <x:c r="U33" s="247"/>
      <x:c r="V33" s="247"/>
      <x:c r="W33" s="259"/>
      <x:c r="X33" s="259"/>
      <x:c r="Y33" s="259"/>
      <x:c r="Z33" s="259"/>
    </x:row>
    <x:row r="34" spans="1:26" s="23" customFormat="1" ht="13.19999999999999928946">
      <x:c r="A34" s="393" t="str">
        <x:f>O34</x:f>
        <x:v>황경환 교감선생님</x:v>
      </x:c>
      <x:c r="B34" s="90" t="str">
        <x:f>L34&amp;"-"&amp;TEXT(P34,"0000")</x:f>
        <x:v>20210823-0888</x:v>
      </x:c>
      <x:c r="C34" s="187" t="s">
        <x:v>1564</x:v>
      </x:c>
      <x:c r="D34" s="187" t="s">
        <x:v>1581</x:v>
      </x:c>
      <x:c r="E34" s="187" t="s">
        <x:v>1251</x:v>
      </x:c>
      <x:c r="F34" s="187" t="s">
        <x:v>2127</x:v>
      </x:c>
      <x:c r="G34" s="187" t="s">
        <x:v>1289</x:v>
      </x:c>
      <x:c r="H34" s="187" t="str">
        <x:f>IFERROR(VLOOKUP(O34,'정보화기기 명부'!A$2:B$187,2,FALSE),"")</x:f>
        <x:v/>
      </x:c>
      <x:c r="I34" s="187" t="str">
        <x:f>IFERROR(VLOOKUP(O34,'교직원용 IP'!$C$2:$H$230,6,FALSE),"")</x:f>
        <x:v>10.51.90.180</x:v>
      </x:c>
      <x:c r="J34" s="187"/>
      <x:c r="K34" s="187"/>
      <x:c r="L34" s="393">
        <x:v>20210823</x:v>
      </x:c>
      <x:c r="M34" s="195">
        <x:v>855000</x:v>
      </x:c>
      <x:c r="N34" s="187" t="s">
        <x:v>2034</x:v>
      </x:c>
      <x:c r="O34" s="288" t="s">
        <x:v>838</x:v>
      </x:c>
      <x:c r="P34" s="247">
        <x:v>888</x:v>
      </x:c>
      <x:c r="Q34" s="247" t="s">
        <x:v>693</x:v>
      </x:c>
      <x:c r="R34" s="247"/>
      <x:c r="S34" s="247" t="s">
        <x:v>1572</x:v>
      </x:c>
      <x:c r="T34" s="247" t="s">
        <x:v>2037</x:v>
      </x:c>
      <x:c r="U34" s="247"/>
      <x:c r="V34" s="247"/>
      <x:c r="W34" s="259"/>
      <x:c r="X34" s="259"/>
      <x:c r="Y34" s="259"/>
      <x:c r="Z34" s="259"/>
    </x:row>
    <x:row r="35" spans="1:26" s="23" customFormat="1" ht="13.19999999999999928946">
      <x:c r="A35" s="390" t="str">
        <x:f>O35</x:f>
        <x:v>교사 예비용 15</x:v>
      </x:c>
      <x:c r="B35" s="211" t="str">
        <x:f>L35&amp;"-"&amp;TEXT(P35,"0000")</x:f>
        <x:v>20210823-0889</x:v>
      </x:c>
      <x:c r="C35" s="391" t="s">
        <x:v>1564</x:v>
      </x:c>
      <x:c r="D35" s="391" t="s">
        <x:v>1581</x:v>
      </x:c>
      <x:c r="E35" s="391" t="s">
        <x:v>1251</x:v>
      </x:c>
      <x:c r="F35" s="391" t="s">
        <x:v>2127</x:v>
      </x:c>
      <x:c r="G35" s="391" t="s">
        <x:v>1289</x:v>
      </x:c>
      <x:c r="H35" s="391" t="str">
        <x:f>IFERROR(VLOOKUP(O35,'정보화기기 명부'!A$2:B$187,2,FALSE),"")</x:f>
        <x:v/>
      </x:c>
      <x:c r="I35" s="391" t="str">
        <x:f>IFERROR(VLOOKUP(O35,'교직원용 IP'!$C$2:$H$230,6,FALSE),"")</x:f>
        <x:v/>
      </x:c>
      <x:c r="J35" s="391"/>
      <x:c r="K35" s="391"/>
      <x:c r="L35" s="390">
        <x:v>20210823</x:v>
      </x:c>
      <x:c r="M35" s="392">
        <x:v>855000</x:v>
      </x:c>
      <x:c r="N35" s="391" t="s">
        <x:v>2034</x:v>
      </x:c>
      <x:c r="O35" s="291" t="s">
        <x:v>843</x:v>
      </x:c>
      <x:c r="P35" s="247">
        <x:v>889</x:v>
      </x:c>
      <x:c r="Q35" s="247" t="s">
        <x:v>693</x:v>
      </x:c>
      <x:c r="R35" s="247"/>
      <x:c r="S35" s="247" t="s">
        <x:v>1572</x:v>
      </x:c>
      <x:c r="T35" s="247" t="s">
        <x:v>2037</x:v>
      </x:c>
      <x:c r="U35" s="247"/>
      <x:c r="V35" s="247"/>
      <x:c r="W35" s="259"/>
      <x:c r="X35" s="259"/>
      <x:c r="Y35" s="259"/>
      <x:c r="Z35" s="259"/>
    </x:row>
    <x:row r="36" spans="1:22" s="23" customFormat="1" ht="13.19999999999999928946">
      <x:c r="A36" s="394" t="str">
        <x:f>O36</x:f>
        <x:v>교사 예비용9</x:v>
      </x:c>
      <x:c r="B36" s="89" t="str">
        <x:f>L36&amp;"-"&amp;TEXT(P36,"0000")</x:f>
        <x:v>20210823-0890</x:v>
      </x:c>
      <x:c r="C36" s="124" t="s">
        <x:v>1564</x:v>
      </x:c>
      <x:c r="D36" s="124" t="s">
        <x:v>1581</x:v>
      </x:c>
      <x:c r="E36" s="124" t="s">
        <x:v>1251</x:v>
      </x:c>
      <x:c r="F36" s="124" t="s">
        <x:v>2127</x:v>
      </x:c>
      <x:c r="G36" s="124" t="s">
        <x:v>1289</x:v>
      </x:c>
      <x:c r="H36" s="124" t="str">
        <x:f>IFERROR(VLOOKUP(O36,'정보화기기 명부'!A$2:B$187,2,FALSE),"")</x:f>
        <x:v/>
      </x:c>
      <x:c r="I36" s="124" t="str">
        <x:f>IFERROR(VLOOKUP(O36,'교직원용 IP'!$C$2:$H$230,6,FALSE),"")</x:f>
        <x:v/>
      </x:c>
      <x:c r="J36" s="124"/>
      <x:c r="K36" s="124"/>
      <x:c r="L36" s="395">
        <x:v>20210823</x:v>
      </x:c>
      <x:c r="M36" s="125">
        <x:v>855000</x:v>
      </x:c>
      <x:c r="N36" s="124" t="s">
        <x:v>2034</x:v>
      </x:c>
      <x:c r="O36" s="289" t="s">
        <x:v>1843</x:v>
      </x:c>
      <x:c r="P36" s="124">
        <x:v>890</x:v>
      </x:c>
      <x:c r="Q36" s="124" t="s">
        <x:v>693</x:v>
      </x:c>
      <x:c r="R36" s="124"/>
      <x:c r="S36" s="124" t="s">
        <x:v>1572</x:v>
      </x:c>
      <x:c r="T36" s="124" t="s">
        <x:v>2037</x:v>
      </x:c>
      <x:c r="U36" s="124"/>
      <x:c r="V36" s="124"/>
    </x:row>
    <x:row r="37" spans="1:22" s="23" customFormat="1" ht="13.19999999999999928946">
      <x:c r="A37" s="390" t="str">
        <x:f>O37</x:f>
        <x:v>교사 예비용 14</x:v>
      </x:c>
      <x:c r="B37" s="211" t="str">
        <x:f>L37&amp;"-"&amp;TEXT(P37,"0000")</x:f>
        <x:v>20210823-0891</x:v>
      </x:c>
      <x:c r="C37" s="391" t="s">
        <x:v>1564</x:v>
      </x:c>
      <x:c r="D37" s="391" t="s">
        <x:v>1581</x:v>
      </x:c>
      <x:c r="E37" s="391" t="s">
        <x:v>1251</x:v>
      </x:c>
      <x:c r="F37" s="391" t="s">
        <x:v>2127</x:v>
      </x:c>
      <x:c r="G37" s="391" t="s">
        <x:v>1289</x:v>
      </x:c>
      <x:c r="H37" s="391" t="str">
        <x:f>IFERROR(VLOOKUP(O37,'정보화기기 명부'!A$2:B$187,2,FALSE),"")</x:f>
        <x:v/>
      </x:c>
      <x:c r="I37" s="391" t="str">
        <x:f>IFERROR(VLOOKUP(O37,'교직원용 IP'!$C$2:$H$230,6,FALSE),"")</x:f>
        <x:v/>
      </x:c>
      <x:c r="J37" s="391"/>
      <x:c r="K37" s="391"/>
      <x:c r="L37" s="390">
        <x:v>20210823</x:v>
      </x:c>
      <x:c r="M37" s="392">
        <x:v>855000</x:v>
      </x:c>
      <x:c r="N37" s="391" t="s">
        <x:v>2034</x:v>
      </x:c>
      <x:c r="O37" s="291" t="s">
        <x:v>850</x:v>
      </x:c>
      <x:c r="P37" s="124">
        <x:v>891</x:v>
      </x:c>
      <x:c r="Q37" s="124" t="s">
        <x:v>693</x:v>
      </x:c>
      <x:c r="R37" s="124"/>
      <x:c r="S37" s="124" t="s">
        <x:v>1572</x:v>
      </x:c>
      <x:c r="T37" s="124" t="s">
        <x:v>2037</x:v>
      </x:c>
      <x:c r="U37" s="124"/>
      <x:c r="V37" s="124"/>
    </x:row>
    <x:row r="38" spans="1:22" s="23" customFormat="1" ht="13.19999999999999928946">
      <x:c r="A38" s="390" t="str">
        <x:f>O38</x:f>
        <x:v>교사 예비용 13</x:v>
      </x:c>
      <x:c r="B38" s="211" t="str">
        <x:f>L38&amp;"-"&amp;TEXT(P38,"0000")</x:f>
        <x:v>20210823-0892</x:v>
      </x:c>
      <x:c r="C38" s="391" t="s">
        <x:v>1564</x:v>
      </x:c>
      <x:c r="D38" s="391" t="s">
        <x:v>1581</x:v>
      </x:c>
      <x:c r="E38" s="391" t="s">
        <x:v>1251</x:v>
      </x:c>
      <x:c r="F38" s="391" t="s">
        <x:v>2127</x:v>
      </x:c>
      <x:c r="G38" s="391" t="s">
        <x:v>1289</x:v>
      </x:c>
      <x:c r="H38" s="391" t="str">
        <x:f>IFERROR(VLOOKUP(O38,'정보화기기 명부'!A$2:B$187,2,FALSE),"")</x:f>
        <x:v/>
      </x:c>
      <x:c r="I38" s="391" t="str">
        <x:f>IFERROR(VLOOKUP(O38,'교직원용 IP'!$C$2:$H$230,6,FALSE),"")</x:f>
        <x:v/>
      </x:c>
      <x:c r="J38" s="391"/>
      <x:c r="K38" s="391"/>
      <x:c r="L38" s="390">
        <x:v>20210823</x:v>
      </x:c>
      <x:c r="M38" s="392">
        <x:v>855000</x:v>
      </x:c>
      <x:c r="N38" s="391" t="s">
        <x:v>2034</x:v>
      </x:c>
      <x:c r="O38" s="290" t="s">
        <x:v>866</x:v>
      </x:c>
      <x:c r="P38" s="124">
        <x:v>892</x:v>
      </x:c>
      <x:c r="Q38" s="124" t="s">
        <x:v>693</x:v>
      </x:c>
      <x:c r="R38" s="124"/>
      <x:c r="S38" s="124" t="s">
        <x:v>1572</x:v>
      </x:c>
      <x:c r="T38" s="124" t="s">
        <x:v>2037</x:v>
      </x:c>
      <x:c r="U38" s="124"/>
      <x:c r="V38" s="124"/>
    </x:row>
    <x:row r="39" spans="1:22" s="23" customFormat="1" ht="13.19999999999999928946">
      <x:c r="A39" s="390" t="str">
        <x:f>O39</x:f>
        <x:v>교사 예비용 12</x:v>
      </x:c>
      <x:c r="B39" s="211" t="str">
        <x:f>L39&amp;"-"&amp;TEXT(P39,"0000")</x:f>
        <x:v>20210823-0893</x:v>
      </x:c>
      <x:c r="C39" s="391" t="s">
        <x:v>1564</x:v>
      </x:c>
      <x:c r="D39" s="391" t="s">
        <x:v>1581</x:v>
      </x:c>
      <x:c r="E39" s="391" t="s">
        <x:v>1251</x:v>
      </x:c>
      <x:c r="F39" s="391" t="s">
        <x:v>2127</x:v>
      </x:c>
      <x:c r="G39" s="391" t="s">
        <x:v>1289</x:v>
      </x:c>
      <x:c r="H39" s="391" t="str">
        <x:f>IFERROR(VLOOKUP(O39,'정보화기기 명부'!A$2:B$187,2,FALSE),"")</x:f>
        <x:v/>
      </x:c>
      <x:c r="I39" s="391" t="str">
        <x:f>IFERROR(VLOOKUP(O39,'교직원용 IP'!$C$2:$H$230,6,FALSE),"")</x:f>
        <x:v/>
      </x:c>
      <x:c r="J39" s="391"/>
      <x:c r="K39" s="391"/>
      <x:c r="L39" s="390">
        <x:v>20210823</x:v>
      </x:c>
      <x:c r="M39" s="392">
        <x:v>855000</x:v>
      </x:c>
      <x:c r="N39" s="391" t="s">
        <x:v>2034</x:v>
      </x:c>
      <x:c r="O39" s="291" t="s">
        <x:v>844</x:v>
      </x:c>
      <x:c r="P39" s="124">
        <x:v>893</x:v>
      </x:c>
      <x:c r="Q39" s="124" t="s">
        <x:v>693</x:v>
      </x:c>
      <x:c r="R39" s="124"/>
      <x:c r="S39" s="124" t="s">
        <x:v>1572</x:v>
      </x:c>
      <x:c r="T39" s="124" t="s">
        <x:v>2037</x:v>
      </x:c>
      <x:c r="U39" s="124"/>
      <x:c r="V39" s="124"/>
    </x:row>
    <x:row r="40" spans="1:22" s="23" customFormat="1" customHeight="1">
      <x:c r="A40" s="396" t="str">
        <x:f>O40</x:f>
        <x:v>체육관방송용</x:v>
      </x:c>
      <x:c r="B40" s="283" t="str">
        <x:f>L40&amp;"-"&amp;TEXT(P40,"0000")</x:f>
        <x:v>20210823-0894</x:v>
      </x:c>
      <x:c r="C40" s="386" t="s">
        <x:v>1564</x:v>
      </x:c>
      <x:c r="D40" s="386" t="s">
        <x:v>1581</x:v>
      </x:c>
      <x:c r="E40" s="386" t="s">
        <x:v>1251</x:v>
      </x:c>
      <x:c r="F40" s="386" t="s">
        <x:v>2127</x:v>
      </x:c>
      <x:c r="G40" s="386" t="s">
        <x:v>1289</x:v>
      </x:c>
      <x:c r="H40" s="386" t="str">
        <x:f>IFERROR(VLOOKUP(O40,'정보화기기 명부'!A$2:B$187,2,FALSE),"")</x:f>
        <x:v/>
      </x:c>
      <x:c r="I40" s="386" t="str">
        <x:f>IFERROR(VLOOKUP(O40,'교직원용 IP'!$C$2:$H$230,6,FALSE),"")</x:f>
        <x:v>10.51.90.198</x:v>
      </x:c>
      <x:c r="J40" s="386"/>
      <x:c r="K40" s="386"/>
      <x:c r="L40" s="396">
        <x:v>20210823</x:v>
      </x:c>
      <x:c r="M40" s="397">
        <x:v>855000</x:v>
      </x:c>
      <x:c r="N40" s="386" t="s">
        <x:v>2034</x:v>
      </x:c>
      <x:c r="O40" s="386" t="s">
        <x:v>1758</x:v>
      </x:c>
      <x:c r="P40" s="124">
        <x:v>894</x:v>
      </x:c>
      <x:c r="Q40" s="124" t="s">
        <x:v>693</x:v>
      </x:c>
      <x:c r="R40" s="124"/>
      <x:c r="S40" s="124" t="s">
        <x:v>1572</x:v>
      </x:c>
      <x:c r="T40" s="124" t="s">
        <x:v>2037</x:v>
      </x:c>
      <x:c r="U40" s="124"/>
      <x:c r="V40" s="124"/>
    </x:row>
    <x:row r="41" spans="1:22" s="23" customFormat="1" customHeight="1">
      <x:c r="A41" s="157" t="str">
        <x:f>O41</x:f>
        <x:v>정은영</x:v>
      </x:c>
      <x:c r="B41" s="25" t="str">
        <x:f>L41&amp;"-"&amp;TEXT(P41,"0000")</x:f>
        <x:v>20210512-0885</x:v>
      </x:c>
      <x:c r="C41" s="124" t="s">
        <x:v>1978</x:v>
      </x:c>
      <x:c r="D41" s="124" t="s">
        <x:v>1581</x:v>
      </x:c>
      <x:c r="E41" s="124" t="s">
        <x:v>1552</x:v>
      </x:c>
      <x:c r="F41" s="124" t="s">
        <x:v>2177</x:v>
      </x:c>
      <x:c r="G41" s="124" t="s">
        <x:v>2048</x:v>
      </x:c>
      <x:c r="H41" s="124" t="str">
        <x:f>IFERROR(VLOOKUP(O41,'정보화기기 명부'!A$2:B$187,2,FALSE),"")</x:f>
        <x:v>교육행정실</x:v>
      </x:c>
      <x:c r="I41" s="124" t="str">
        <x:f>IFERROR(VLOOKUP(O41,'교직원용 IP'!$C$2:$H$230,6,FALSE),"")</x:f>
        <x:v>10.51.90.76</x:v>
      </x:c>
      <x:c r="J41" s="124"/>
      <x:c r="K41" s="124"/>
      <x:c r="L41" s="395">
        <x:v>20210512</x:v>
      </x:c>
      <x:c r="M41" s="125">
        <x:v>814370</x:v>
      </x:c>
      <x:c r="N41" s="124" t="s">
        <x:v>2034</x:v>
      </x:c>
      <x:c r="O41" s="124" t="s">
        <x:v>1480</x:v>
      </x:c>
      <x:c r="P41" s="124">
        <x:v>885</x:v>
      </x:c>
      <x:c r="Q41" s="124" t="s">
        <x:v>693</x:v>
      </x:c>
      <x:c r="R41" s="124"/>
      <x:c r="S41" s="124" t="s">
        <x:v>1572</x:v>
      </x:c>
      <x:c r="T41" s="124" t="s">
        <x:v>2037</x:v>
      </x:c>
      <x:c r="U41" s="124"/>
      <x:c r="V41" s="124"/>
    </x:row>
    <x:row r="42" spans="1:26" customHeight="1">
      <x:c r="A42" s="25" t="str">
        <x:f>O42</x:f>
        <x:v>우현주</x:v>
      </x:c>
      <x:c r="B42" s="25" t="str">
        <x:f>L42&amp;"-"&amp;TEXT(P42,"0000")</x:f>
        <x:v>20210111-0884</x:v>
      </x:c>
      <x:c r="C42" s="207" t="s">
        <x:v>1978</x:v>
      </x:c>
      <x:c r="D42" s="207" t="s">
        <x:v>1581</x:v>
      </x:c>
      <x:c r="E42" s="207" t="s">
        <x:v>1251</x:v>
      </x:c>
      <x:c r="F42" s="398" t="s">
        <x:v>719</x:v>
      </x:c>
      <x:c r="G42" s="207" t="s">
        <x:v>697</x:v>
      </x:c>
      <x:c r="H42" s="207" t="str">
        <x:f>IFERROR(VLOOKUP(O42,'정보화기기 명부'!A$2:B$187,2,FALSE),"")</x:f>
        <x:v>교장실</x:v>
      </x:c>
      <x:c r="I42" s="124" t="str">
        <x:f>IFERROR(VLOOKUP(O42,'교직원용 IP'!$C$2:$H$230,6,FALSE),"")</x:f>
        <x:v>10.51.90.71</x:v>
      </x:c>
      <x:c r="J42" s="207"/>
      <x:c r="K42" s="207"/>
      <x:c r="L42" s="131">
        <x:v>20210111</x:v>
      </x:c>
      <x:c r="M42" s="238">
        <x:v>684000</x:v>
      </x:c>
      <x:c r="N42" s="207" t="s">
        <x:v>2034</x:v>
      </x:c>
      <x:c r="O42" s="207" t="s">
        <x:v>1226</x:v>
      </x:c>
      <x:c r="P42" s="124">
        <x:v>884</x:v>
      </x:c>
      <x:c r="Q42" s="207" t="s">
        <x:v>693</x:v>
      </x:c>
      <x:c r="R42" s="124"/>
      <x:c r="S42" s="124" t="s">
        <x:v>1572</x:v>
      </x:c>
      <x:c r="T42" s="124" t="s">
        <x:v>2037</x:v>
      </x:c>
      <x:c r="U42" s="23"/>
      <x:c r="V42" s="23"/>
      <x:c r="W42" s="23"/>
      <x:c r="X42" s="23"/>
      <x:c r="Y42" s="23"/>
      <x:c r="Z42" s="23"/>
    </x:row>
    <x:row r="43" spans="1:26" customHeight="1">
      <x:c r="A43" s="25" t="str">
        <x:f>O43</x:f>
        <x:v>지구과학실험실 교사용</x:v>
      </x:c>
      <x:c r="B43" s="25" t="str">
        <x:f>L43&amp;"-"&amp;TEXT(P43,"0000")</x:f>
        <x:v>20201102-0883</x:v>
      </x:c>
      <x:c r="C43" s="207" t="s">
        <x:v>1978</x:v>
      </x:c>
      <x:c r="D43" s="207" t="s">
        <x:v>1581</x:v>
      </x:c>
      <x:c r="E43" s="207" t="s">
        <x:v>1251</x:v>
      </x:c>
      <x:c r="F43" s="398" t="s">
        <x:v>2137</x:v>
      </x:c>
      <x:c r="G43" s="207" t="s">
        <x:v>2048</x:v>
      </x:c>
      <x:c r="H43" s="207" t="str">
        <x:f>IFERROR(VLOOKUP(O43,'정보화기기 명부'!A$2:B$187,2,FALSE),"")</x:f>
        <x:v>지구과학실</x:v>
      </x:c>
      <x:c r="I43" s="187" t="str">
        <x:f>IFERROR(VLOOKUP(O43,'학생용 IP'!$C$11:$H$326,5,FALSE),"")</x:f>
        <x:v>10.54.36.11</x:v>
      </x:c>
      <x:c r="J43" s="207"/>
      <x:c r="K43" s="207"/>
      <x:c r="L43" s="172">
        <x:v>20201102</x:v>
      </x:c>
      <x:c r="M43" s="238">
        <x:v>758000</x:v>
      </x:c>
      <x:c r="N43" s="207" t="s">
        <x:v>2034</x:v>
      </x:c>
      <x:c r="O43" s="207" t="s">
        <x:v>718</x:v>
      </x:c>
      <x:c r="P43" s="124">
        <x:v>883</x:v>
      </x:c>
      <x:c r="Q43" s="207" t="s">
        <x:v>693</x:v>
      </x:c>
      <x:c r="R43" s="124" t="s">
        <x:v>2029</x:v>
      </x:c>
      <x:c r="S43" s="124" t="s">
        <x:v>1572</x:v>
      </x:c>
      <x:c r="T43" s="124" t="s">
        <x:v>1532</x:v>
      </x:c>
      <x:c r="U43" s="23"/>
      <x:c r="V43" s="23"/>
      <x:c r="W43" s="23"/>
      <x:c r="X43" s="23"/>
      <x:c r="Y43" s="23"/>
      <x:c r="Z43" s="23"/>
    </x:row>
    <x:row r="44" spans="1:26" customHeight="1">
      <x:c r="A44" s="25" t="str">
        <x:f>O44</x:f>
        <x:v>생명과학실험실 교사용</x:v>
      </x:c>
      <x:c r="B44" s="25" t="str">
        <x:f>L44&amp;"-"&amp;TEXT(P44,"0000")</x:f>
        <x:v>20201102-0882</x:v>
      </x:c>
      <x:c r="C44" s="207" t="s">
        <x:v>1978</x:v>
      </x:c>
      <x:c r="D44" s="207" t="s">
        <x:v>1581</x:v>
      </x:c>
      <x:c r="E44" s="207" t="s">
        <x:v>1251</x:v>
      </x:c>
      <x:c r="F44" s="398" t="s">
        <x:v>2137</x:v>
      </x:c>
      <x:c r="G44" s="207" t="s">
        <x:v>2048</x:v>
      </x:c>
      <x:c r="H44" s="207" t="str">
        <x:f>IFERROR(VLOOKUP(O44,'정보화기기 명부'!A$2:B$187,2,FALSE),"")</x:f>
        <x:v>생명과학실</x:v>
      </x:c>
      <x:c r="I44" s="187" t="str">
        <x:f>IFERROR(VLOOKUP(O44,'학생용 IP'!$C$11:$H$326,5,FALSE),"")</x:f>
        <x:v>10.54.36.12</x:v>
      </x:c>
      <x:c r="J44" s="207"/>
      <x:c r="K44" s="207"/>
      <x:c r="L44" s="172">
        <x:v>20201102</x:v>
      </x:c>
      <x:c r="M44" s="238">
        <x:v>758000</x:v>
      </x:c>
      <x:c r="N44" s="207" t="s">
        <x:v>2034</x:v>
      </x:c>
      <x:c r="O44" s="207" t="s">
        <x:v>716</x:v>
      </x:c>
      <x:c r="P44" s="124">
        <x:v>882</x:v>
      </x:c>
      <x:c r="Q44" s="207" t="s">
        <x:v>693</x:v>
      </x:c>
      <x:c r="R44" s="207" t="s">
        <x:v>2029</x:v>
      </x:c>
      <x:c r="S44" s="207" t="s">
        <x:v>1572</x:v>
      </x:c>
      <x:c r="T44" s="207" t="s">
        <x:v>1532</x:v>
      </x:c>
      <x:c r="U44" s="207"/>
      <x:c r="V44" s="207"/>
      <x:c r="W44" s="23"/>
      <x:c r="X44" s="23"/>
      <x:c r="Y44" s="23"/>
      <x:c r="Z44" s="23"/>
    </x:row>
    <x:row r="45" spans="1:26" customHeight="1">
      <x:c r="A45" s="25" t="str">
        <x:f>O45</x:f>
        <x:v>화학실험실 교사용</x:v>
      </x:c>
      <x:c r="B45" s="25" t="str">
        <x:f>L45&amp;"-"&amp;TEXT(P45,"0000")</x:f>
        <x:v>20201102-0881</x:v>
      </x:c>
      <x:c r="C45" s="207" t="s">
        <x:v>1978</x:v>
      </x:c>
      <x:c r="D45" s="207" t="s">
        <x:v>1581</x:v>
      </x:c>
      <x:c r="E45" s="207" t="s">
        <x:v>1251</x:v>
      </x:c>
      <x:c r="F45" s="398" t="s">
        <x:v>2137</x:v>
      </x:c>
      <x:c r="G45" s="207" t="s">
        <x:v>2048</x:v>
      </x:c>
      <x:c r="H45" s="207" t="str">
        <x:f>IFERROR(VLOOKUP(O45,'정보화기기 명부'!A$2:B$187,2,FALSE),"")</x:f>
        <x:v>화학실험실</x:v>
      </x:c>
      <x:c r="I45" s="187" t="str">
        <x:f>IFERROR(VLOOKUP(O45,'학생용 IP'!$C$11:$H$326,5,FALSE),"")</x:f>
        <x:v>10.54.36.13</x:v>
      </x:c>
      <x:c r="J45" s="207"/>
      <x:c r="K45" s="207"/>
      <x:c r="L45" s="172">
        <x:v>20201102</x:v>
      </x:c>
      <x:c r="M45" s="238">
        <x:v>758000</x:v>
      </x:c>
      <x:c r="N45" s="207" t="s">
        <x:v>2034</x:v>
      </x:c>
      <x:c r="O45" s="207" t="s">
        <x:v>679</x:v>
      </x:c>
      <x:c r="P45" s="124">
        <x:v>881</x:v>
      </x:c>
      <x:c r="Q45" s="207" t="s">
        <x:v>693</x:v>
      </x:c>
      <x:c r="R45" s="207" t="s">
        <x:v>2029</x:v>
      </x:c>
      <x:c r="S45" s="207" t="s">
        <x:v>1572</x:v>
      </x:c>
      <x:c r="T45" s="207" t="s">
        <x:v>1532</x:v>
      </x:c>
      <x:c r="U45" s="207"/>
      <x:c r="V45" s="207"/>
      <x:c r="W45" s="23"/>
      <x:c r="X45" s="23"/>
      <x:c r="Y45" s="23"/>
      <x:c r="Z45" s="23"/>
    </x:row>
    <x:row r="46" spans="1:26" customHeight="1">
      <x:c r="A46" s="25" t="str">
        <x:f>O46</x:f>
        <x:v>물리실험실 교사용</x:v>
      </x:c>
      <x:c r="B46" s="25" t="str">
        <x:f>L46&amp;"-"&amp;TEXT(P46,"0000")</x:f>
        <x:v>20201102-0880</x:v>
      </x:c>
      <x:c r="C46" s="207" t="s">
        <x:v>1978</x:v>
      </x:c>
      <x:c r="D46" s="207" t="s">
        <x:v>1581</x:v>
      </x:c>
      <x:c r="E46" s="207" t="s">
        <x:v>1251</x:v>
      </x:c>
      <x:c r="F46" s="398" t="s">
        <x:v>2137</x:v>
      </x:c>
      <x:c r="G46" s="207" t="s">
        <x:v>2048</x:v>
      </x:c>
      <x:c r="H46" s="207" t="str">
        <x:f>IFERROR(VLOOKUP(O46,'정보화기기 명부'!A$2:B$187,2,FALSE),"")</x:f>
        <x:v>물리실험실</x:v>
      </x:c>
      <x:c r="I46" s="187" t="str">
        <x:f>IFERROR(VLOOKUP(O46,'학생용 IP'!$C$11:$H$326,5,FALSE),"")</x:f>
        <x:v>10.54.36.14</x:v>
      </x:c>
      <x:c r="J46" s="207"/>
      <x:c r="K46" s="207"/>
      <x:c r="L46" s="172">
        <x:v>20201102</x:v>
      </x:c>
      <x:c r="M46" s="238">
        <x:v>758000</x:v>
      </x:c>
      <x:c r="N46" s="207" t="s">
        <x:v>2034</x:v>
      </x:c>
      <x:c r="O46" s="207" t="s">
        <x:v>735</x:v>
      </x:c>
      <x:c r="P46" s="124">
        <x:v>880</x:v>
      </x:c>
      <x:c r="Q46" s="207" t="s">
        <x:v>693</x:v>
      </x:c>
      <x:c r="R46" s="207" t="s">
        <x:v>2029</x:v>
      </x:c>
      <x:c r="S46" s="207" t="s">
        <x:v>1572</x:v>
      </x:c>
      <x:c r="T46" s="207" t="s">
        <x:v>1532</x:v>
      </x:c>
      <x:c r="U46" s="207"/>
      <x:c r="V46" s="207"/>
      <x:c r="W46" s="23"/>
      <x:c r="X46" s="23"/>
      <x:c r="Y46" s="23"/>
      <x:c r="Z46" s="23"/>
    </x:row>
    <x:row r="47" spans="1:22" s="23" customFormat="1" customHeight="1">
      <x:c r="A47" s="157" t="str">
        <x:f>O47</x:f>
        <x:v>관리자</x:v>
      </x:c>
      <x:c r="B47" s="25" t="str">
        <x:f>L47&amp;"-"&amp;TEXT(P47,"0000")</x:f>
        <x:v>20201021-0879</x:v>
      </x:c>
      <x:c r="C47" s="124" t="s">
        <x:v>2016</x:v>
      </x:c>
      <x:c r="D47" s="124" t="s">
        <x:v>1581</x:v>
      </x:c>
      <x:c r="E47" s="124" t="s">
        <x:v>1251</x:v>
      </x:c>
      <x:c r="F47" s="124" t="s">
        <x:v>3123</x:v>
      </x:c>
      <x:c r="G47" s="124" t="s">
        <x:v>1289</x:v>
      </x:c>
      <x:c r="H47" s="124" t="str">
        <x:f>IFERROR(VLOOKUP(O47,'정보화기기 명부'!A$2:B$187,2,FALSE),"")</x:f>
        <x:v/>
      </x:c>
      <x:c r="I47" s="125" t="str">
        <x:f>IFERROR(VLOOKUP(O47,'학생용 IP'!$C$11:$H$326,5,FALSE),"")</x:f>
        <x:v/>
      </x:c>
      <x:c r="J47" s="124"/>
      <x:c r="K47" s="124"/>
      <x:c r="L47" s="171">
        <x:v>20201021</x:v>
      </x:c>
      <x:c r="M47" s="125">
        <x:v>447000</x:v>
      </x:c>
      <x:c r="N47" s="124" t="s">
        <x:v>2034</x:v>
      </x:c>
      <x:c r="O47" s="124" t="s">
        <x:v>1530</x:v>
      </x:c>
      <x:c r="P47" s="124">
        <x:v>879</x:v>
      </x:c>
      <x:c r="Q47" s="124" t="s">
        <x:v>3145</x:v>
      </x:c>
      <x:c r="R47" s="124" t="s">
        <x:v>2080</x:v>
      </x:c>
      <x:c r="S47" s="124" t="s">
        <x:v>1525</x:v>
      </x:c>
      <x:c r="T47" s="124" t="s">
        <x:v>2028</x:v>
      </x:c>
      <x:c r="U47" s="124"/>
      <x:c r="V47" s="124"/>
    </x:row>
    <x:row r="48" spans="1:22" s="23" customFormat="1" customHeight="1">
      <x:c r="A48" s="157" t="str">
        <x:f>O48</x:f>
        <x:v>관리자</x:v>
      </x:c>
      <x:c r="B48" s="25" t="str">
        <x:f>L48&amp;"-"&amp;TEXT(P48,"0000")</x:f>
        <x:v>20201021-0878</x:v>
      </x:c>
      <x:c r="C48" s="124" t="s">
        <x:v>2016</x:v>
      </x:c>
      <x:c r="D48" s="124" t="s">
        <x:v>1581</x:v>
      </x:c>
      <x:c r="E48" s="124" t="s">
        <x:v>1251</x:v>
      </x:c>
      <x:c r="F48" s="124" t="s">
        <x:v>3123</x:v>
      </x:c>
      <x:c r="G48" s="124" t="s">
        <x:v>1289</x:v>
      </x:c>
      <x:c r="H48" s="124" t="str">
        <x:f>IFERROR(VLOOKUP(O48,'정보화기기 명부'!A$2:B$187,2,FALSE),"")</x:f>
        <x:v/>
      </x:c>
      <x:c r="I48" s="125" t="str">
        <x:f>IFERROR(VLOOKUP(O48,'학생용 IP'!$C$11:$H$326,5,FALSE),"")</x:f>
        <x:v/>
      </x:c>
      <x:c r="J48" s="124"/>
      <x:c r="K48" s="124"/>
      <x:c r="L48" s="171">
        <x:v>20201021</x:v>
      </x:c>
      <x:c r="M48" s="125">
        <x:v>447000</x:v>
      </x:c>
      <x:c r="N48" s="124" t="s">
        <x:v>2034</x:v>
      </x:c>
      <x:c r="O48" s="124" t="s">
        <x:v>1530</x:v>
      </x:c>
      <x:c r="P48" s="124">
        <x:v>878</x:v>
      </x:c>
      <x:c r="Q48" s="124" t="s">
        <x:v>3145</x:v>
      </x:c>
      <x:c r="R48" s="124" t="s">
        <x:v>2080</x:v>
      </x:c>
      <x:c r="S48" s="124" t="s">
        <x:v>1525</x:v>
      </x:c>
      <x:c r="T48" s="124" t="s">
        <x:v>2028</x:v>
      </x:c>
      <x:c r="U48" s="124"/>
      <x:c r="V48" s="124"/>
    </x:row>
    <x:row r="49" spans="1:22" s="23" customFormat="1" customHeight="1">
      <x:c r="A49" s="157" t="str">
        <x:f>O49</x:f>
        <x:v>관리자</x:v>
      </x:c>
      <x:c r="B49" s="25" t="str">
        <x:f>L49&amp;"-"&amp;TEXT(P49,"0000")</x:f>
        <x:v>20201021-0877</x:v>
      </x:c>
      <x:c r="C49" s="124" t="s">
        <x:v>2016</x:v>
      </x:c>
      <x:c r="D49" s="124" t="s">
        <x:v>1581</x:v>
      </x:c>
      <x:c r="E49" s="124" t="s">
        <x:v>1251</x:v>
      </x:c>
      <x:c r="F49" s="124" t="s">
        <x:v>3123</x:v>
      </x:c>
      <x:c r="G49" s="124" t="s">
        <x:v>1289</x:v>
      </x:c>
      <x:c r="H49" s="124" t="str">
        <x:f>IFERROR(VLOOKUP(O49,'정보화기기 명부'!A$2:B$187,2,FALSE),"")</x:f>
        <x:v/>
      </x:c>
      <x:c r="I49" s="125" t="str">
        <x:f>IFERROR(VLOOKUP(O49,'학생용 IP'!$C$11:$H$326,5,FALSE),"")</x:f>
        <x:v/>
      </x:c>
      <x:c r="J49" s="124"/>
      <x:c r="K49" s="124"/>
      <x:c r="L49" s="171">
        <x:v>20201021</x:v>
      </x:c>
      <x:c r="M49" s="125">
        <x:v>447000</x:v>
      </x:c>
      <x:c r="N49" s="124" t="s">
        <x:v>2034</x:v>
      </x:c>
      <x:c r="O49" s="124" t="s">
        <x:v>1530</x:v>
      </x:c>
      <x:c r="P49" s="124">
        <x:v>877</x:v>
      </x:c>
      <x:c r="Q49" s="124" t="s">
        <x:v>3145</x:v>
      </x:c>
      <x:c r="R49" s="124" t="s">
        <x:v>2080</x:v>
      </x:c>
      <x:c r="S49" s="124" t="s">
        <x:v>1525</x:v>
      </x:c>
      <x:c r="T49" s="124" t="s">
        <x:v>2028</x:v>
      </x:c>
      <x:c r="U49" s="124"/>
      <x:c r="V49" s="124"/>
    </x:row>
    <x:row r="50" spans="1:22" s="23" customFormat="1" customHeight="1">
      <x:c r="A50" s="157" t="str">
        <x:f>O50</x:f>
        <x:v>관리자</x:v>
      </x:c>
      <x:c r="B50" s="25" t="str">
        <x:f>L50&amp;"-"&amp;TEXT(P50,"0000")</x:f>
        <x:v>20201021-0876</x:v>
      </x:c>
      <x:c r="C50" s="124" t="s">
        <x:v>2016</x:v>
      </x:c>
      <x:c r="D50" s="124" t="s">
        <x:v>1581</x:v>
      </x:c>
      <x:c r="E50" s="124" t="s">
        <x:v>1251</x:v>
      </x:c>
      <x:c r="F50" s="124" t="s">
        <x:v>3123</x:v>
      </x:c>
      <x:c r="G50" s="124" t="s">
        <x:v>1289</x:v>
      </x:c>
      <x:c r="H50" s="124" t="str">
        <x:f>IFERROR(VLOOKUP(O50,'정보화기기 명부'!A$2:B$187,2,FALSE),"")</x:f>
        <x:v/>
      </x:c>
      <x:c r="I50" s="125" t="str">
        <x:f>IFERROR(VLOOKUP(O50,'학생용 IP'!$C$11:$H$326,5,FALSE),"")</x:f>
        <x:v/>
      </x:c>
      <x:c r="J50" s="124"/>
      <x:c r="K50" s="124"/>
      <x:c r="L50" s="171">
        <x:v>20201021</x:v>
      </x:c>
      <x:c r="M50" s="125">
        <x:v>447000</x:v>
      </x:c>
      <x:c r="N50" s="124" t="s">
        <x:v>2034</x:v>
      </x:c>
      <x:c r="O50" s="124" t="s">
        <x:v>1530</x:v>
      </x:c>
      <x:c r="P50" s="124">
        <x:v>876</x:v>
      </x:c>
      <x:c r="Q50" s="124" t="s">
        <x:v>3145</x:v>
      </x:c>
      <x:c r="R50" s="124" t="s">
        <x:v>2080</x:v>
      </x:c>
      <x:c r="S50" s="124" t="s">
        <x:v>1525</x:v>
      </x:c>
      <x:c r="T50" s="124" t="s">
        <x:v>2028</x:v>
      </x:c>
      <x:c r="U50" s="124"/>
      <x:c r="V50" s="124"/>
    </x:row>
    <x:row r="51" spans="1:22" s="23" customFormat="1" customHeight="1">
      <x:c r="A51" s="157" t="str">
        <x:f>O51</x:f>
        <x:v>관리자</x:v>
      </x:c>
      <x:c r="B51" s="25" t="str">
        <x:f>L51&amp;"-"&amp;TEXT(P51,"0000")</x:f>
        <x:v>20201021-0875</x:v>
      </x:c>
      <x:c r="C51" s="124" t="s">
        <x:v>2016</x:v>
      </x:c>
      <x:c r="D51" s="124" t="s">
        <x:v>1581</x:v>
      </x:c>
      <x:c r="E51" s="124" t="s">
        <x:v>1251</x:v>
      </x:c>
      <x:c r="F51" s="124" t="s">
        <x:v>3123</x:v>
      </x:c>
      <x:c r="G51" s="124" t="s">
        <x:v>1289</x:v>
      </x:c>
      <x:c r="H51" s="124" t="str">
        <x:f>IFERROR(VLOOKUP(O51,'정보화기기 명부'!A$2:B$187,2,FALSE),"")</x:f>
        <x:v/>
      </x:c>
      <x:c r="I51" s="125" t="str">
        <x:f>IFERROR(VLOOKUP(O51,'학생용 IP'!$C$11:$H$326,5,FALSE),"")</x:f>
        <x:v/>
      </x:c>
      <x:c r="J51" s="124"/>
      <x:c r="K51" s="124"/>
      <x:c r="L51" s="171">
        <x:v>20201021</x:v>
      </x:c>
      <x:c r="M51" s="125">
        <x:v>447000</x:v>
      </x:c>
      <x:c r="N51" s="124" t="s">
        <x:v>2034</x:v>
      </x:c>
      <x:c r="O51" s="124" t="s">
        <x:v>1530</x:v>
      </x:c>
      <x:c r="P51" s="124">
        <x:v>875</x:v>
      </x:c>
      <x:c r="Q51" s="124" t="s">
        <x:v>3145</x:v>
      </x:c>
      <x:c r="R51" s="124" t="s">
        <x:v>2080</x:v>
      </x:c>
      <x:c r="S51" s="124" t="s">
        <x:v>1525</x:v>
      </x:c>
      <x:c r="T51" s="124" t="s">
        <x:v>2028</x:v>
      </x:c>
      <x:c r="U51" s="124"/>
      <x:c r="V51" s="124"/>
    </x:row>
    <x:row r="52" spans="1:22" s="23" customFormat="1" customHeight="1">
      <x:c r="A52" s="157" t="str">
        <x:f>O52</x:f>
        <x:v>관리자</x:v>
      </x:c>
      <x:c r="B52" s="25" t="str">
        <x:f>L52&amp;"-"&amp;TEXT(P52,"0000")</x:f>
        <x:v>20201021-0874</x:v>
      </x:c>
      <x:c r="C52" s="124" t="s">
        <x:v>2016</x:v>
      </x:c>
      <x:c r="D52" s="124" t="s">
        <x:v>1581</x:v>
      </x:c>
      <x:c r="E52" s="124" t="s">
        <x:v>1251</x:v>
      </x:c>
      <x:c r="F52" s="124" t="s">
        <x:v>3123</x:v>
      </x:c>
      <x:c r="G52" s="124" t="s">
        <x:v>1289</x:v>
      </x:c>
      <x:c r="H52" s="124" t="str">
        <x:f>IFERROR(VLOOKUP(O52,'정보화기기 명부'!A$2:B$187,2,FALSE),"")</x:f>
        <x:v/>
      </x:c>
      <x:c r="I52" s="125" t="str">
        <x:f>IFERROR(VLOOKUP(O52,'학생용 IP'!$C$11:$H$326,5,FALSE),"")</x:f>
        <x:v/>
      </x:c>
      <x:c r="J52" s="124"/>
      <x:c r="K52" s="124"/>
      <x:c r="L52" s="171">
        <x:v>20201021</x:v>
      </x:c>
      <x:c r="M52" s="125">
        <x:v>447000</x:v>
      </x:c>
      <x:c r="N52" s="124" t="s">
        <x:v>2034</x:v>
      </x:c>
      <x:c r="O52" s="124" t="s">
        <x:v>1530</x:v>
      </x:c>
      <x:c r="P52" s="124">
        <x:v>874</x:v>
      </x:c>
      <x:c r="Q52" s="124" t="s">
        <x:v>3145</x:v>
      </x:c>
      <x:c r="R52" s="124" t="s">
        <x:v>2080</x:v>
      </x:c>
      <x:c r="S52" s="124" t="s">
        <x:v>1525</x:v>
      </x:c>
      <x:c r="T52" s="124" t="s">
        <x:v>2028</x:v>
      </x:c>
      <x:c r="U52" s="124"/>
      <x:c r="V52" s="124"/>
    </x:row>
    <x:row r="53" spans="1:22" s="23" customFormat="1" customHeight="1">
      <x:c r="A53" s="157" t="str">
        <x:f>O53</x:f>
        <x:v>관리자</x:v>
      </x:c>
      <x:c r="B53" s="25" t="str">
        <x:f>L53&amp;"-"&amp;TEXT(P53,"0000")</x:f>
        <x:v>20201021-0873</x:v>
      </x:c>
      <x:c r="C53" s="124" t="s">
        <x:v>2016</x:v>
      </x:c>
      <x:c r="D53" s="124" t="s">
        <x:v>1581</x:v>
      </x:c>
      <x:c r="E53" s="124" t="s">
        <x:v>1251</x:v>
      </x:c>
      <x:c r="F53" s="124" t="s">
        <x:v>3123</x:v>
      </x:c>
      <x:c r="G53" s="124" t="s">
        <x:v>1289</x:v>
      </x:c>
      <x:c r="H53" s="124" t="str">
        <x:f>IFERROR(VLOOKUP(O53,'정보화기기 명부'!A$2:B$187,2,FALSE),"")</x:f>
        <x:v/>
      </x:c>
      <x:c r="I53" s="125" t="str">
        <x:f>IFERROR(VLOOKUP(O53,'학생용 IP'!$C$11:$H$326,5,FALSE),"")</x:f>
        <x:v/>
      </x:c>
      <x:c r="J53" s="124"/>
      <x:c r="K53" s="124"/>
      <x:c r="L53" s="171">
        <x:v>20201021</x:v>
      </x:c>
      <x:c r="M53" s="125">
        <x:v>447000</x:v>
      </x:c>
      <x:c r="N53" s="124" t="s">
        <x:v>2034</x:v>
      </x:c>
      <x:c r="O53" s="124" t="s">
        <x:v>1530</x:v>
      </x:c>
      <x:c r="P53" s="124">
        <x:v>873</x:v>
      </x:c>
      <x:c r="Q53" s="124" t="s">
        <x:v>3145</x:v>
      </x:c>
      <x:c r="R53" s="124" t="s">
        <x:v>2080</x:v>
      </x:c>
      <x:c r="S53" s="124" t="s">
        <x:v>1525</x:v>
      </x:c>
      <x:c r="T53" s="124" t="s">
        <x:v>2028</x:v>
      </x:c>
      <x:c r="U53" s="124"/>
      <x:c r="V53" s="124"/>
    </x:row>
    <x:row r="54" spans="1:22" s="23" customFormat="1" customHeight="1">
      <x:c r="A54" s="157" t="str">
        <x:f>O54</x:f>
        <x:v>관리자</x:v>
      </x:c>
      <x:c r="B54" s="25" t="str">
        <x:f>L54&amp;"-"&amp;TEXT(P54,"0000")</x:f>
        <x:v>20201021-0872</x:v>
      </x:c>
      <x:c r="C54" s="124" t="s">
        <x:v>2016</x:v>
      </x:c>
      <x:c r="D54" s="124" t="s">
        <x:v>1581</x:v>
      </x:c>
      <x:c r="E54" s="124" t="s">
        <x:v>1251</x:v>
      </x:c>
      <x:c r="F54" s="124" t="s">
        <x:v>3123</x:v>
      </x:c>
      <x:c r="G54" s="124" t="s">
        <x:v>1289</x:v>
      </x:c>
      <x:c r="H54" s="124" t="str">
        <x:f>IFERROR(VLOOKUP(O54,'정보화기기 명부'!A$2:B$187,2,FALSE),"")</x:f>
        <x:v/>
      </x:c>
      <x:c r="I54" s="125" t="str">
        <x:f>IFERROR(VLOOKUP(O54,'학생용 IP'!$C$11:$H$326,5,FALSE),"")</x:f>
        <x:v/>
      </x:c>
      <x:c r="J54" s="124"/>
      <x:c r="K54" s="124"/>
      <x:c r="L54" s="171">
        <x:v>20201021</x:v>
      </x:c>
      <x:c r="M54" s="125">
        <x:v>447000</x:v>
      </x:c>
      <x:c r="N54" s="124" t="s">
        <x:v>2034</x:v>
      </x:c>
      <x:c r="O54" s="124" t="s">
        <x:v>1530</x:v>
      </x:c>
      <x:c r="P54" s="124">
        <x:v>872</x:v>
      </x:c>
      <x:c r="Q54" s="124" t="s">
        <x:v>3145</x:v>
      </x:c>
      <x:c r="R54" s="124" t="s">
        <x:v>2080</x:v>
      </x:c>
      <x:c r="S54" s="124" t="s">
        <x:v>1525</x:v>
      </x:c>
      <x:c r="T54" s="124" t="s">
        <x:v>2028</x:v>
      </x:c>
      <x:c r="U54" s="124"/>
      <x:c r="V54" s="124"/>
    </x:row>
    <x:row r="55" spans="1:22" s="23" customFormat="1" customHeight="1">
      <x:c r="A55" s="157" t="str">
        <x:f>O55</x:f>
        <x:v>관리자</x:v>
      </x:c>
      <x:c r="B55" s="25" t="str">
        <x:f>L55&amp;"-"&amp;TEXT(P55,"0000")</x:f>
        <x:v>20201021-0871</x:v>
      </x:c>
      <x:c r="C55" s="124" t="s">
        <x:v>2016</x:v>
      </x:c>
      <x:c r="D55" s="124" t="s">
        <x:v>1581</x:v>
      </x:c>
      <x:c r="E55" s="124" t="s">
        <x:v>1251</x:v>
      </x:c>
      <x:c r="F55" s="124" t="s">
        <x:v>3123</x:v>
      </x:c>
      <x:c r="G55" s="124" t="s">
        <x:v>1289</x:v>
      </x:c>
      <x:c r="H55" s="124" t="str">
        <x:f>IFERROR(VLOOKUP(O55,'정보화기기 명부'!A$2:B$187,2,FALSE),"")</x:f>
        <x:v/>
      </x:c>
      <x:c r="I55" s="125" t="str">
        <x:f>IFERROR(VLOOKUP(O55,'학생용 IP'!$C$11:$H$326,5,FALSE),"")</x:f>
        <x:v/>
      </x:c>
      <x:c r="J55" s="124"/>
      <x:c r="K55" s="124"/>
      <x:c r="L55" s="171">
        <x:v>20201021</x:v>
      </x:c>
      <x:c r="M55" s="125">
        <x:v>447000</x:v>
      </x:c>
      <x:c r="N55" s="124" t="s">
        <x:v>2034</x:v>
      </x:c>
      <x:c r="O55" s="124" t="s">
        <x:v>1530</x:v>
      </x:c>
      <x:c r="P55" s="124">
        <x:v>871</x:v>
      </x:c>
      <x:c r="Q55" s="124" t="s">
        <x:v>3145</x:v>
      </x:c>
      <x:c r="R55" s="124" t="s">
        <x:v>2080</x:v>
      </x:c>
      <x:c r="S55" s="124" t="s">
        <x:v>1525</x:v>
      </x:c>
      <x:c r="T55" s="124" t="s">
        <x:v>2028</x:v>
      </x:c>
      <x:c r="U55" s="124"/>
      <x:c r="V55" s="124"/>
    </x:row>
    <x:row r="56" spans="1:22" s="23" customFormat="1" ht="17.39999999999999857891" customHeight="1">
      <x:c r="A56" s="157" t="str">
        <x:f>O56</x:f>
        <x:v>관리자</x:v>
      </x:c>
      <x:c r="B56" s="25" t="str">
        <x:f>L56&amp;"-"&amp;TEXT(P56,"0000")</x:f>
        <x:v>20201021-0870</x:v>
      </x:c>
      <x:c r="C56" s="124" t="s">
        <x:v>2016</x:v>
      </x:c>
      <x:c r="D56" s="124" t="s">
        <x:v>1581</x:v>
      </x:c>
      <x:c r="E56" s="124" t="s">
        <x:v>1251</x:v>
      </x:c>
      <x:c r="F56" s="124" t="s">
        <x:v>3123</x:v>
      </x:c>
      <x:c r="G56" s="124" t="s">
        <x:v>1289</x:v>
      </x:c>
      <x:c r="H56" s="124" t="str">
        <x:f>IFERROR(VLOOKUP(O56,'정보화기기 명부'!A$2:B$187,2,FALSE),"")</x:f>
        <x:v/>
      </x:c>
      <x:c r="I56" s="125" t="str">
        <x:f>IFERROR(VLOOKUP(O56,'학생용 IP'!$C$11:$H$326,5,FALSE),"")</x:f>
        <x:v/>
      </x:c>
      <x:c r="J56" s="124"/>
      <x:c r="K56" s="124"/>
      <x:c r="L56" s="171">
        <x:v>20201021</x:v>
      </x:c>
      <x:c r="M56" s="125">
        <x:v>447000</x:v>
      </x:c>
      <x:c r="N56" s="124" t="s">
        <x:v>2034</x:v>
      </x:c>
      <x:c r="O56" s="124" t="s">
        <x:v>1530</x:v>
      </x:c>
      <x:c r="P56" s="124">
        <x:v>870</x:v>
      </x:c>
      <x:c r="Q56" s="124" t="s">
        <x:v>3145</x:v>
      </x:c>
      <x:c r="R56" s="124" t="s">
        <x:v>2080</x:v>
      </x:c>
      <x:c r="S56" s="124" t="s">
        <x:v>1525</x:v>
      </x:c>
      <x:c r="T56" s="124" t="s">
        <x:v>2028</x:v>
      </x:c>
      <x:c r="U56" s="124"/>
      <x:c r="V56" s="124"/>
    </x:row>
    <x:row r="57" spans="1:22" s="23" customFormat="1" customHeight="1">
      <x:c r="A57" s="25" t="str">
        <x:f>O57</x:f>
        <x:v>관리자</x:v>
      </x:c>
      <x:c r="B57" s="25" t="str">
        <x:f>L57&amp;"-"&amp;TEXT(P57,"0000")</x:f>
        <x:v>20201021-0869</x:v>
      </x:c>
      <x:c r="C57" s="124" t="s">
        <x:v>2016</x:v>
      </x:c>
      <x:c r="D57" s="124" t="s">
        <x:v>1581</x:v>
      </x:c>
      <x:c r="E57" s="124" t="s">
        <x:v>1251</x:v>
      </x:c>
      <x:c r="F57" s="124" t="s">
        <x:v>3123</x:v>
      </x:c>
      <x:c r="G57" s="124" t="s">
        <x:v>1289</x:v>
      </x:c>
      <x:c r="H57" s="124" t="str">
        <x:f>IFERROR(VLOOKUP(O57,'정보화기기 명부'!A$2:B$187,2,FALSE),"")</x:f>
        <x:v/>
      </x:c>
      <x:c r="I57" s="125" t="str">
        <x:f>IFERROR(VLOOKUP(O57,'학생용 IP'!$C$11:$H$326,5,FALSE),"")</x:f>
        <x:v/>
      </x:c>
      <x:c r="J57" s="207"/>
      <x:c r="K57" s="207"/>
      <x:c r="L57" s="292">
        <x:v>20201021</x:v>
      </x:c>
      <x:c r="M57" s="125">
        <x:v>447000</x:v>
      </x:c>
      <x:c r="N57" s="124" t="s">
        <x:v>2034</x:v>
      </x:c>
      <x:c r="O57" s="124" t="s">
        <x:v>1530</x:v>
      </x:c>
      <x:c r="P57" s="124">
        <x:v>869</x:v>
      </x:c>
      <x:c r="Q57" s="124" t="s">
        <x:v>3145</x:v>
      </x:c>
      <x:c r="R57" s="124" t="s">
        <x:v>2080</x:v>
      </x:c>
      <x:c r="S57" s="124" t="s">
        <x:v>1525</x:v>
      </x:c>
      <x:c r="T57" s="124" t="s">
        <x:v>2028</x:v>
      </x:c>
      <x:c r="U57" s="124"/>
      <x:c r="V57" s="124"/>
    </x:row>
    <x:row r="58" spans="1:22" s="23" customFormat="1" ht="20.39999999999999857891" customHeight="1">
      <x:c r="A58" s="25" t="str">
        <x:f>O58</x:f>
        <x:v>관리자</x:v>
      </x:c>
      <x:c r="B58" s="25" t="str">
        <x:f>L58&amp;"-"&amp;TEXT(P58,"0000")</x:f>
        <x:v>20201021-0868</x:v>
      </x:c>
      <x:c r="C58" s="124" t="s">
        <x:v>2016</x:v>
      </x:c>
      <x:c r="D58" s="124" t="s">
        <x:v>1581</x:v>
      </x:c>
      <x:c r="E58" s="124" t="s">
        <x:v>1251</x:v>
      </x:c>
      <x:c r="F58" s="124" t="s">
        <x:v>3123</x:v>
      </x:c>
      <x:c r="G58" s="124" t="s">
        <x:v>1289</x:v>
      </x:c>
      <x:c r="H58" s="124" t="str">
        <x:f>IFERROR(VLOOKUP(O58,'정보화기기 명부'!A$2:B$187,2,FALSE),"")</x:f>
        <x:v/>
      </x:c>
      <x:c r="I58" s="125" t="str">
        <x:f>IFERROR(VLOOKUP(O58,'학생용 IP'!$C$11:$H$326,5,FALSE),"")</x:f>
        <x:v/>
      </x:c>
      <x:c r="J58" s="207"/>
      <x:c r="K58" s="207"/>
      <x:c r="L58" s="292">
        <x:v>20201021</x:v>
      </x:c>
      <x:c r="M58" s="125">
        <x:v>447000</x:v>
      </x:c>
      <x:c r="N58" s="124" t="s">
        <x:v>2034</x:v>
      </x:c>
      <x:c r="O58" s="124" t="s">
        <x:v>1530</x:v>
      </x:c>
      <x:c r="P58" s="124">
        <x:v>868</x:v>
      </x:c>
      <x:c r="Q58" s="124" t="s">
        <x:v>3145</x:v>
      </x:c>
      <x:c r="R58" s="124" t="s">
        <x:v>2080</x:v>
      </x:c>
      <x:c r="S58" s="124" t="s">
        <x:v>1525</x:v>
      </x:c>
      <x:c r="T58" s="124" t="s">
        <x:v>2028</x:v>
      </x:c>
      <x:c r="U58" s="124"/>
      <x:c r="V58" s="124"/>
    </x:row>
    <x:row r="59" spans="1:22" s="23" customFormat="1" ht="11.40000000000000035527" customHeight="1">
      <x:c r="A59" s="25" t="str">
        <x:f>O59</x:f>
        <x:v>관리자</x:v>
      </x:c>
      <x:c r="B59" s="25" t="str">
        <x:f>L59&amp;"-"&amp;TEXT(P59,"0000")</x:f>
        <x:v>20201021-0867</x:v>
      </x:c>
      <x:c r="C59" s="124" t="s">
        <x:v>2016</x:v>
      </x:c>
      <x:c r="D59" s="124" t="s">
        <x:v>1581</x:v>
      </x:c>
      <x:c r="E59" s="124" t="s">
        <x:v>1251</x:v>
      </x:c>
      <x:c r="F59" s="124" t="s">
        <x:v>3123</x:v>
      </x:c>
      <x:c r="G59" s="124" t="s">
        <x:v>1289</x:v>
      </x:c>
      <x:c r="H59" s="124" t="str">
        <x:f>IFERROR(VLOOKUP(O59,'정보화기기 명부'!A$2:B$187,2,FALSE),"")</x:f>
        <x:v/>
      </x:c>
      <x:c r="I59" s="125" t="str">
        <x:f>IFERROR(VLOOKUP(O59,'학생용 IP'!$C$11:$H$326,5,FALSE),"")</x:f>
        <x:v/>
      </x:c>
      <x:c r="J59" s="124"/>
      <x:c r="K59" s="124"/>
      <x:c r="L59" s="292">
        <x:v>20201021</x:v>
      </x:c>
      <x:c r="M59" s="125">
        <x:v>447000</x:v>
      </x:c>
      <x:c r="N59" s="124" t="s">
        <x:v>2034</x:v>
      </x:c>
      <x:c r="O59" s="124" t="s">
        <x:v>1530</x:v>
      </x:c>
      <x:c r="P59" s="124">
        <x:v>867</x:v>
      </x:c>
      <x:c r="Q59" s="124" t="s">
        <x:v>3145</x:v>
      </x:c>
      <x:c r="R59" s="124" t="s">
        <x:v>2080</x:v>
      </x:c>
      <x:c r="S59" s="124" t="s">
        <x:v>1525</x:v>
      </x:c>
      <x:c r="T59" s="124" t="s">
        <x:v>2028</x:v>
      </x:c>
      <x:c r="U59" s="124"/>
      <x:c r="V59" s="124"/>
    </x:row>
    <x:row r="60" spans="1:22" s="23" customFormat="1" ht="10.75" customHeight="1">
      <x:c r="A60" s="25" t="str">
        <x:f>O60</x:f>
        <x:v>관리자</x:v>
      </x:c>
      <x:c r="B60" s="25" t="str">
        <x:f>L60&amp;"-"&amp;TEXT(P60,"0000")</x:f>
        <x:v>20201021-0866</x:v>
      </x:c>
      <x:c r="C60" s="124" t="s">
        <x:v>2016</x:v>
      </x:c>
      <x:c r="D60" s="124" t="s">
        <x:v>1581</x:v>
      </x:c>
      <x:c r="E60" s="124" t="s">
        <x:v>1251</x:v>
      </x:c>
      <x:c r="F60" s="124" t="s">
        <x:v>3123</x:v>
      </x:c>
      <x:c r="G60" s="124" t="s">
        <x:v>1289</x:v>
      </x:c>
      <x:c r="H60" s="124" t="str">
        <x:f>IFERROR(VLOOKUP(O60,'정보화기기 명부'!A$2:B$187,2,FALSE),"")</x:f>
        <x:v/>
      </x:c>
      <x:c r="I60" s="125" t="str">
        <x:f>IFERROR(VLOOKUP(O60,'학생용 IP'!$C$11:$H$326,5,FALSE),"")</x:f>
        <x:v/>
      </x:c>
      <x:c r="J60" s="124"/>
      <x:c r="K60" s="124"/>
      <x:c r="L60" s="292">
        <x:v>20201021</x:v>
      </x:c>
      <x:c r="M60" s="125">
        <x:v>447000</x:v>
      </x:c>
      <x:c r="N60" s="124" t="s">
        <x:v>2034</x:v>
      </x:c>
      <x:c r="O60" s="124" t="s">
        <x:v>1530</x:v>
      </x:c>
      <x:c r="P60" s="124">
        <x:v>866</x:v>
      </x:c>
      <x:c r="Q60" s="124" t="s">
        <x:v>3145</x:v>
      </x:c>
      <x:c r="R60" s="124" t="s">
        <x:v>2080</x:v>
      </x:c>
      <x:c r="S60" s="124" t="s">
        <x:v>1525</x:v>
      </x:c>
      <x:c r="T60" s="124" t="s">
        <x:v>2028</x:v>
      </x:c>
      <x:c r="U60" s="124"/>
      <x:c r="V60" s="124"/>
    </x:row>
    <x:row r="61" spans="1:22" s="23" customFormat="1" ht="13.25" customHeight="1">
      <x:c r="A61" s="25" t="str">
        <x:f>O61</x:f>
        <x:v>관리자</x:v>
      </x:c>
      <x:c r="B61" s="25" t="str">
        <x:f>L61&amp;"-"&amp;TEXT(P61,"0000")</x:f>
        <x:v>20201021-0865</x:v>
      </x:c>
      <x:c r="C61" s="124" t="s">
        <x:v>2016</x:v>
      </x:c>
      <x:c r="D61" s="124" t="s">
        <x:v>1581</x:v>
      </x:c>
      <x:c r="E61" s="124" t="s">
        <x:v>1251</x:v>
      </x:c>
      <x:c r="F61" s="124" t="s">
        <x:v>3123</x:v>
      </x:c>
      <x:c r="G61" s="124" t="s">
        <x:v>1289</x:v>
      </x:c>
      <x:c r="H61" s="124" t="str">
        <x:f>IFERROR(VLOOKUP(O61,'정보화기기 명부'!A$2:B$187,2,FALSE),"")</x:f>
        <x:v/>
      </x:c>
      <x:c r="I61" s="125" t="str">
        <x:f>IFERROR(VLOOKUP(O61,'학생용 IP'!$C$11:$H$326,5,FALSE),"")</x:f>
        <x:v/>
      </x:c>
      <x:c r="J61" s="124"/>
      <x:c r="K61" s="124"/>
      <x:c r="L61" s="292">
        <x:v>20201021</x:v>
      </x:c>
      <x:c r="M61" s="125">
        <x:v>447000</x:v>
      </x:c>
      <x:c r="N61" s="124" t="s">
        <x:v>2034</x:v>
      </x:c>
      <x:c r="O61" s="124" t="s">
        <x:v>1530</x:v>
      </x:c>
      <x:c r="P61" s="124">
        <x:v>865</x:v>
      </x:c>
      <x:c r="Q61" s="124" t="s">
        <x:v>3145</x:v>
      </x:c>
      <x:c r="R61" s="124" t="s">
        <x:v>2080</x:v>
      </x:c>
      <x:c r="S61" s="124" t="s">
        <x:v>1525</x:v>
      </x:c>
      <x:c r="T61" s="124" t="s">
        <x:v>2028</x:v>
      </x:c>
      <x:c r="U61" s="124"/>
      <x:c r="V61" s="124"/>
    </x:row>
    <x:row r="62" spans="1:22" s="23" customFormat="1" ht="9" customHeight="1">
      <x:c r="A62" s="25" t="str">
        <x:f>O62</x:f>
        <x:v>관리자</x:v>
      </x:c>
      <x:c r="B62" s="25" t="str">
        <x:f>L62&amp;"-"&amp;TEXT(P62,"0000")</x:f>
        <x:v>20201021-0864</x:v>
      </x:c>
      <x:c r="C62" s="124" t="s">
        <x:v>2016</x:v>
      </x:c>
      <x:c r="D62" s="124" t="s">
        <x:v>1581</x:v>
      </x:c>
      <x:c r="E62" s="124" t="s">
        <x:v>1251</x:v>
      </x:c>
      <x:c r="F62" s="124" t="s">
        <x:v>3123</x:v>
      </x:c>
      <x:c r="G62" s="124" t="s">
        <x:v>1289</x:v>
      </x:c>
      <x:c r="H62" s="124" t="str">
        <x:f>IFERROR(VLOOKUP(O62,'정보화기기 명부'!A$2:B$187,2,FALSE),"")</x:f>
        <x:v/>
      </x:c>
      <x:c r="I62" s="125" t="str">
        <x:f>IFERROR(VLOOKUP(O62,'학생용 IP'!$C$11:$H$326,5,FALSE),"")</x:f>
        <x:v/>
      </x:c>
      <x:c r="J62" s="124"/>
      <x:c r="K62" s="124"/>
      <x:c r="L62" s="292">
        <x:v>20201021</x:v>
      </x:c>
      <x:c r="M62" s="125">
        <x:v>447000</x:v>
      </x:c>
      <x:c r="N62" s="124" t="s">
        <x:v>2034</x:v>
      </x:c>
      <x:c r="O62" s="124" t="s">
        <x:v>1530</x:v>
      </x:c>
      <x:c r="P62" s="124">
        <x:v>864</x:v>
      </x:c>
      <x:c r="Q62" s="124" t="s">
        <x:v>3145</x:v>
      </x:c>
      <x:c r="R62" s="124" t="s">
        <x:v>2080</x:v>
      </x:c>
      <x:c r="S62" s="124" t="s">
        <x:v>1525</x:v>
      </x:c>
      <x:c r="T62" s="124" t="s">
        <x:v>2028</x:v>
      </x:c>
      <x:c r="U62" s="124"/>
      <x:c r="V62" s="124"/>
    </x:row>
    <x:row r="63" spans="1:22" s="23" customFormat="1" ht="8.40000000000000035527" customHeight="1">
      <x:c r="A63" s="25" t="str">
        <x:f>O63</x:f>
        <x:v>관리자</x:v>
      </x:c>
      <x:c r="B63" s="25" t="str">
        <x:f>L63&amp;"-"&amp;TEXT(P63,"0000")</x:f>
        <x:v>20201021-0863</x:v>
      </x:c>
      <x:c r="C63" s="124" t="s">
        <x:v>2016</x:v>
      </x:c>
      <x:c r="D63" s="124" t="s">
        <x:v>1581</x:v>
      </x:c>
      <x:c r="E63" s="124" t="s">
        <x:v>1251</x:v>
      </x:c>
      <x:c r="F63" s="124" t="s">
        <x:v>3123</x:v>
      </x:c>
      <x:c r="G63" s="124" t="s">
        <x:v>1289</x:v>
      </x:c>
      <x:c r="H63" s="124" t="str">
        <x:f>IFERROR(VLOOKUP(O63,'정보화기기 명부'!A$2:B$187,2,FALSE),"")</x:f>
        <x:v/>
      </x:c>
      <x:c r="I63" s="125" t="str">
        <x:f>IFERROR(VLOOKUP(O63,'학생용 IP'!$C$11:$H$326,5,FALSE),"")</x:f>
        <x:v/>
      </x:c>
      <x:c r="J63" s="124"/>
      <x:c r="K63" s="124"/>
      <x:c r="L63" s="292">
        <x:v>20201021</x:v>
      </x:c>
      <x:c r="M63" s="125">
        <x:v>447000</x:v>
      </x:c>
      <x:c r="N63" s="124" t="s">
        <x:v>2034</x:v>
      </x:c>
      <x:c r="O63" s="124" t="s">
        <x:v>1530</x:v>
      </x:c>
      <x:c r="P63" s="124">
        <x:v>863</x:v>
      </x:c>
      <x:c r="Q63" s="124" t="s">
        <x:v>3145</x:v>
      </x:c>
      <x:c r="R63" s="124" t="s">
        <x:v>2080</x:v>
      </x:c>
      <x:c r="S63" s="124" t="s">
        <x:v>1525</x:v>
      </x:c>
      <x:c r="T63" s="124" t="s">
        <x:v>2028</x:v>
      </x:c>
      <x:c r="U63" s="124"/>
      <x:c r="V63" s="124"/>
    </x:row>
    <x:row r="64" spans="1:22" s="23" customFormat="1" ht="12.65000000000000035527" customHeight="1">
      <x:c r="A64" s="25" t="str">
        <x:f>O64</x:f>
        <x:v>관리자</x:v>
      </x:c>
      <x:c r="B64" s="25" t="str">
        <x:f>L64&amp;"-"&amp;TEXT(P64,"0000")</x:f>
        <x:v>20201021-0862</x:v>
      </x:c>
      <x:c r="C64" s="124" t="s">
        <x:v>2016</x:v>
      </x:c>
      <x:c r="D64" s="124" t="s">
        <x:v>1581</x:v>
      </x:c>
      <x:c r="E64" s="124" t="s">
        <x:v>1251</x:v>
      </x:c>
      <x:c r="F64" s="124" t="s">
        <x:v>3123</x:v>
      </x:c>
      <x:c r="G64" s="124" t="s">
        <x:v>1289</x:v>
      </x:c>
      <x:c r="H64" s="124" t="str">
        <x:f>IFERROR(VLOOKUP(O64,'정보화기기 명부'!A$2:B$187,2,FALSE),"")</x:f>
        <x:v/>
      </x:c>
      <x:c r="I64" s="125" t="str">
        <x:f>IFERROR(VLOOKUP(O64,'학생용 IP'!$C$11:$H$326,5,FALSE),"")</x:f>
        <x:v/>
      </x:c>
      <x:c r="J64" s="124"/>
      <x:c r="K64" s="124"/>
      <x:c r="L64" s="292">
        <x:v>20201021</x:v>
      </x:c>
      <x:c r="M64" s="125">
        <x:v>447000</x:v>
      </x:c>
      <x:c r="N64" s="124" t="s">
        <x:v>2034</x:v>
      </x:c>
      <x:c r="O64" s="124" t="s">
        <x:v>1530</x:v>
      </x:c>
      <x:c r="P64" s="124">
        <x:v>862</x:v>
      </x:c>
      <x:c r="Q64" s="124" t="s">
        <x:v>3145</x:v>
      </x:c>
      <x:c r="R64" s="124" t="s">
        <x:v>2080</x:v>
      </x:c>
      <x:c r="S64" s="124" t="s">
        <x:v>1525</x:v>
      </x:c>
      <x:c r="T64" s="124" t="s">
        <x:v>2028</x:v>
      </x:c>
      <x:c r="U64" s="124"/>
      <x:c r="V64" s="124"/>
    </x:row>
    <x:row r="65" spans="1:22" s="23" customFormat="1" ht="16.25" customHeight="1">
      <x:c r="A65" s="25" t="str">
        <x:f>O65</x:f>
        <x:v>관리자</x:v>
      </x:c>
      <x:c r="B65" s="25" t="str">
        <x:f>L65&amp;"-"&amp;TEXT(P65,"0000")</x:f>
        <x:v>20201021-0861</x:v>
      </x:c>
      <x:c r="C65" s="124" t="s">
        <x:v>2016</x:v>
      </x:c>
      <x:c r="D65" s="124" t="s">
        <x:v>1581</x:v>
      </x:c>
      <x:c r="E65" s="124" t="s">
        <x:v>1251</x:v>
      </x:c>
      <x:c r="F65" s="124" t="s">
        <x:v>3123</x:v>
      </x:c>
      <x:c r="G65" s="124" t="s">
        <x:v>1289</x:v>
      </x:c>
      <x:c r="H65" s="124" t="str">
        <x:f>IFERROR(VLOOKUP(O65,'정보화기기 명부'!A$2:B$187,2,FALSE),"")</x:f>
        <x:v/>
      </x:c>
      <x:c r="I65" s="125" t="str">
        <x:f>IFERROR(VLOOKUP(O65,'학생용 IP'!$C$11:$H$326,5,FALSE),"")</x:f>
        <x:v/>
      </x:c>
      <x:c r="J65" s="124"/>
      <x:c r="K65" s="124"/>
      <x:c r="L65" s="292">
        <x:v>20201021</x:v>
      </x:c>
      <x:c r="M65" s="125">
        <x:v>447000</x:v>
      </x:c>
      <x:c r="N65" s="124" t="s">
        <x:v>2034</x:v>
      </x:c>
      <x:c r="O65" s="207" t="s">
        <x:v>1530</x:v>
      </x:c>
      <x:c r="P65" s="124">
        <x:v>861</x:v>
      </x:c>
      <x:c r="Q65" s="124" t="s">
        <x:v>3145</x:v>
      </x:c>
      <x:c r="R65" s="124" t="s">
        <x:v>2080</x:v>
      </x:c>
      <x:c r="S65" s="124" t="s">
        <x:v>1525</x:v>
      </x:c>
      <x:c r="T65" s="124" t="s">
        <x:v>2028</x:v>
      </x:c>
      <x:c r="U65" s="124"/>
      <x:c r="V65" s="124"/>
    </x:row>
    <x:row r="66" spans="1:22" s="23" customFormat="1" ht="9" customHeight="1">
      <x:c r="A66" s="25" t="str">
        <x:f>O66</x:f>
        <x:v>관리자</x:v>
      </x:c>
      <x:c r="B66" s="25" t="str">
        <x:f>L66&amp;"-"&amp;TEXT(P66,"0000")</x:f>
        <x:v>20201021-0860</x:v>
      </x:c>
      <x:c r="C66" s="124" t="s">
        <x:v>2016</x:v>
      </x:c>
      <x:c r="D66" s="124" t="s">
        <x:v>1581</x:v>
      </x:c>
      <x:c r="E66" s="124" t="s">
        <x:v>1251</x:v>
      </x:c>
      <x:c r="F66" s="124" t="s">
        <x:v>3123</x:v>
      </x:c>
      <x:c r="G66" s="124" t="s">
        <x:v>1289</x:v>
      </x:c>
      <x:c r="H66" s="124" t="str">
        <x:f>IFERROR(VLOOKUP(O66,'정보화기기 명부'!A$2:B$187,2,FALSE),"")</x:f>
        <x:v/>
      </x:c>
      <x:c r="I66" s="125" t="str">
        <x:f>IFERROR(VLOOKUP(O66,'학생용 IP'!$C$11:$H$326,5,FALSE),"")</x:f>
        <x:v/>
      </x:c>
      <x:c r="J66" s="124"/>
      <x:c r="K66" s="124"/>
      <x:c r="L66" s="292">
        <x:v>20201021</x:v>
      </x:c>
      <x:c r="M66" s="125">
        <x:v>447000</x:v>
      </x:c>
      <x:c r="N66" s="124" t="s">
        <x:v>2034</x:v>
      </x:c>
      <x:c r="O66" s="207" t="s">
        <x:v>1530</x:v>
      </x:c>
      <x:c r="P66" s="124">
        <x:v>860</x:v>
      </x:c>
      <x:c r="Q66" s="124" t="s">
        <x:v>3145</x:v>
      </x:c>
      <x:c r="R66" s="124" t="s">
        <x:v>2080</x:v>
      </x:c>
      <x:c r="S66" s="124" t="s">
        <x:v>1525</x:v>
      </x:c>
      <x:c r="T66" s="124" t="s">
        <x:v>2028</x:v>
      </x:c>
      <x:c r="U66" s="124"/>
      <x:c r="V66" s="124"/>
    </x:row>
    <x:row r="67" spans="1:22" s="23" customFormat="1" ht="7.25" customHeight="1">
      <x:c r="A67" s="25" t="str">
        <x:f>O67</x:f>
        <x:v>관리자</x:v>
      </x:c>
      <x:c r="B67" s="25" t="str">
        <x:f>L67&amp;"-"&amp;TEXT(P67,"0000")</x:f>
        <x:v>20201021-0859</x:v>
      </x:c>
      <x:c r="C67" s="124" t="s">
        <x:v>2016</x:v>
      </x:c>
      <x:c r="D67" s="124" t="s">
        <x:v>1581</x:v>
      </x:c>
      <x:c r="E67" s="124" t="s">
        <x:v>1251</x:v>
      </x:c>
      <x:c r="F67" s="124" t="s">
        <x:v>3123</x:v>
      </x:c>
      <x:c r="G67" s="124" t="s">
        <x:v>1289</x:v>
      </x:c>
      <x:c r="H67" s="124" t="str">
        <x:f>IFERROR(VLOOKUP(O67,'정보화기기 명부'!A$2:B$187,2,FALSE),"")</x:f>
        <x:v/>
      </x:c>
      <x:c r="I67" s="125" t="str">
        <x:f>IFERROR(VLOOKUP(O67,'학생용 IP'!$C$11:$H$326,5,FALSE),"")</x:f>
        <x:v/>
      </x:c>
      <x:c r="J67" s="124"/>
      <x:c r="K67" s="124"/>
      <x:c r="L67" s="292">
        <x:v>20201021</x:v>
      </x:c>
      <x:c r="M67" s="125">
        <x:v>447000</x:v>
      </x:c>
      <x:c r="N67" s="124" t="s">
        <x:v>2034</x:v>
      </x:c>
      <x:c r="O67" s="124" t="s">
        <x:v>1530</x:v>
      </x:c>
      <x:c r="P67" s="124">
        <x:v>859</x:v>
      </x:c>
      <x:c r="Q67" s="124" t="s">
        <x:v>3145</x:v>
      </x:c>
      <x:c r="R67" s="124" t="s">
        <x:v>2080</x:v>
      </x:c>
      <x:c r="S67" s="124" t="s">
        <x:v>1525</x:v>
      </x:c>
      <x:c r="T67" s="124" t="s">
        <x:v>2028</x:v>
      </x:c>
      <x:c r="U67" s="124"/>
      <x:c r="V67" s="124"/>
    </x:row>
    <x:row r="68" spans="1:22" s="23" customFormat="1" ht="8.40000000000000035527" customHeight="1">
      <x:c r="A68" s="25" t="str">
        <x:f>O68</x:f>
        <x:v>관리자</x:v>
      </x:c>
      <x:c r="B68" s="25" t="str">
        <x:f>L68&amp;"-"&amp;TEXT(P68,"0000")</x:f>
        <x:v>20201021-0858</x:v>
      </x:c>
      <x:c r="C68" s="124" t="s">
        <x:v>2016</x:v>
      </x:c>
      <x:c r="D68" s="124" t="s">
        <x:v>1581</x:v>
      </x:c>
      <x:c r="E68" s="124" t="s">
        <x:v>1251</x:v>
      </x:c>
      <x:c r="F68" s="124" t="s">
        <x:v>3123</x:v>
      </x:c>
      <x:c r="G68" s="124" t="s">
        <x:v>1289</x:v>
      </x:c>
      <x:c r="H68" s="124" t="str">
        <x:f>IFERROR(VLOOKUP(O68,'정보화기기 명부'!A$2:B$187,2,FALSE),"")</x:f>
        <x:v/>
      </x:c>
      <x:c r="I68" s="125" t="str">
        <x:f>IFERROR(VLOOKUP(O68,'학생용 IP'!$C$11:$H$326,5,FALSE),"")</x:f>
        <x:v/>
      </x:c>
      <x:c r="J68" s="124"/>
      <x:c r="K68" s="124"/>
      <x:c r="L68" s="292">
        <x:v>20201021</x:v>
      </x:c>
      <x:c r="M68" s="125">
        <x:v>447000</x:v>
      </x:c>
      <x:c r="N68" s="124" t="s">
        <x:v>2034</x:v>
      </x:c>
      <x:c r="O68" s="124" t="s">
        <x:v>1530</x:v>
      </x:c>
      <x:c r="P68" s="124">
        <x:v>858</x:v>
      </x:c>
      <x:c r="Q68" s="124" t="s">
        <x:v>3145</x:v>
      </x:c>
      <x:c r="R68" s="124" t="s">
        <x:v>2080</x:v>
      </x:c>
      <x:c r="S68" s="124" t="s">
        <x:v>1525</x:v>
      </x:c>
      <x:c r="T68" s="124" t="s">
        <x:v>2028</x:v>
      </x:c>
      <x:c r="U68" s="124"/>
      <x:c r="V68" s="124"/>
    </x:row>
    <x:row r="69" spans="1:22" s="23" customFormat="1" ht="9.65000000000000035527" customHeight="1">
      <x:c r="A69" s="25" t="str">
        <x:f>O69</x:f>
        <x:v>관리자</x:v>
      </x:c>
      <x:c r="B69" s="25" t="str">
        <x:f>L69&amp;"-"&amp;TEXT(P69,"0000")</x:f>
        <x:v>20201021-0857</x:v>
      </x:c>
      <x:c r="C69" s="124" t="s">
        <x:v>2016</x:v>
      </x:c>
      <x:c r="D69" s="124" t="s">
        <x:v>1581</x:v>
      </x:c>
      <x:c r="E69" s="124" t="s">
        <x:v>1251</x:v>
      </x:c>
      <x:c r="F69" s="124" t="s">
        <x:v>3123</x:v>
      </x:c>
      <x:c r="G69" s="124" t="s">
        <x:v>1289</x:v>
      </x:c>
      <x:c r="H69" s="124" t="str">
        <x:f>IFERROR(VLOOKUP(O69,'정보화기기 명부'!A$2:B$187,2,FALSE),"")</x:f>
        <x:v/>
      </x:c>
      <x:c r="I69" s="125" t="str">
        <x:f>IFERROR(VLOOKUP(O69,'학생용 IP'!$C$11:$H$326,5,FALSE),"")</x:f>
        <x:v/>
      </x:c>
      <x:c r="J69" s="124"/>
      <x:c r="K69" s="124"/>
      <x:c r="L69" s="292">
        <x:v>20201021</x:v>
      </x:c>
      <x:c r="M69" s="125">
        <x:v>447000</x:v>
      </x:c>
      <x:c r="N69" s="124" t="s">
        <x:v>2034</x:v>
      </x:c>
      <x:c r="O69" s="124" t="s">
        <x:v>1530</x:v>
      </x:c>
      <x:c r="P69" s="124">
        <x:v>857</x:v>
      </x:c>
      <x:c r="Q69" s="124" t="s">
        <x:v>3145</x:v>
      </x:c>
      <x:c r="R69" s="124" t="s">
        <x:v>2080</x:v>
      </x:c>
      <x:c r="S69" s="124" t="s">
        <x:v>1525</x:v>
      </x:c>
      <x:c r="T69" s="124" t="s">
        <x:v>2028</x:v>
      </x:c>
      <x:c r="U69" s="124"/>
      <x:c r="V69" s="124"/>
    </x:row>
    <x:row r="70" spans="1:22" s="23" customFormat="1" ht="5.40000000000000035527" customHeight="1">
      <x:c r="A70" s="25" t="str">
        <x:f>O70</x:f>
        <x:v>관리자</x:v>
      </x:c>
      <x:c r="B70" s="25" t="str">
        <x:f>L70&amp;"-"&amp;TEXT(P70,"0000")</x:f>
        <x:v>20201021-0856</x:v>
      </x:c>
      <x:c r="C70" s="124" t="s">
        <x:v>2016</x:v>
      </x:c>
      <x:c r="D70" s="124" t="s">
        <x:v>1581</x:v>
      </x:c>
      <x:c r="E70" s="124" t="s">
        <x:v>1251</x:v>
      </x:c>
      <x:c r="F70" s="124" t="s">
        <x:v>3123</x:v>
      </x:c>
      <x:c r="G70" s="124" t="s">
        <x:v>1289</x:v>
      </x:c>
      <x:c r="H70" s="124" t="str">
        <x:f>IFERROR(VLOOKUP(O70,'정보화기기 명부'!A$2:B$187,2,FALSE),"")</x:f>
        <x:v/>
      </x:c>
      <x:c r="I70" s="125" t="str">
        <x:f>IFERROR(VLOOKUP(O70,'학생용 IP'!$C$11:$H$326,5,FALSE),"")</x:f>
        <x:v/>
      </x:c>
      <x:c r="J70" s="124"/>
      <x:c r="K70" s="124"/>
      <x:c r="L70" s="292">
        <x:v>20201021</x:v>
      </x:c>
      <x:c r="M70" s="125">
        <x:v>447000</x:v>
      </x:c>
      <x:c r="N70" s="124" t="s">
        <x:v>2034</x:v>
      </x:c>
      <x:c r="O70" s="124" t="s">
        <x:v>1530</x:v>
      </x:c>
      <x:c r="P70" s="124">
        <x:v>856</x:v>
      </x:c>
      <x:c r="Q70" s="124" t="s">
        <x:v>3145</x:v>
      </x:c>
      <x:c r="R70" s="124" t="s">
        <x:v>2080</x:v>
      </x:c>
      <x:c r="S70" s="124" t="s">
        <x:v>1525</x:v>
      </x:c>
      <x:c r="T70" s="124" t="s">
        <x:v>2028</x:v>
      </x:c>
      <x:c r="U70" s="124"/>
      <x:c r="V70" s="124"/>
    </x:row>
    <x:row r="71" spans="1:22" s="23" customFormat="1" ht="9.65000000000000035527" customHeight="1">
      <x:c r="A71" s="25" t="str">
        <x:f>O71</x:f>
        <x:v>관리자</x:v>
      </x:c>
      <x:c r="B71" s="25" t="str">
        <x:f>L71&amp;"-"&amp;TEXT(P71,"0000")</x:f>
        <x:v>20201021-0855</x:v>
      </x:c>
      <x:c r="C71" s="124" t="s">
        <x:v>2016</x:v>
      </x:c>
      <x:c r="D71" s="124" t="s">
        <x:v>1581</x:v>
      </x:c>
      <x:c r="E71" s="124" t="s">
        <x:v>1251</x:v>
      </x:c>
      <x:c r="F71" s="124" t="s">
        <x:v>3123</x:v>
      </x:c>
      <x:c r="G71" s="124" t="s">
        <x:v>1289</x:v>
      </x:c>
      <x:c r="H71" s="124" t="str">
        <x:f>IFERROR(VLOOKUP(O71,'정보화기기 명부'!A$2:B$187,2,FALSE),"")</x:f>
        <x:v/>
      </x:c>
      <x:c r="I71" s="125" t="str">
        <x:f>IFERROR(VLOOKUP(O71,'학생용 IP'!$C$11:$H$326,5,FALSE),"")</x:f>
        <x:v/>
      </x:c>
      <x:c r="J71" s="124"/>
      <x:c r="K71" s="124"/>
      <x:c r="L71" s="292">
        <x:v>20201021</x:v>
      </x:c>
      <x:c r="M71" s="125">
        <x:v>447000</x:v>
      </x:c>
      <x:c r="N71" s="124" t="s">
        <x:v>2034</x:v>
      </x:c>
      <x:c r="O71" s="124" t="s">
        <x:v>1530</x:v>
      </x:c>
      <x:c r="P71" s="124">
        <x:v>855</x:v>
      </x:c>
      <x:c r="Q71" s="124" t="s">
        <x:v>3145</x:v>
      </x:c>
      <x:c r="R71" s="124" t="s">
        <x:v>2080</x:v>
      </x:c>
      <x:c r="S71" s="124" t="s">
        <x:v>1525</x:v>
      </x:c>
      <x:c r="T71" s="124" t="s">
        <x:v>2028</x:v>
      </x:c>
      <x:c r="U71" s="124"/>
      <x:c r="V71" s="124"/>
    </x:row>
    <x:row r="72" spans="1:22" s="23" customFormat="1" customHeight="1">
      <x:c r="A72" s="25" t="str">
        <x:f>O72</x:f>
        <x:v>방송실 편집용</x:v>
      </x:c>
      <x:c r="B72" s="25" t="str">
        <x:f>L72&amp;"-"&amp;TEXT(P72,"0000")</x:f>
        <x:v>20200925-0854</x:v>
      </x:c>
      <x:c r="C72" s="124" t="s">
        <x:v>1978</x:v>
      </x:c>
      <x:c r="D72" s="124" t="s">
        <x:v>1581</x:v>
      </x:c>
      <x:c r="E72" s="124" t="s">
        <x:v>1568</x:v>
      </x:c>
      <x:c r="F72" s="124" t="s">
        <x:v>1541</x:v>
      </x:c>
      <x:c r="G72" s="124" t="s">
        <x:v>1541</x:v>
      </x:c>
      <x:c r="H72" s="124" t="str">
        <x:f>IFERROR(VLOOKUP(O72,'정보화기기 명부'!A$2:B$187,2,FALSE),"")</x:f>
        <x:v>방송실</x:v>
      </x:c>
      <x:c r="I72" s="187" t="str">
        <x:f>IFERROR(VLOOKUP(O72,'학생용 IP'!$C$11:$H$326,5,FALSE),"")</x:f>
        <x:v>10.54.36.102</x:v>
      </x:c>
      <x:c r="J72" s="124"/>
      <x:c r="K72" s="124"/>
      <x:c r="L72" s="172">
        <x:v>20200925</x:v>
      </x:c>
      <x:c r="M72" s="125">
        <x:v>915000</x:v>
      </x:c>
      <x:c r="N72" s="124" t="s">
        <x:v>2034</x:v>
      </x:c>
      <x:c r="O72" s="124" t="s">
        <x:v>2077</x:v>
      </x:c>
      <x:c r="P72" s="124">
        <x:v>854</x:v>
      </x:c>
      <x:c r="Q72" s="124" t="s">
        <x:v>693</x:v>
      </x:c>
      <x:c r="R72" s="124" t="s">
        <x:v>2050</x:v>
      </x:c>
      <x:c r="S72" s="124" t="s">
        <x:v>2069</x:v>
      </x:c>
      <x:c r="T72" s="124" t="s">
        <x:v>1532</x:v>
      </x:c>
      <x:c r="U72" s="124"/>
      <x:c r="V72" s="124"/>
    </x:row>
    <x:row r="73" spans="1:22" s="23" customFormat="1" customHeight="1">
      <x:c r="A73" s="282" t="str">
        <x:f>O73</x:f>
        <x:v>교사 예비용 11</x:v>
      </x:c>
      <x:c r="B73" s="211" t="str">
        <x:f>L73&amp;"-"&amp;TEXT(P73,"0000")</x:f>
        <x:v>20200901-0848</x:v>
      </x:c>
      <x:c r="C73" s="391" t="s">
        <x:v>1564</x:v>
      </x:c>
      <x:c r="D73" s="391" t="s">
        <x:v>1581</x:v>
      </x:c>
      <x:c r="E73" s="391" t="s">
        <x:v>1251</x:v>
      </x:c>
      <x:c r="F73" s="391">
        <x:v>0</x:v>
      </x:c>
      <x:c r="G73" s="391" t="s">
        <x:v>1289</x:v>
      </x:c>
      <x:c r="H73" s="399"/>
      <x:c r="I73" s="391" t="str">
        <x:f>IFERROR(VLOOKUP(O73,'교직원용 IP'!$C$2:$H$230,6,FALSE),"")</x:f>
        <x:v/>
      </x:c>
      <x:c r="J73" s="391"/>
      <x:c r="K73" s="391"/>
      <x:c r="L73" s="290">
        <x:v>20200901</x:v>
      </x:c>
      <x:c r="M73" s="392">
        <x:v>820000</x:v>
      </x:c>
      <x:c r="N73" s="391" t="s">
        <x:v>1965</x:v>
      </x:c>
      <x:c r="O73" s="391" t="s">
        <x:v>840</x:v>
      </x:c>
      <x:c r="P73" s="124">
        <x:v>848</x:v>
      </x:c>
      <x:c r="Q73" s="124" t="s">
        <x:v>693</x:v>
      </x:c>
      <x:c r="R73" s="124" t="s">
        <x:v>2049</x:v>
      </x:c>
      <x:c r="S73" s="124" t="s">
        <x:v>1572</x:v>
      </x:c>
      <x:c r="T73" s="124" t="s">
        <x:v>2055</x:v>
      </x:c>
      <x:c r="U73" s="124"/>
      <x:c r="V73" s="124" t="s">
        <x:v>1561</x:v>
      </x:c>
    </x:row>
    <x:row r="74" spans="1:22" s="23" customFormat="1" customHeight="1">
      <x:c r="A74" s="211" t="str">
        <x:f>O74</x:f>
        <x:v>교사 예비용 19</x:v>
      </x:c>
      <x:c r="B74" s="211" t="str">
        <x:f>L74&amp;"-"&amp;TEXT(P74,"0000")</x:f>
        <x:v>20200901-0849</x:v>
      </x:c>
      <x:c r="C74" s="391" t="s">
        <x:v>1564</x:v>
      </x:c>
      <x:c r="D74" s="391" t="s">
        <x:v>1581</x:v>
      </x:c>
      <x:c r="E74" s="391" t="s">
        <x:v>1251</x:v>
      </x:c>
      <x:c r="F74" s="391" t="s">
        <x:v>3216</x:v>
      </x:c>
      <x:c r="G74" s="391" t="s">
        <x:v>1289</x:v>
      </x:c>
      <x:c r="H74" s="391" t="str">
        <x:f>IFERROR(VLOOKUP(O74,'정보화기기 명부'!A$2:B$187,2,FALSE),"")</x:f>
        <x:v/>
      </x:c>
      <x:c r="I74" s="391" t="str">
        <x:f>IFERROR(VLOOKUP(O74,'교직원용 IP'!$C$2:$H$230,6,FALSE),"")</x:f>
        <x:v/>
      </x:c>
      <x:c r="J74" s="400"/>
      <x:c r="K74" s="391"/>
      <x:c r="L74" s="290">
        <x:v>20200901</x:v>
      </x:c>
      <x:c r="M74" s="392">
        <x:v>820000</x:v>
      </x:c>
      <x:c r="N74" s="391" t="s">
        <x:v>1965</x:v>
      </x:c>
      <x:c r="O74" s="401" t="s">
        <x:v>839</x:v>
      </x:c>
      <x:c r="P74" s="124">
        <x:v>849</x:v>
      </x:c>
      <x:c r="Q74" s="124" t="s">
        <x:v>693</x:v>
      </x:c>
      <x:c r="R74" s="124" t="s">
        <x:v>2049</x:v>
      </x:c>
      <x:c r="S74" s="124" t="s">
        <x:v>1572</x:v>
      </x:c>
      <x:c r="T74" s="124" t="s">
        <x:v>2055</x:v>
      </x:c>
      <x:c r="U74" s="124"/>
      <x:c r="V74" s="124" t="s">
        <x:v>1561</x:v>
      </x:c>
    </x:row>
    <x:row r="75" spans="1:22" s="23" customFormat="1" customHeight="1">
      <x:c r="A75" s="89" t="str">
        <x:f>O75</x:f>
        <x:v>조현준</x:v>
      </x:c>
      <x:c r="B75" s="89" t="str">
        <x:f>L75&amp;"-"&amp;TEXT(P75,"0000")</x:f>
        <x:v>20200901-0850</x:v>
      </x:c>
      <x:c r="C75" s="124" t="s">
        <x:v>1564</x:v>
      </x:c>
      <x:c r="D75" s="124" t="s">
        <x:v>1581</x:v>
      </x:c>
      <x:c r="E75" s="124" t="s">
        <x:v>1251</x:v>
      </x:c>
      <x:c r="F75" s="124" t="s">
        <x:v>3216</x:v>
      </x:c>
      <x:c r="G75" s="124" t="s">
        <x:v>1289</x:v>
      </x:c>
      <x:c r="H75" s="124" t="str">
        <x:f>IFERROR(VLOOKUP(O75,'정보화기기 명부'!A$2:B$187,2,FALSE),"")</x:f>
        <x:v>야구부합숙소</x:v>
      </x:c>
      <x:c r="I75" s="124" t="str">
        <x:f>IFERROR(VLOOKUP(O75,'교직원용 IP'!$C$2:$H$230,6,FALSE),"")</x:f>
        <x:v>10.51.91.14</x:v>
      </x:c>
      <x:c r="J75" s="124"/>
      <x:c r="K75" s="124"/>
      <x:c r="L75" s="292">
        <x:v>20200901</x:v>
      </x:c>
      <x:c r="M75" s="125">
        <x:v>820000</x:v>
      </x:c>
      <x:c r="N75" s="124" t="s">
        <x:v>1965</x:v>
      </x:c>
      <x:c r="O75" s="402" t="s">
        <x:v>1569</x:v>
      </x:c>
      <x:c r="P75" s="124">
        <x:v>850</x:v>
      </x:c>
      <x:c r="Q75" s="124" t="s">
        <x:v>693</x:v>
      </x:c>
      <x:c r="R75" s="124" t="s">
        <x:v>2049</x:v>
      </x:c>
      <x:c r="S75" s="124" t="s">
        <x:v>1572</x:v>
      </x:c>
      <x:c r="T75" s="124" t="s">
        <x:v>2055</x:v>
      </x:c>
      <x:c r="U75" s="124"/>
      <x:c r="V75" s="124" t="s">
        <x:v>1561</x:v>
      </x:c>
    </x:row>
    <x:row r="76" spans="1:22" s="23" customFormat="1" customHeight="1">
      <x:c r="A76" s="90" t="str">
        <x:f>O76</x:f>
        <x:v>교사 예비용8 학부모 대여</x:v>
      </x:c>
      <x:c r="B76" s="90" t="str">
        <x:f>L76&amp;"-"&amp;TEXT(P76,"0000")</x:f>
        <x:v>20200901-0851</x:v>
      </x:c>
      <x:c r="C76" s="187" t="s">
        <x:v>1564</x:v>
      </x:c>
      <x:c r="D76" s="187" t="s">
        <x:v>1581</x:v>
      </x:c>
      <x:c r="E76" s="187" t="s">
        <x:v>1251</x:v>
      </x:c>
      <x:c r="F76" s="187" t="s">
        <x:v>3216</x:v>
      </x:c>
      <x:c r="G76" s="187" t="s">
        <x:v>1289</x:v>
      </x:c>
      <x:c r="H76" s="187" t="str">
        <x:f>IFERROR(VLOOKUP(O76,'정보화기기 명부'!A$2:B$187,2,FALSE),"")</x:f>
        <x:v/>
      </x:c>
      <x:c r="I76" s="187" t="str">
        <x:f>IFERROR(VLOOKUP(O76,'교직원용 IP'!$C$2:$H$230,6,FALSE),"")</x:f>
        <x:v>10.51.90.181</x:v>
      </x:c>
      <x:c r="J76" s="187" t="s">
        <x:v>2271</x:v>
      </x:c>
      <x:c r="K76" s="187"/>
      <x:c r="L76" s="288">
        <x:v>20200901</x:v>
      </x:c>
      <x:c r="M76" s="195">
        <x:v>820000</x:v>
      </x:c>
      <x:c r="N76" s="187" t="s">
        <x:v>1965</x:v>
      </x:c>
      <x:c r="O76" s="187" t="s">
        <x:v>2281</x:v>
      </x:c>
      <x:c r="P76" s="124">
        <x:v>851</x:v>
      </x:c>
      <x:c r="Q76" s="124" t="s">
        <x:v>693</x:v>
      </x:c>
      <x:c r="R76" s="124" t="s">
        <x:v>2049</x:v>
      </x:c>
      <x:c r="S76" s="124" t="s">
        <x:v>1572</x:v>
      </x:c>
      <x:c r="T76" s="124" t="s">
        <x:v>2055</x:v>
      </x:c>
      <x:c r="U76" s="124"/>
      <x:c r="V76" s="124" t="s">
        <x:v>1561</x:v>
      </x:c>
    </x:row>
    <x:row r="77" spans="1:26" s="259" customFormat="1" customHeight="1">
      <x:c r="A77" s="211" t="str">
        <x:f>O77</x:f>
        <x:v>교사 예비용 18</x:v>
      </x:c>
      <x:c r="B77" s="211" t="str">
        <x:f>L77&amp;"-"&amp;TEXT(P77,"0000")</x:f>
        <x:v>20200901-0852</x:v>
      </x:c>
      <x:c r="C77" s="391" t="s">
        <x:v>1564</x:v>
      </x:c>
      <x:c r="D77" s="391" t="s">
        <x:v>1581</x:v>
      </x:c>
      <x:c r="E77" s="391" t="s">
        <x:v>1251</x:v>
      </x:c>
      <x:c r="F77" s="391" t="s">
        <x:v>3216</x:v>
      </x:c>
      <x:c r="G77" s="391" t="s">
        <x:v>1289</x:v>
      </x:c>
      <x:c r="H77" s="391" t="str">
        <x:f>IFERROR(VLOOKUP(O77,'정보화기기 명부'!A$2:B$187,2,FALSE),"")</x:f>
        <x:v/>
      </x:c>
      <x:c r="I77" s="391" t="str">
        <x:f>IFERROR(VLOOKUP(O77,'교직원용 IP'!$C$2:$H$230,6,FALSE),"")</x:f>
        <x:v/>
      </x:c>
      <x:c r="J77" s="391"/>
      <x:c r="K77" s="391"/>
      <x:c r="L77" s="290">
        <x:v>20200901</x:v>
      </x:c>
      <x:c r="M77" s="392">
        <x:v>820000</x:v>
      </x:c>
      <x:c r="N77" s="391" t="s">
        <x:v>1965</x:v>
      </x:c>
      <x:c r="O77" s="401" t="s">
        <x:v>849</x:v>
      </x:c>
      <x:c r="P77" s="124">
        <x:v>852</x:v>
      </x:c>
      <x:c r="Q77" s="124" t="s">
        <x:v>693</x:v>
      </x:c>
      <x:c r="R77" s="124" t="s">
        <x:v>2049</x:v>
      </x:c>
      <x:c r="S77" s="124" t="s">
        <x:v>1572</x:v>
      </x:c>
      <x:c r="T77" s="124" t="s">
        <x:v>2055</x:v>
      </x:c>
      <x:c r="U77" s="124"/>
      <x:c r="V77" s="124" t="s">
        <x:v>1561</x:v>
      </x:c>
      <x:c r="W77" s="23"/>
      <x:c r="X77" s="23"/>
      <x:c r="Y77" s="23"/>
      <x:c r="Z77" s="23"/>
    </x:row>
    <x:row r="78" spans="1:26" s="259" customFormat="1" customHeight="1">
      <x:c r="A78" s="25" t="str">
        <x:f>O78</x:f>
        <x:v>3층 실습용 31</x:v>
      </x:c>
      <x:c r="B78" s="25" t="str">
        <x:f>L78&amp;"-"&amp;TEXT(P78,"0000")</x:f>
        <x:v>20200717-0847</x:v>
      </x:c>
      <x:c r="C78" s="124" t="s">
        <x:v>1978</x:v>
      </x:c>
      <x:c r="D78" s="124" t="s">
        <x:v>1581</x:v>
      </x:c>
      <x:c r="E78" s="124" t="s">
        <x:v>1568</x:v>
      </x:c>
      <x:c r="F78" s="124" t="s">
        <x:v>2135</x:v>
      </x:c>
      <x:c r="G78" s="124" t="s">
        <x:v>2038</x:v>
      </x:c>
      <x:c r="H78" s="124" t="s">
        <x:v>1999</x:v>
      </x:c>
      <x:c r="I78" s="195" t="str">
        <x:f>IFERROR(VLOOKUP(O78,'학생용 IP'!$C$11:$H$326,5,FALSE),"")</x:f>
        <x:v>10.54.37.131</x:v>
      </x:c>
      <x:c r="J78" s="124" t="s">
        <x:v>678</x:v>
      </x:c>
      <x:c r="K78" s="124"/>
      <x:c r="L78" s="292">
        <x:v>20200717</x:v>
      </x:c>
      <x:c r="M78" s="125">
        <x:v>870000</x:v>
      </x:c>
      <x:c r="N78" s="124" t="s">
        <x:v>2045</x:v>
      </x:c>
      <x:c r="O78" s="124" t="s">
        <x:v>683</x:v>
      </x:c>
      <x:c r="P78" s="124">
        <x:v>847</x:v>
      </x:c>
      <x:c r="Q78" s="124" t="s">
        <x:v>693</x:v>
      </x:c>
      <x:c r="R78" s="124" t="s">
        <x:v>2029</x:v>
      </x:c>
      <x:c r="S78" s="124" t="s">
        <x:v>1572</x:v>
      </x:c>
      <x:c r="T78" s="124" t="s">
        <x:v>1993</x:v>
      </x:c>
      <x:c r="U78" s="124"/>
      <x:c r="V78" s="124" t="s">
        <x:v>1561</x:v>
      </x:c>
      <x:c r="W78" s="23"/>
      <x:c r="X78" s="23"/>
      <x:c r="Y78" s="23"/>
      <x:c r="Z78" s="23"/>
    </x:row>
    <x:row r="79" spans="1:26" s="259" customFormat="1" customHeight="1">
      <x:c r="A79" s="25" t="str">
        <x:f>O79</x:f>
        <x:v>3층 실습용 30</x:v>
      </x:c>
      <x:c r="B79" s="25" t="str">
        <x:f>L79&amp;"-"&amp;TEXT(P79,"0000")</x:f>
        <x:v>20200717-0846</x:v>
      </x:c>
      <x:c r="C79" s="124" t="s">
        <x:v>1978</x:v>
      </x:c>
      <x:c r="D79" s="124" t="s">
        <x:v>1581</x:v>
      </x:c>
      <x:c r="E79" s="124" t="s">
        <x:v>1568</x:v>
      </x:c>
      <x:c r="F79" s="124" t="s">
        <x:v>2135</x:v>
      </x:c>
      <x:c r="G79" s="124" t="s">
        <x:v>2038</x:v>
      </x:c>
      <x:c r="H79" s="124" t="s">
        <x:v>1999</x:v>
      </x:c>
      <x:c r="I79" s="195" t="str">
        <x:f>IFERROR(VLOOKUP(O79,'학생용 IP'!$C$11:$H$326,5,FALSE),"")</x:f>
        <x:v>10.54.37.130</x:v>
      </x:c>
      <x:c r="J79" s="124" t="s">
        <x:v>678</x:v>
      </x:c>
      <x:c r="K79" s="124"/>
      <x:c r="L79" s="292">
        <x:v>20200717</x:v>
      </x:c>
      <x:c r="M79" s="125">
        <x:v>870000</x:v>
      </x:c>
      <x:c r="N79" s="124" t="s">
        <x:v>2045</x:v>
      </x:c>
      <x:c r="O79" s="124" t="s">
        <x:v>723</x:v>
      </x:c>
      <x:c r="P79" s="124">
        <x:v>846</x:v>
      </x:c>
      <x:c r="Q79" s="124" t="s">
        <x:v>693</x:v>
      </x:c>
      <x:c r="R79" s="124" t="s">
        <x:v>2029</x:v>
      </x:c>
      <x:c r="S79" s="124" t="s">
        <x:v>1572</x:v>
      </x:c>
      <x:c r="T79" s="124" t="s">
        <x:v>1993</x:v>
      </x:c>
      <x:c r="U79" s="124"/>
      <x:c r="V79" s="124" t="s">
        <x:v>1561</x:v>
      </x:c>
      <x:c r="W79" s="23"/>
      <x:c r="X79" s="23"/>
      <x:c r="Y79" s="23"/>
      <x:c r="Z79" s="23"/>
    </x:row>
    <x:row r="80" spans="1:26" s="259" customFormat="1" ht="20.39999999999999857891" customHeight="1">
      <x:c r="A80" s="25" t="str">
        <x:f>O80</x:f>
        <x:v>3층 실습용 29</x:v>
      </x:c>
      <x:c r="B80" s="25" t="str">
        <x:f>L80&amp;"-"&amp;TEXT(P80,"0000")</x:f>
        <x:v>20200717-0845</x:v>
      </x:c>
      <x:c r="C80" s="124" t="s">
        <x:v>1978</x:v>
      </x:c>
      <x:c r="D80" s="124" t="s">
        <x:v>1581</x:v>
      </x:c>
      <x:c r="E80" s="124" t="s">
        <x:v>1568</x:v>
      </x:c>
      <x:c r="F80" s="124" t="s">
        <x:v>2135</x:v>
      </x:c>
      <x:c r="G80" s="124" t="s">
        <x:v>2038</x:v>
      </x:c>
      <x:c r="H80" s="124" t="s">
        <x:v>1999</x:v>
      </x:c>
      <x:c r="I80" s="195" t="str">
        <x:f>IFERROR(VLOOKUP(O80,'학생용 IP'!$C$11:$H$326,5,FALSE),"")</x:f>
        <x:v>10.54.37.129</x:v>
      </x:c>
      <x:c r="J80" s="124" t="s">
        <x:v>678</x:v>
      </x:c>
      <x:c r="K80" s="124"/>
      <x:c r="L80" s="292">
        <x:v>20200717</x:v>
      </x:c>
      <x:c r="M80" s="125">
        <x:v>870000</x:v>
      </x:c>
      <x:c r="N80" s="124" t="s">
        <x:v>2045</x:v>
      </x:c>
      <x:c r="O80" s="124" t="s">
        <x:v>709</x:v>
      </x:c>
      <x:c r="P80" s="124">
        <x:v>845</x:v>
      </x:c>
      <x:c r="Q80" s="124" t="s">
        <x:v>693</x:v>
      </x:c>
      <x:c r="R80" s="124" t="s">
        <x:v>2029</x:v>
      </x:c>
      <x:c r="S80" s="124" t="s">
        <x:v>1572</x:v>
      </x:c>
      <x:c r="T80" s="124" t="s">
        <x:v>1993</x:v>
      </x:c>
      <x:c r="U80" s="124"/>
      <x:c r="V80" s="124" t="s">
        <x:v>1561</x:v>
      </x:c>
      <x:c r="W80" s="23"/>
      <x:c r="X80" s="23"/>
      <x:c r="Y80" s="23"/>
      <x:c r="Z80" s="23"/>
    </x:row>
    <x:row r="81" spans="1:22" s="23" customFormat="1" ht="20.39999999999999857891" customHeight="1">
      <x:c r="A81" s="25" t="str">
        <x:f>O81</x:f>
        <x:v>3층 실습용 28</x:v>
      </x:c>
      <x:c r="B81" s="25" t="str">
        <x:f>L81&amp;"-"&amp;TEXT(P81,"0000")</x:f>
        <x:v>20200717-0844</x:v>
      </x:c>
      <x:c r="C81" s="124" t="s">
        <x:v>1978</x:v>
      </x:c>
      <x:c r="D81" s="124" t="s">
        <x:v>1581</x:v>
      </x:c>
      <x:c r="E81" s="124" t="s">
        <x:v>1568</x:v>
      </x:c>
      <x:c r="F81" s="124" t="s">
        <x:v>2135</x:v>
      </x:c>
      <x:c r="G81" s="124" t="s">
        <x:v>2038</x:v>
      </x:c>
      <x:c r="H81" s="124" t="s">
        <x:v>1999</x:v>
      </x:c>
      <x:c r="I81" s="195" t="str">
        <x:f>IFERROR(VLOOKUP(O81,'학생용 IP'!$C$11:$H$326,5,FALSE),"")</x:f>
        <x:v>10.54.37.128</x:v>
      </x:c>
      <x:c r="J81" s="124" t="s">
        <x:v>678</x:v>
      </x:c>
      <x:c r="K81" s="124"/>
      <x:c r="L81" s="292">
        <x:v>20200717</x:v>
      </x:c>
      <x:c r="M81" s="125">
        <x:v>870000</x:v>
      </x:c>
      <x:c r="N81" s="124" t="s">
        <x:v>2045</x:v>
      </x:c>
      <x:c r="O81" s="124" t="s">
        <x:v>696</x:v>
      </x:c>
      <x:c r="P81" s="124">
        <x:v>844</x:v>
      </x:c>
      <x:c r="Q81" s="124" t="s">
        <x:v>693</x:v>
      </x:c>
      <x:c r="R81" s="124" t="s">
        <x:v>2029</x:v>
      </x:c>
      <x:c r="S81" s="124" t="s">
        <x:v>1572</x:v>
      </x:c>
      <x:c r="T81" s="124" t="s">
        <x:v>1993</x:v>
      </x:c>
      <x:c r="U81" s="124"/>
      <x:c r="V81" s="124" t="s">
        <x:v>1561</x:v>
      </x:c>
    </x:row>
    <x:row r="82" spans="1:22" s="23" customFormat="1" ht="17.39999999999999857891" customHeight="1">
      <x:c r="A82" s="25" t="str">
        <x:f>O82</x:f>
        <x:v>3층 실습용 27</x:v>
      </x:c>
      <x:c r="B82" s="25" t="str">
        <x:f>L82&amp;"-"&amp;TEXT(P82,"0000")</x:f>
        <x:v>20200717-0843</x:v>
      </x:c>
      <x:c r="C82" s="124" t="s">
        <x:v>1978</x:v>
      </x:c>
      <x:c r="D82" s="124" t="s">
        <x:v>1581</x:v>
      </x:c>
      <x:c r="E82" s="124" t="s">
        <x:v>1568</x:v>
      </x:c>
      <x:c r="F82" s="124" t="s">
        <x:v>2135</x:v>
      </x:c>
      <x:c r="G82" s="124" t="s">
        <x:v>2038</x:v>
      </x:c>
      <x:c r="H82" s="124" t="s">
        <x:v>1999</x:v>
      </x:c>
      <x:c r="I82" s="195" t="str">
        <x:f>IFERROR(VLOOKUP(O82,'학생용 IP'!$C$11:$H$326,5,FALSE),"")</x:f>
        <x:v>10.54.37.127</x:v>
      </x:c>
      <x:c r="J82" s="124" t="s">
        <x:v>678</x:v>
      </x:c>
      <x:c r="K82" s="124"/>
      <x:c r="L82" s="292">
        <x:v>20200717</x:v>
      </x:c>
      <x:c r="M82" s="125">
        <x:v>870000</x:v>
      </x:c>
      <x:c r="N82" s="124" t="s">
        <x:v>2045</x:v>
      </x:c>
      <x:c r="O82" s="124" t="s">
        <x:v>714</x:v>
      </x:c>
      <x:c r="P82" s="124">
        <x:v>843</x:v>
      </x:c>
      <x:c r="Q82" s="124" t="s">
        <x:v>693</x:v>
      </x:c>
      <x:c r="R82" s="124" t="s">
        <x:v>2029</x:v>
      </x:c>
      <x:c r="S82" s="124" t="s">
        <x:v>1572</x:v>
      </x:c>
      <x:c r="T82" s="124" t="s">
        <x:v>1993</x:v>
      </x:c>
      <x:c r="U82" s="124"/>
      <x:c r="V82" s="124" t="s">
        <x:v>1561</x:v>
      </x:c>
    </x:row>
    <x:row r="83" spans="1:22" s="23" customFormat="1" ht="16.25" customHeight="1">
      <x:c r="A83" s="25" t="str">
        <x:f>O83</x:f>
        <x:v>3층 실습용 26</x:v>
      </x:c>
      <x:c r="B83" s="25" t="str">
        <x:f>L83&amp;"-"&amp;TEXT(P83,"0000")</x:f>
        <x:v>20200717-0842</x:v>
      </x:c>
      <x:c r="C83" s="124" t="s">
        <x:v>1978</x:v>
      </x:c>
      <x:c r="D83" s="124" t="s">
        <x:v>1581</x:v>
      </x:c>
      <x:c r="E83" s="124" t="s">
        <x:v>1568</x:v>
      </x:c>
      <x:c r="F83" s="124" t="s">
        <x:v>2135</x:v>
      </x:c>
      <x:c r="G83" s="124" t="s">
        <x:v>2038</x:v>
      </x:c>
      <x:c r="H83" s="124" t="s">
        <x:v>1999</x:v>
      </x:c>
      <x:c r="I83" s="195" t="str">
        <x:f>IFERROR(VLOOKUP(O83,'학생용 IP'!$C$11:$H$326,5,FALSE),"")</x:f>
        <x:v>10.54.37.126</x:v>
      </x:c>
      <x:c r="J83" s="124" t="s">
        <x:v>678</x:v>
      </x:c>
      <x:c r="K83" s="124"/>
      <x:c r="L83" s="292">
        <x:v>20200717</x:v>
      </x:c>
      <x:c r="M83" s="125">
        <x:v>870000</x:v>
      </x:c>
      <x:c r="N83" s="124" t="s">
        <x:v>2045</x:v>
      </x:c>
      <x:c r="O83" s="124" t="s">
        <x:v>700</x:v>
      </x:c>
      <x:c r="P83" s="124">
        <x:v>842</x:v>
      </x:c>
      <x:c r="Q83" s="124" t="s">
        <x:v>693</x:v>
      </x:c>
      <x:c r="R83" s="124" t="s">
        <x:v>2029</x:v>
      </x:c>
      <x:c r="S83" s="124" t="s">
        <x:v>1572</x:v>
      </x:c>
      <x:c r="T83" s="124" t="s">
        <x:v>1993</x:v>
      </x:c>
      <x:c r="U83" s="124"/>
      <x:c r="V83" s="124" t="s">
        <x:v>1561</x:v>
      </x:c>
    </x:row>
    <x:row r="84" spans="1:22" s="23" customFormat="1" ht="12" customHeight="1">
      <x:c r="A84" s="25" t="str">
        <x:f>O84</x:f>
        <x:v>3층 실습용 25</x:v>
      </x:c>
      <x:c r="B84" s="25" t="str">
        <x:f>L84&amp;"-"&amp;TEXT(P84,"0000")</x:f>
        <x:v>20200717-0841</x:v>
      </x:c>
      <x:c r="C84" s="124" t="s">
        <x:v>1978</x:v>
      </x:c>
      <x:c r="D84" s="124" t="s">
        <x:v>1581</x:v>
      </x:c>
      <x:c r="E84" s="124" t="s">
        <x:v>1568</x:v>
      </x:c>
      <x:c r="F84" s="124" t="s">
        <x:v>2135</x:v>
      </x:c>
      <x:c r="G84" s="124" t="s">
        <x:v>2038</x:v>
      </x:c>
      <x:c r="H84" s="124" t="s">
        <x:v>1999</x:v>
      </x:c>
      <x:c r="I84" s="195" t="str">
        <x:f>IFERROR(VLOOKUP(O84,'학생용 IP'!$C$11:$H$326,5,FALSE),"")</x:f>
        <x:v>10.54.37.125</x:v>
      </x:c>
      <x:c r="J84" s="124" t="s">
        <x:v>678</x:v>
      </x:c>
      <x:c r="K84" s="124"/>
      <x:c r="L84" s="292">
        <x:v>20200717</x:v>
      </x:c>
      <x:c r="M84" s="125">
        <x:v>870000</x:v>
      </x:c>
      <x:c r="N84" s="124" t="s">
        <x:v>2045</x:v>
      </x:c>
      <x:c r="O84" s="124" t="s">
        <x:v>708</x:v>
      </x:c>
      <x:c r="P84" s="124">
        <x:v>841</x:v>
      </x:c>
      <x:c r="Q84" s="124" t="s">
        <x:v>693</x:v>
      </x:c>
      <x:c r="R84" s="124" t="s">
        <x:v>2029</x:v>
      </x:c>
      <x:c r="S84" s="124" t="s">
        <x:v>1572</x:v>
      </x:c>
      <x:c r="T84" s="124" t="s">
        <x:v>1993</x:v>
      </x:c>
      <x:c r="U84" s="124"/>
      <x:c r="V84" s="124" t="s">
        <x:v>1561</x:v>
      </x:c>
    </x:row>
    <x:row r="85" spans="1:22" s="23" customFormat="1" ht="21" customHeight="1">
      <x:c r="A85" s="25" t="str">
        <x:f>O85</x:f>
        <x:v>3층 실습용 24</x:v>
      </x:c>
      <x:c r="B85" s="25" t="str">
        <x:f>L85&amp;"-"&amp;TEXT(P85,"0000")</x:f>
        <x:v>20200717-0840</x:v>
      </x:c>
      <x:c r="C85" s="124" t="s">
        <x:v>1978</x:v>
      </x:c>
      <x:c r="D85" s="124" t="s">
        <x:v>1581</x:v>
      </x:c>
      <x:c r="E85" s="124" t="s">
        <x:v>1568</x:v>
      </x:c>
      <x:c r="F85" s="124" t="s">
        <x:v>2135</x:v>
      </x:c>
      <x:c r="G85" s="124" t="s">
        <x:v>2038</x:v>
      </x:c>
      <x:c r="H85" s="124" t="s">
        <x:v>1999</x:v>
      </x:c>
      <x:c r="I85" s="195" t="str">
        <x:f>IFERROR(VLOOKUP(O85,'학생용 IP'!$C$11:$H$326,5,FALSE),"")</x:f>
        <x:v>10.54.37.124</x:v>
      </x:c>
      <x:c r="J85" s="124" t="s">
        <x:v>678</x:v>
      </x:c>
      <x:c r="K85" s="124"/>
      <x:c r="L85" s="292">
        <x:v>20200717</x:v>
      </x:c>
      <x:c r="M85" s="125">
        <x:v>870000</x:v>
      </x:c>
      <x:c r="N85" s="124" t="s">
        <x:v>2045</x:v>
      </x:c>
      <x:c r="O85" s="124" t="s">
        <x:v>722</x:v>
      </x:c>
      <x:c r="P85" s="124">
        <x:v>840</x:v>
      </x:c>
      <x:c r="Q85" s="124" t="s">
        <x:v>693</x:v>
      </x:c>
      <x:c r="R85" s="124" t="s">
        <x:v>2029</x:v>
      </x:c>
      <x:c r="S85" s="124" t="s">
        <x:v>1572</x:v>
      </x:c>
      <x:c r="T85" s="124" t="s">
        <x:v>1993</x:v>
      </x:c>
      <x:c r="U85" s="124"/>
      <x:c r="V85" s="124" t="s">
        <x:v>1561</x:v>
      </x:c>
    </x:row>
    <x:row r="86" spans="1:22" s="23" customFormat="1" ht="16.25" customHeight="1">
      <x:c r="A86" s="25" t="str">
        <x:f>O86</x:f>
        <x:v>3층 실습용 23</x:v>
      </x:c>
      <x:c r="B86" s="25" t="str">
        <x:f>L86&amp;"-"&amp;TEXT(P86,"0000")</x:f>
        <x:v>20200717-0839</x:v>
      </x:c>
      <x:c r="C86" s="124" t="s">
        <x:v>1978</x:v>
      </x:c>
      <x:c r="D86" s="124" t="s">
        <x:v>1581</x:v>
      </x:c>
      <x:c r="E86" s="124" t="s">
        <x:v>1568</x:v>
      </x:c>
      <x:c r="F86" s="124" t="s">
        <x:v>2135</x:v>
      </x:c>
      <x:c r="G86" s="124" t="s">
        <x:v>2038</x:v>
      </x:c>
      <x:c r="H86" s="124" t="s">
        <x:v>1999</x:v>
      </x:c>
      <x:c r="I86" s="195" t="str">
        <x:f>IFERROR(VLOOKUP(O86,'학생용 IP'!$C$11:$H$326,5,FALSE),"")</x:f>
        <x:v>10.54.37.123</x:v>
      </x:c>
      <x:c r="J86" s="124" t="s">
        <x:v>678</x:v>
      </x:c>
      <x:c r="K86" s="124"/>
      <x:c r="L86" s="292">
        <x:v>20200717</x:v>
      </x:c>
      <x:c r="M86" s="125">
        <x:v>870000</x:v>
      </x:c>
      <x:c r="N86" s="124" t="s">
        <x:v>2045</x:v>
      </x:c>
      <x:c r="O86" s="124" t="s">
        <x:v>725</x:v>
      </x:c>
      <x:c r="P86" s="124">
        <x:v>839</x:v>
      </x:c>
      <x:c r="Q86" s="124" t="s">
        <x:v>693</x:v>
      </x:c>
      <x:c r="R86" s="124" t="s">
        <x:v>2029</x:v>
      </x:c>
      <x:c r="S86" s="124" t="s">
        <x:v>1572</x:v>
      </x:c>
      <x:c r="T86" s="124" t="s">
        <x:v>1993</x:v>
      </x:c>
      <x:c r="U86" s="124"/>
      <x:c r="V86" s="124" t="s">
        <x:v>1561</x:v>
      </x:c>
    </x:row>
    <x:row r="87" spans="1:22" s="23" customFormat="1" ht="17.39999999999999857891" customHeight="1">
      <x:c r="A87" s="25" t="str">
        <x:f>O87</x:f>
        <x:v>3층 실습용 22</x:v>
      </x:c>
      <x:c r="B87" s="25" t="str">
        <x:f>L87&amp;"-"&amp;TEXT(P87,"0000")</x:f>
        <x:v>20200717-0838</x:v>
      </x:c>
      <x:c r="C87" s="124" t="s">
        <x:v>1978</x:v>
      </x:c>
      <x:c r="D87" s="124" t="s">
        <x:v>1581</x:v>
      </x:c>
      <x:c r="E87" s="124" t="s">
        <x:v>1568</x:v>
      </x:c>
      <x:c r="F87" s="124" t="s">
        <x:v>2135</x:v>
      </x:c>
      <x:c r="G87" s="124" t="s">
        <x:v>2038</x:v>
      </x:c>
      <x:c r="H87" s="124" t="s">
        <x:v>1999</x:v>
      </x:c>
      <x:c r="I87" s="195" t="str">
        <x:f>IFERROR(VLOOKUP(O87,'학생용 IP'!$C$11:$H$326,5,FALSE),"")</x:f>
        <x:v>10.54.37.122</x:v>
      </x:c>
      <x:c r="J87" s="124" t="s">
        <x:v>678</x:v>
      </x:c>
      <x:c r="K87" s="124"/>
      <x:c r="L87" s="171">
        <x:v>20200717</x:v>
      </x:c>
      <x:c r="M87" s="125">
        <x:v>870000</x:v>
      </x:c>
      <x:c r="N87" s="124" t="s">
        <x:v>2045</x:v>
      </x:c>
      <x:c r="O87" s="124" t="s">
        <x:v>707</x:v>
      </x:c>
      <x:c r="P87" s="124">
        <x:v>838</x:v>
      </x:c>
      <x:c r="Q87" s="124" t="s">
        <x:v>693</x:v>
      </x:c>
      <x:c r="R87" s="124" t="s">
        <x:v>2029</x:v>
      </x:c>
      <x:c r="S87" s="124" t="s">
        <x:v>1572</x:v>
      </x:c>
      <x:c r="T87" s="124" t="s">
        <x:v>1993</x:v>
      </x:c>
      <x:c r="U87" s="124"/>
      <x:c r="V87" s="124" t="s">
        <x:v>1561</x:v>
      </x:c>
    </x:row>
    <x:row r="88" spans="1:22" s="23" customFormat="1" ht="12.65000000000000035527" customHeight="1">
      <x:c r="A88" s="25" t="str">
        <x:f>O88</x:f>
        <x:v>3층 실습용 21</x:v>
      </x:c>
      <x:c r="B88" s="25" t="str">
        <x:f>L88&amp;"-"&amp;TEXT(P88,"0000")</x:f>
        <x:v>20200717-0837</x:v>
      </x:c>
      <x:c r="C88" s="124" t="s">
        <x:v>1978</x:v>
      </x:c>
      <x:c r="D88" s="124" t="s">
        <x:v>1581</x:v>
      </x:c>
      <x:c r="E88" s="124" t="s">
        <x:v>1568</x:v>
      </x:c>
      <x:c r="F88" s="124" t="s">
        <x:v>2135</x:v>
      </x:c>
      <x:c r="G88" s="124" t="s">
        <x:v>2038</x:v>
      </x:c>
      <x:c r="H88" s="124" t="s">
        <x:v>1999</x:v>
      </x:c>
      <x:c r="I88" s="195" t="str">
        <x:f>IFERROR(VLOOKUP(O88,'학생용 IP'!$C$11:$H$326,5,FALSE),"")</x:f>
        <x:v>10.54.37.121</x:v>
      </x:c>
      <x:c r="J88" s="124" t="s">
        <x:v>678</x:v>
      </x:c>
      <x:c r="K88" s="124"/>
      <x:c r="L88" s="171">
        <x:v>20200717</x:v>
      </x:c>
      <x:c r="M88" s="125">
        <x:v>870000</x:v>
      </x:c>
      <x:c r="N88" s="124" t="s">
        <x:v>2045</x:v>
      </x:c>
      <x:c r="O88" s="124" t="s">
        <x:v>733</x:v>
      </x:c>
      <x:c r="P88" s="124">
        <x:v>837</x:v>
      </x:c>
      <x:c r="Q88" s="124" t="s">
        <x:v>693</x:v>
      </x:c>
      <x:c r="R88" s="124" t="s">
        <x:v>2029</x:v>
      </x:c>
      <x:c r="S88" s="124" t="s">
        <x:v>1572</x:v>
      </x:c>
      <x:c r="T88" s="124" t="s">
        <x:v>1993</x:v>
      </x:c>
      <x:c r="U88" s="124"/>
      <x:c r="V88" s="124" t="s">
        <x:v>1561</x:v>
      </x:c>
    </x:row>
    <x:row r="89" spans="1:22" s="23" customFormat="1" ht="15.65000000000000035527" customHeight="1">
      <x:c r="A89" s="25" t="str">
        <x:f>O89</x:f>
        <x:v>3층 실습용 20</x:v>
      </x:c>
      <x:c r="B89" s="25" t="str">
        <x:f>L89&amp;"-"&amp;TEXT(P89,"0000")</x:f>
        <x:v>20200717-0836</x:v>
      </x:c>
      <x:c r="C89" s="124" t="s">
        <x:v>1978</x:v>
      </x:c>
      <x:c r="D89" s="124" t="s">
        <x:v>1581</x:v>
      </x:c>
      <x:c r="E89" s="124" t="s">
        <x:v>1568</x:v>
      </x:c>
      <x:c r="F89" s="124" t="s">
        <x:v>2135</x:v>
      </x:c>
      <x:c r="G89" s="124" t="s">
        <x:v>2038</x:v>
      </x:c>
      <x:c r="H89" s="124" t="s">
        <x:v>1999</x:v>
      </x:c>
      <x:c r="I89" s="195" t="str">
        <x:f>IFERROR(VLOOKUP(O89,'학생용 IP'!$C$11:$H$326,5,FALSE),"")</x:f>
        <x:v>10.54.37.120</x:v>
      </x:c>
      <x:c r="J89" s="124" t="s">
        <x:v>678</x:v>
      </x:c>
      <x:c r="K89" s="124"/>
      <x:c r="L89" s="171">
        <x:v>20200717</x:v>
      </x:c>
      <x:c r="M89" s="125">
        <x:v>870000</x:v>
      </x:c>
      <x:c r="N89" s="124" t="s">
        <x:v>2045</x:v>
      </x:c>
      <x:c r="O89" s="124" t="s">
        <x:v>715</x:v>
      </x:c>
      <x:c r="P89" s="124">
        <x:v>836</x:v>
      </x:c>
      <x:c r="Q89" s="124" t="s">
        <x:v>693</x:v>
      </x:c>
      <x:c r="R89" s="124" t="s">
        <x:v>2029</x:v>
      </x:c>
      <x:c r="S89" s="124" t="s">
        <x:v>1572</x:v>
      </x:c>
      <x:c r="T89" s="124" t="s">
        <x:v>1993</x:v>
      </x:c>
      <x:c r="U89" s="124"/>
      <x:c r="V89" s="124" t="s">
        <x:v>1561</x:v>
      </x:c>
    </x:row>
    <x:row r="90" spans="1:22" s="23" customFormat="1" customHeight="1">
      <x:c r="A90" s="25" t="str">
        <x:f>O90</x:f>
        <x:v>3층 실습용 19</x:v>
      </x:c>
      <x:c r="B90" s="25" t="str">
        <x:f>L90&amp;"-"&amp;TEXT(P90,"0000")</x:f>
        <x:v>20200717-0835</x:v>
      </x:c>
      <x:c r="C90" s="124" t="s">
        <x:v>1978</x:v>
      </x:c>
      <x:c r="D90" s="124" t="s">
        <x:v>1581</x:v>
      </x:c>
      <x:c r="E90" s="124" t="s">
        <x:v>1568</x:v>
      </x:c>
      <x:c r="F90" s="124" t="s">
        <x:v>2135</x:v>
      </x:c>
      <x:c r="G90" s="124" t="s">
        <x:v>2038</x:v>
      </x:c>
      <x:c r="H90" s="124" t="s">
        <x:v>1999</x:v>
      </x:c>
      <x:c r="I90" s="195" t="str">
        <x:f>IFERROR(VLOOKUP(O90,'학생용 IP'!$C$11:$H$326,5,FALSE),"")</x:f>
        <x:v>10.54.37.119</x:v>
      </x:c>
      <x:c r="J90" s="124" t="s">
        <x:v>678</x:v>
      </x:c>
      <x:c r="K90" s="124"/>
      <x:c r="L90" s="171">
        <x:v>20200717</x:v>
      </x:c>
      <x:c r="M90" s="125">
        <x:v>870000</x:v>
      </x:c>
      <x:c r="N90" s="124" t="s">
        <x:v>2045</x:v>
      </x:c>
      <x:c r="O90" s="124" t="s">
        <x:v>699</x:v>
      </x:c>
      <x:c r="P90" s="124">
        <x:v>835</x:v>
      </x:c>
      <x:c r="Q90" s="124" t="s">
        <x:v>693</x:v>
      </x:c>
      <x:c r="R90" s="124" t="s">
        <x:v>2029</x:v>
      </x:c>
      <x:c r="S90" s="124" t="s">
        <x:v>1572</x:v>
      </x:c>
      <x:c r="T90" s="124" t="s">
        <x:v>1993</x:v>
      </x:c>
      <x:c r="U90" s="124"/>
      <x:c r="V90" s="124" t="s">
        <x:v>1561</x:v>
      </x:c>
    </x:row>
    <x:row r="91" spans="1:22" s="23" customFormat="1" ht="21.64999999999999857891" customHeight="1">
      <x:c r="A91" s="25" t="str">
        <x:f>O91</x:f>
        <x:v>3층 실습용 18</x:v>
      </x:c>
      <x:c r="B91" s="25" t="str">
        <x:f>L91&amp;"-"&amp;TEXT(P91,"0000")</x:f>
        <x:v>20200717-0834</x:v>
      </x:c>
      <x:c r="C91" s="124" t="s">
        <x:v>1978</x:v>
      </x:c>
      <x:c r="D91" s="124" t="s">
        <x:v>1581</x:v>
      </x:c>
      <x:c r="E91" s="124" t="s">
        <x:v>1568</x:v>
      </x:c>
      <x:c r="F91" s="124" t="s">
        <x:v>2135</x:v>
      </x:c>
      <x:c r="G91" s="124" t="s">
        <x:v>2038</x:v>
      </x:c>
      <x:c r="H91" s="124" t="s">
        <x:v>1999</x:v>
      </x:c>
      <x:c r="I91" s="195" t="str">
        <x:f>IFERROR(VLOOKUP(O91,'학생용 IP'!$C$11:$H$326,5,FALSE),"")</x:f>
        <x:v>10.54.37.118</x:v>
      </x:c>
      <x:c r="J91" s="124" t="s">
        <x:v>678</x:v>
      </x:c>
      <x:c r="K91" s="124"/>
      <x:c r="L91" s="171">
        <x:v>20200717</x:v>
      </x:c>
      <x:c r="M91" s="125">
        <x:v>870000</x:v>
      </x:c>
      <x:c r="N91" s="124" t="s">
        <x:v>2045</x:v>
      </x:c>
      <x:c r="O91" s="124" t="s">
        <x:v>713</x:v>
      </x:c>
      <x:c r="P91" s="124">
        <x:v>834</x:v>
      </x:c>
      <x:c r="Q91" s="124" t="s">
        <x:v>693</x:v>
      </x:c>
      <x:c r="R91" s="124" t="s">
        <x:v>2029</x:v>
      </x:c>
      <x:c r="S91" s="124" t="s">
        <x:v>1572</x:v>
      </x:c>
      <x:c r="T91" s="124" t="s">
        <x:v>1993</x:v>
      </x:c>
      <x:c r="U91" s="124"/>
      <x:c r="V91" s="124" t="s">
        <x:v>1561</x:v>
      </x:c>
    </x:row>
    <x:row r="92" spans="1:22" s="23" customFormat="1" ht="13.25" customHeight="1">
      <x:c r="A92" s="25" t="str">
        <x:f>O92</x:f>
        <x:v>3층 실습용 17</x:v>
      </x:c>
      <x:c r="B92" s="25" t="str">
        <x:f>L92&amp;"-"&amp;TEXT(P92,"0000")</x:f>
        <x:v>20200717-0833</x:v>
      </x:c>
      <x:c r="C92" s="124" t="s">
        <x:v>1978</x:v>
      </x:c>
      <x:c r="D92" s="124" t="s">
        <x:v>1581</x:v>
      </x:c>
      <x:c r="E92" s="124" t="s">
        <x:v>1568</x:v>
      </x:c>
      <x:c r="F92" s="124" t="s">
        <x:v>2135</x:v>
      </x:c>
      <x:c r="G92" s="124" t="s">
        <x:v>2038</x:v>
      </x:c>
      <x:c r="H92" s="124" t="s">
        <x:v>1999</x:v>
      </x:c>
      <x:c r="I92" s="195" t="str">
        <x:f>IFERROR(VLOOKUP(O92,'학생용 IP'!$C$11:$H$326,5,FALSE),"")</x:f>
        <x:v>10.54.37.117</x:v>
      </x:c>
      <x:c r="J92" s="124" t="s">
        <x:v>678</x:v>
      </x:c>
      <x:c r="K92" s="124"/>
      <x:c r="L92" s="171">
        <x:v>20200717</x:v>
      </x:c>
      <x:c r="M92" s="125">
        <x:v>870000</x:v>
      </x:c>
      <x:c r="N92" s="124" t="s">
        <x:v>2045</x:v>
      </x:c>
      <x:c r="O92" s="124" t="s">
        <x:v>737</x:v>
      </x:c>
      <x:c r="P92" s="124">
        <x:v>833</x:v>
      </x:c>
      <x:c r="Q92" s="124" t="s">
        <x:v>693</x:v>
      </x:c>
      <x:c r="R92" s="124" t="s">
        <x:v>2029</x:v>
      </x:c>
      <x:c r="S92" s="124" t="s">
        <x:v>1572</x:v>
      </x:c>
      <x:c r="T92" s="124" t="s">
        <x:v>1993</x:v>
      </x:c>
      <x:c r="U92" s="124"/>
      <x:c r="V92" s="124" t="s">
        <x:v>1561</x:v>
      </x:c>
    </x:row>
    <x:row r="93" spans="1:22" s="23" customFormat="1" ht="13.25" customHeight="1">
      <x:c r="A93" s="25" t="str">
        <x:f>O93</x:f>
        <x:v>3층 실습용 16</x:v>
      </x:c>
      <x:c r="B93" s="25" t="str">
        <x:f>L93&amp;"-"&amp;TEXT(P93,"0000")</x:f>
        <x:v>20200717-0832</x:v>
      </x:c>
      <x:c r="C93" s="124" t="s">
        <x:v>1978</x:v>
      </x:c>
      <x:c r="D93" s="124" t="s">
        <x:v>1581</x:v>
      </x:c>
      <x:c r="E93" s="124" t="s">
        <x:v>1568</x:v>
      </x:c>
      <x:c r="F93" s="124" t="s">
        <x:v>2135</x:v>
      </x:c>
      <x:c r="G93" s="124" t="s">
        <x:v>2038</x:v>
      </x:c>
      <x:c r="H93" s="124" t="s">
        <x:v>1999</x:v>
      </x:c>
      <x:c r="I93" s="195" t="str">
        <x:f>IFERROR(VLOOKUP(O93,'학생용 IP'!$C$11:$H$326,5,FALSE),"")</x:f>
        <x:v>10.54.37.116</x:v>
      </x:c>
      <x:c r="J93" s="124" t="s">
        <x:v>678</x:v>
      </x:c>
      <x:c r="K93" s="124"/>
      <x:c r="L93" s="171">
        <x:v>20200717</x:v>
      </x:c>
      <x:c r="M93" s="125">
        <x:v>870000</x:v>
      </x:c>
      <x:c r="N93" s="124" t="s">
        <x:v>2045</x:v>
      </x:c>
      <x:c r="O93" s="124" t="s">
        <x:v>741</x:v>
      </x:c>
      <x:c r="P93" s="124">
        <x:v>832</x:v>
      </x:c>
      <x:c r="Q93" s="124" t="s">
        <x:v>693</x:v>
      </x:c>
      <x:c r="R93" s="124" t="s">
        <x:v>2029</x:v>
      </x:c>
      <x:c r="S93" s="124" t="s">
        <x:v>1572</x:v>
      </x:c>
      <x:c r="T93" s="124" t="s">
        <x:v>1993</x:v>
      </x:c>
      <x:c r="U93" s="124"/>
      <x:c r="V93" s="124" t="s">
        <x:v>1561</x:v>
      </x:c>
    </x:row>
    <x:row r="94" spans="1:22" s="23" customFormat="1" ht="13.25" customHeight="1">
      <x:c r="A94" s="25" t="str">
        <x:f>O94</x:f>
        <x:v>3층 실습용 15</x:v>
      </x:c>
      <x:c r="B94" s="25" t="str">
        <x:f>L94&amp;"-"&amp;TEXT(P94,"0000")</x:f>
        <x:v>20200717-0831</x:v>
      </x:c>
      <x:c r="C94" s="124" t="s">
        <x:v>1978</x:v>
      </x:c>
      <x:c r="D94" s="124" t="s">
        <x:v>1581</x:v>
      </x:c>
      <x:c r="E94" s="124" t="s">
        <x:v>1568</x:v>
      </x:c>
      <x:c r="F94" s="124" t="s">
        <x:v>2135</x:v>
      </x:c>
      <x:c r="G94" s="124" t="s">
        <x:v>2038</x:v>
      </x:c>
      <x:c r="H94" s="124" t="s">
        <x:v>1999</x:v>
      </x:c>
      <x:c r="I94" s="195" t="str">
        <x:f>IFERROR(VLOOKUP(O94,'학생용 IP'!$C$11:$H$326,5,FALSE),"")</x:f>
        <x:v>10.54.37.115</x:v>
      </x:c>
      <x:c r="J94" s="124" t="s">
        <x:v>678</x:v>
      </x:c>
      <x:c r="K94" s="124"/>
      <x:c r="L94" s="171">
        <x:v>20200717</x:v>
      </x:c>
      <x:c r="M94" s="125">
        <x:v>870000</x:v>
      </x:c>
      <x:c r="N94" s="124" t="s">
        <x:v>2045</x:v>
      </x:c>
      <x:c r="O94" s="124" t="s">
        <x:v>734</x:v>
      </x:c>
      <x:c r="P94" s="124">
        <x:v>831</x:v>
      </x:c>
      <x:c r="Q94" s="124" t="s">
        <x:v>693</x:v>
      </x:c>
      <x:c r="R94" s="124" t="s">
        <x:v>2029</x:v>
      </x:c>
      <x:c r="S94" s="124" t="s">
        <x:v>1572</x:v>
      </x:c>
      <x:c r="T94" s="124" t="s">
        <x:v>1993</x:v>
      </x:c>
      <x:c r="U94" s="124"/>
      <x:c r="V94" s="124" t="s">
        <x:v>1561</x:v>
      </x:c>
    </x:row>
    <x:row r="95" spans="1:22" s="23" customFormat="1" ht="13.25" customHeight="1">
      <x:c r="A95" s="25" t="str">
        <x:f>O95</x:f>
        <x:v>3층 실습용 14</x:v>
      </x:c>
      <x:c r="B95" s="25" t="str">
        <x:f>L95&amp;"-"&amp;TEXT(P95,"0000")</x:f>
        <x:v>20200717-0830</x:v>
      </x:c>
      <x:c r="C95" s="124" t="s">
        <x:v>1978</x:v>
      </x:c>
      <x:c r="D95" s="124" t="s">
        <x:v>1581</x:v>
      </x:c>
      <x:c r="E95" s="124" t="s">
        <x:v>1568</x:v>
      </x:c>
      <x:c r="F95" s="124" t="s">
        <x:v>2135</x:v>
      </x:c>
      <x:c r="G95" s="124" t="s">
        <x:v>2038</x:v>
      </x:c>
      <x:c r="H95" s="124" t="s">
        <x:v>1999</x:v>
      </x:c>
      <x:c r="I95" s="195" t="str">
        <x:f>IFERROR(VLOOKUP(O95,'학생용 IP'!$C$11:$H$326,5,FALSE),"")</x:f>
        <x:v>10.54.37.114</x:v>
      </x:c>
      <x:c r="J95" s="124" t="s">
        <x:v>678</x:v>
      </x:c>
      <x:c r="K95" s="124"/>
      <x:c r="L95" s="171">
        <x:v>20200717</x:v>
      </x:c>
      <x:c r="M95" s="125">
        <x:v>870000</x:v>
      </x:c>
      <x:c r="N95" s="124" t="s">
        <x:v>2045</x:v>
      </x:c>
      <x:c r="O95" s="124" t="s">
        <x:v>740</x:v>
      </x:c>
      <x:c r="P95" s="124">
        <x:v>830</x:v>
      </x:c>
      <x:c r="Q95" s="124" t="s">
        <x:v>693</x:v>
      </x:c>
      <x:c r="R95" s="124" t="s">
        <x:v>2029</x:v>
      </x:c>
      <x:c r="S95" s="124" t="s">
        <x:v>1572</x:v>
      </x:c>
      <x:c r="T95" s="124" t="s">
        <x:v>1993</x:v>
      </x:c>
      <x:c r="U95" s="124"/>
      <x:c r="V95" s="124" t="s">
        <x:v>1561</x:v>
      </x:c>
    </x:row>
    <x:row r="96" spans="1:22" s="23" customFormat="1" ht="13.25" customHeight="1">
      <x:c r="A96" s="25" t="str">
        <x:f>O96</x:f>
        <x:v>3층 실습용 13</x:v>
      </x:c>
      <x:c r="B96" s="25" t="str">
        <x:f>L96&amp;"-"&amp;TEXT(P96,"0000")</x:f>
        <x:v>20200717-0829</x:v>
      </x:c>
      <x:c r="C96" s="124" t="s">
        <x:v>1978</x:v>
      </x:c>
      <x:c r="D96" s="124" t="s">
        <x:v>1581</x:v>
      </x:c>
      <x:c r="E96" s="124" t="s">
        <x:v>1568</x:v>
      </x:c>
      <x:c r="F96" s="124" t="s">
        <x:v>2135</x:v>
      </x:c>
      <x:c r="G96" s="124" t="s">
        <x:v>2038</x:v>
      </x:c>
      <x:c r="H96" s="124" t="s">
        <x:v>1999</x:v>
      </x:c>
      <x:c r="I96" s="195" t="str">
        <x:f>IFERROR(VLOOKUP(O96,'학생용 IP'!$C$11:$H$326,5,FALSE),"")</x:f>
        <x:v>10.54.37.113</x:v>
      </x:c>
      <x:c r="J96" s="124" t="s">
        <x:v>678</x:v>
      </x:c>
      <x:c r="K96" s="124"/>
      <x:c r="L96" s="171">
        <x:v>20200717</x:v>
      </x:c>
      <x:c r="M96" s="125">
        <x:v>870000</x:v>
      </x:c>
      <x:c r="N96" s="124" t="s">
        <x:v>2045</x:v>
      </x:c>
      <x:c r="O96" s="124" t="s">
        <x:v>752</x:v>
      </x:c>
      <x:c r="P96" s="124">
        <x:v>829</x:v>
      </x:c>
      <x:c r="Q96" s="124" t="s">
        <x:v>693</x:v>
      </x:c>
      <x:c r="R96" s="124" t="s">
        <x:v>2029</x:v>
      </x:c>
      <x:c r="S96" s="124" t="s">
        <x:v>1572</x:v>
      </x:c>
      <x:c r="T96" s="124" t="s">
        <x:v>1993</x:v>
      </x:c>
      <x:c r="U96" s="124"/>
      <x:c r="V96" s="124" t="s">
        <x:v>1561</x:v>
      </x:c>
    </x:row>
    <x:row r="97" spans="1:22" s="23" customFormat="1" ht="13.25" customHeight="1">
      <x:c r="A97" s="25" t="str">
        <x:f>O97</x:f>
        <x:v>3층 실습용 12</x:v>
      </x:c>
      <x:c r="B97" s="25" t="str">
        <x:f>L97&amp;"-"&amp;TEXT(P97,"0000")</x:f>
        <x:v>20200717-0828</x:v>
      </x:c>
      <x:c r="C97" s="124" t="s">
        <x:v>1978</x:v>
      </x:c>
      <x:c r="D97" s="124" t="s">
        <x:v>1581</x:v>
      </x:c>
      <x:c r="E97" s="124" t="s">
        <x:v>1568</x:v>
      </x:c>
      <x:c r="F97" s="124" t="s">
        <x:v>2135</x:v>
      </x:c>
      <x:c r="G97" s="124" t="s">
        <x:v>2038</x:v>
      </x:c>
      <x:c r="H97" s="124" t="s">
        <x:v>1999</x:v>
      </x:c>
      <x:c r="I97" s="195" t="str">
        <x:f>IFERROR(VLOOKUP(O97,'학생용 IP'!$C$11:$H$326,5,FALSE),"")</x:f>
        <x:v>10.54.37.112</x:v>
      </x:c>
      <x:c r="J97" s="124" t="s">
        <x:v>678</x:v>
      </x:c>
      <x:c r="K97" s="124"/>
      <x:c r="L97" s="171">
        <x:v>20200717</x:v>
      </x:c>
      <x:c r="M97" s="125">
        <x:v>870000</x:v>
      </x:c>
      <x:c r="N97" s="124" t="s">
        <x:v>2045</x:v>
      </x:c>
      <x:c r="O97" s="124" t="s">
        <x:v>720</x:v>
      </x:c>
      <x:c r="P97" s="124">
        <x:v>828</x:v>
      </x:c>
      <x:c r="Q97" s="124" t="s">
        <x:v>693</x:v>
      </x:c>
      <x:c r="R97" s="124" t="s">
        <x:v>2029</x:v>
      </x:c>
      <x:c r="S97" s="124" t="s">
        <x:v>1572</x:v>
      </x:c>
      <x:c r="T97" s="124" t="s">
        <x:v>1993</x:v>
      </x:c>
      <x:c r="U97" s="124"/>
      <x:c r="V97" s="124" t="s">
        <x:v>1561</x:v>
      </x:c>
    </x:row>
    <x:row r="98" spans="1:22" s="23" customFormat="1" ht="22.75" customHeight="1">
      <x:c r="A98" s="25" t="str">
        <x:f>O98</x:f>
        <x:v>3층 실습용 11</x:v>
      </x:c>
      <x:c r="B98" s="25" t="str">
        <x:f>L98&amp;"-"&amp;TEXT(P98,"0000")</x:f>
        <x:v>20200717-0827</x:v>
      </x:c>
      <x:c r="C98" s="124" t="s">
        <x:v>1978</x:v>
      </x:c>
      <x:c r="D98" s="124" t="s">
        <x:v>1581</x:v>
      </x:c>
      <x:c r="E98" s="124" t="s">
        <x:v>1568</x:v>
      </x:c>
      <x:c r="F98" s="124" t="s">
        <x:v>2135</x:v>
      </x:c>
      <x:c r="G98" s="124" t="s">
        <x:v>2038</x:v>
      </x:c>
      <x:c r="H98" s="124" t="s">
        <x:v>1999</x:v>
      </x:c>
      <x:c r="I98" s="195" t="str">
        <x:f>IFERROR(VLOOKUP(O98,'학생용 IP'!$C$11:$H$326,5,FALSE),"")</x:f>
        <x:v>10.54.37.111</x:v>
      </x:c>
      <x:c r="J98" s="124" t="s">
        <x:v>678</x:v>
      </x:c>
      <x:c r="K98" s="124"/>
      <x:c r="L98" s="171">
        <x:v>20200717</x:v>
      </x:c>
      <x:c r="M98" s="125">
        <x:v>870000</x:v>
      </x:c>
      <x:c r="N98" s="124" t="s">
        <x:v>2045</x:v>
      </x:c>
      <x:c r="O98" s="124" t="s">
        <x:v>710</x:v>
      </x:c>
      <x:c r="P98" s="124">
        <x:v>827</x:v>
      </x:c>
      <x:c r="Q98" s="124" t="s">
        <x:v>693</x:v>
      </x:c>
      <x:c r="R98" s="124" t="s">
        <x:v>2029</x:v>
      </x:c>
      <x:c r="S98" s="124" t="s">
        <x:v>1572</x:v>
      </x:c>
      <x:c r="T98" s="124" t="s">
        <x:v>1993</x:v>
      </x:c>
      <x:c r="U98" s="124"/>
      <x:c r="V98" s="124" t="s">
        <x:v>1561</x:v>
      </x:c>
    </x:row>
    <x:row r="99" spans="1:22" s="23" customFormat="1" ht="17.39999999999999857891" customHeight="1">
      <x:c r="A99" s="25" t="str">
        <x:f>O99</x:f>
        <x:v>3층 실습용 10</x:v>
      </x:c>
      <x:c r="B99" s="25" t="str">
        <x:f>L99&amp;"-"&amp;TEXT(P99,"0000")</x:f>
        <x:v>20200717-0826</x:v>
      </x:c>
      <x:c r="C99" s="124" t="s">
        <x:v>1978</x:v>
      </x:c>
      <x:c r="D99" s="124" t="s">
        <x:v>1581</x:v>
      </x:c>
      <x:c r="E99" s="124" t="s">
        <x:v>1568</x:v>
      </x:c>
      <x:c r="F99" s="124" t="s">
        <x:v>2135</x:v>
      </x:c>
      <x:c r="G99" s="124" t="s">
        <x:v>2038</x:v>
      </x:c>
      <x:c r="H99" s="124" t="s">
        <x:v>1999</x:v>
      </x:c>
      <x:c r="I99" s="195" t="str">
        <x:f>IFERROR(VLOOKUP(O99,'학생용 IP'!$C$11:$H$326,5,FALSE),"")</x:f>
        <x:v>10.54.37.110</x:v>
      </x:c>
      <x:c r="J99" s="124" t="s">
        <x:v>678</x:v>
      </x:c>
      <x:c r="K99" s="124"/>
      <x:c r="L99" s="171">
        <x:v>20200717</x:v>
      </x:c>
      <x:c r="M99" s="125">
        <x:v>870000</x:v>
      </x:c>
      <x:c r="N99" s="124" t="s">
        <x:v>2045</x:v>
      </x:c>
      <x:c r="O99" s="124" t="s">
        <x:v>698</x:v>
      </x:c>
      <x:c r="P99" s="124">
        <x:v>826</x:v>
      </x:c>
      <x:c r="Q99" s="124" t="s">
        <x:v>693</x:v>
      </x:c>
      <x:c r="R99" s="124" t="s">
        <x:v>2029</x:v>
      </x:c>
      <x:c r="S99" s="124" t="s">
        <x:v>1572</x:v>
      </x:c>
      <x:c r="T99" s="124" t="s">
        <x:v>1993</x:v>
      </x:c>
      <x:c r="U99" s="124"/>
      <x:c r="V99" s="124" t="s">
        <x:v>1561</x:v>
      </x:c>
    </x:row>
    <x:row r="100" spans="1:22" s="23" customFormat="1" ht="12.65000000000000035527" customHeight="1">
      <x:c r="A100" s="25" t="str">
        <x:f>O100</x:f>
        <x:v>3층 실습용 09</x:v>
      </x:c>
      <x:c r="B100" s="25" t="str">
        <x:f>L100&amp;"-"&amp;TEXT(P100,"0000")</x:f>
        <x:v>20200717-0825</x:v>
      </x:c>
      <x:c r="C100" s="124" t="s">
        <x:v>1978</x:v>
      </x:c>
      <x:c r="D100" s="124" t="s">
        <x:v>1581</x:v>
      </x:c>
      <x:c r="E100" s="124" t="s">
        <x:v>1568</x:v>
      </x:c>
      <x:c r="F100" s="124" t="s">
        <x:v>2135</x:v>
      </x:c>
      <x:c r="G100" s="124" t="s">
        <x:v>2038</x:v>
      </x:c>
      <x:c r="H100" s="124" t="s">
        <x:v>1999</x:v>
      </x:c>
      <x:c r="I100" s="195" t="str">
        <x:f>IFERROR(VLOOKUP(O100,'학생용 IP'!$C$11:$H$326,5,FALSE),"")</x:f>
        <x:v>10.54.37.109</x:v>
      </x:c>
      <x:c r="J100" s="124" t="s">
        <x:v>678</x:v>
      </x:c>
      <x:c r="K100" s="124"/>
      <x:c r="L100" s="171">
        <x:v>20200717</x:v>
      </x:c>
      <x:c r="M100" s="125">
        <x:v>870000</x:v>
      </x:c>
      <x:c r="N100" s="124" t="s">
        <x:v>2045</x:v>
      </x:c>
      <x:c r="O100" s="124" t="s">
        <x:v>727</x:v>
      </x:c>
      <x:c r="P100" s="124">
        <x:v>825</x:v>
      </x:c>
      <x:c r="Q100" s="124" t="s">
        <x:v>693</x:v>
      </x:c>
      <x:c r="R100" s="124" t="s">
        <x:v>2029</x:v>
      </x:c>
      <x:c r="S100" s="124" t="s">
        <x:v>1572</x:v>
      </x:c>
      <x:c r="T100" s="124" t="s">
        <x:v>1993</x:v>
      </x:c>
      <x:c r="U100" s="124"/>
      <x:c r="V100" s="124" t="s">
        <x:v>1561</x:v>
      </x:c>
    </x:row>
    <x:row r="101" spans="1:22" s="23" customFormat="1" ht="22.75" customHeight="1">
      <x:c r="A101" s="25" t="str">
        <x:f>O101</x:f>
        <x:v>3층 실습용 08</x:v>
      </x:c>
      <x:c r="B101" s="25" t="str">
        <x:f>L101&amp;"-"&amp;TEXT(P101,"0000")</x:f>
        <x:v>20200717-0824</x:v>
      </x:c>
      <x:c r="C101" s="124" t="s">
        <x:v>1978</x:v>
      </x:c>
      <x:c r="D101" s="124" t="s">
        <x:v>1581</x:v>
      </x:c>
      <x:c r="E101" s="124" t="s">
        <x:v>1568</x:v>
      </x:c>
      <x:c r="F101" s="124" t="s">
        <x:v>2135</x:v>
      </x:c>
      <x:c r="G101" s="124" t="s">
        <x:v>2038</x:v>
      </x:c>
      <x:c r="H101" s="124" t="s">
        <x:v>1999</x:v>
      </x:c>
      <x:c r="I101" s="195" t="str">
        <x:f>IFERROR(VLOOKUP(O101,'학생용 IP'!$C$11:$H$326,5,FALSE),"")</x:f>
        <x:v>10.54.37.108</x:v>
      </x:c>
      <x:c r="J101" s="124" t="s">
        <x:v>678</x:v>
      </x:c>
      <x:c r="K101" s="124"/>
      <x:c r="L101" s="171">
        <x:v>20200717</x:v>
      </x:c>
      <x:c r="M101" s="125">
        <x:v>870000</x:v>
      </x:c>
      <x:c r="N101" s="124" t="s">
        <x:v>2045</x:v>
      </x:c>
      <x:c r="O101" s="124" t="s">
        <x:v>712</x:v>
      </x:c>
      <x:c r="P101" s="124">
        <x:v>824</x:v>
      </x:c>
      <x:c r="Q101" s="124" t="s">
        <x:v>693</x:v>
      </x:c>
      <x:c r="R101" s="124" t="s">
        <x:v>2029</x:v>
      </x:c>
      <x:c r="S101" s="124" t="s">
        <x:v>1572</x:v>
      </x:c>
      <x:c r="T101" s="124" t="s">
        <x:v>1993</x:v>
      </x:c>
      <x:c r="U101" s="124"/>
      <x:c r="V101" s="124" t="s">
        <x:v>1561</x:v>
      </x:c>
    </x:row>
    <x:row r="102" spans="1:22" s="23" customFormat="1" ht="15.65000000000000035527" customHeight="1">
      <x:c r="A102" s="25" t="str">
        <x:f>O102</x:f>
        <x:v>3층 실습용 07</x:v>
      </x:c>
      <x:c r="B102" s="25" t="str">
        <x:f>L102&amp;"-"&amp;TEXT(P102,"0000")</x:f>
        <x:v>20200717-0823</x:v>
      </x:c>
      <x:c r="C102" s="124" t="s">
        <x:v>1978</x:v>
      </x:c>
      <x:c r="D102" s="124" t="s">
        <x:v>1581</x:v>
      </x:c>
      <x:c r="E102" s="124" t="s">
        <x:v>1568</x:v>
      </x:c>
      <x:c r="F102" s="124" t="s">
        <x:v>2135</x:v>
      </x:c>
      <x:c r="G102" s="124" t="s">
        <x:v>2038</x:v>
      </x:c>
      <x:c r="H102" s="124" t="s">
        <x:v>1999</x:v>
      </x:c>
      <x:c r="I102" s="195" t="str">
        <x:f>IFERROR(VLOOKUP(O102,'학생용 IP'!$C$11:$H$326,5,FALSE),"")</x:f>
        <x:v>10.54.37.107</x:v>
      </x:c>
      <x:c r="J102" s="124" t="s">
        <x:v>678</x:v>
      </x:c>
      <x:c r="K102" s="124"/>
      <x:c r="L102" s="171">
        <x:v>20200717</x:v>
      </x:c>
      <x:c r="M102" s="125">
        <x:v>870000</x:v>
      </x:c>
      <x:c r="N102" s="124" t="s">
        <x:v>2045</x:v>
      </x:c>
      <x:c r="O102" s="124" t="s">
        <x:v>724</x:v>
      </x:c>
      <x:c r="P102" s="124">
        <x:v>823</x:v>
      </x:c>
      <x:c r="Q102" s="124" t="s">
        <x:v>693</x:v>
      </x:c>
      <x:c r="R102" s="124" t="s">
        <x:v>2029</x:v>
      </x:c>
      <x:c r="S102" s="124" t="s">
        <x:v>1572</x:v>
      </x:c>
      <x:c r="T102" s="124" t="s">
        <x:v>1993</x:v>
      </x:c>
      <x:c r="U102" s="124"/>
      <x:c r="V102" s="124" t="s">
        <x:v>1561</x:v>
      </x:c>
    </x:row>
    <x:row r="103" spans="1:22" s="23" customFormat="1" ht="16.75" customHeight="1">
      <x:c r="A103" s="25" t="str">
        <x:f>O103</x:f>
        <x:v>3층 실습용 06</x:v>
      </x:c>
      <x:c r="B103" s="25" t="str">
        <x:f>L103&amp;"-"&amp;TEXT(P103,"0000")</x:f>
        <x:v>20200717-0822</x:v>
      </x:c>
      <x:c r="C103" s="124" t="s">
        <x:v>1978</x:v>
      </x:c>
      <x:c r="D103" s="124" t="s">
        <x:v>1581</x:v>
      </x:c>
      <x:c r="E103" s="124" t="s">
        <x:v>1568</x:v>
      </x:c>
      <x:c r="F103" s="124" t="s">
        <x:v>2135</x:v>
      </x:c>
      <x:c r="G103" s="124" t="s">
        <x:v>2038</x:v>
      </x:c>
      <x:c r="H103" s="124" t="s">
        <x:v>1999</x:v>
      </x:c>
      <x:c r="I103" s="195" t="str">
        <x:f>IFERROR(VLOOKUP(O103,'학생용 IP'!$C$11:$H$326,5,FALSE),"")</x:f>
        <x:v>10.54.37.106</x:v>
      </x:c>
      <x:c r="J103" s="124" t="s">
        <x:v>678</x:v>
      </x:c>
      <x:c r="K103" s="124"/>
      <x:c r="L103" s="171">
        <x:v>20200717</x:v>
      </x:c>
      <x:c r="M103" s="125">
        <x:v>870000</x:v>
      </x:c>
      <x:c r="N103" s="124" t="s">
        <x:v>2045</x:v>
      </x:c>
      <x:c r="O103" s="124" t="s">
        <x:v>745</x:v>
      </x:c>
      <x:c r="P103" s="124">
        <x:v>822</x:v>
      </x:c>
      <x:c r="Q103" s="124" t="s">
        <x:v>693</x:v>
      </x:c>
      <x:c r="R103" s="124" t="s">
        <x:v>2029</x:v>
      </x:c>
      <x:c r="S103" s="124" t="s">
        <x:v>1572</x:v>
      </x:c>
      <x:c r="T103" s="124" t="s">
        <x:v>1993</x:v>
      </x:c>
      <x:c r="U103" s="124"/>
      <x:c r="V103" s="124" t="s">
        <x:v>1561</x:v>
      </x:c>
    </x:row>
    <x:row r="104" spans="1:22" s="23" customFormat="1" ht="15.65000000000000035527" customHeight="1">
      <x:c r="A104" s="25" t="str">
        <x:f>O104</x:f>
        <x:v>3층 실습용 05</x:v>
      </x:c>
      <x:c r="B104" s="25" t="str">
        <x:f>L104&amp;"-"&amp;TEXT(P104,"0000")</x:f>
        <x:v>20200717-0821</x:v>
      </x:c>
      <x:c r="C104" s="124" t="s">
        <x:v>1978</x:v>
      </x:c>
      <x:c r="D104" s="124" t="s">
        <x:v>1581</x:v>
      </x:c>
      <x:c r="E104" s="124" t="s">
        <x:v>1568</x:v>
      </x:c>
      <x:c r="F104" s="124" t="s">
        <x:v>2135</x:v>
      </x:c>
      <x:c r="G104" s="124" t="s">
        <x:v>2038</x:v>
      </x:c>
      <x:c r="H104" s="124" t="s">
        <x:v>1999</x:v>
      </x:c>
      <x:c r="I104" s="195" t="str">
        <x:f>IFERROR(VLOOKUP(O104,'학생용 IP'!$C$11:$H$326,5,FALSE),"")</x:f>
        <x:v>10.54.37.105</x:v>
      </x:c>
      <x:c r="J104" s="124" t="s">
        <x:v>678</x:v>
      </x:c>
      <x:c r="K104" s="124"/>
      <x:c r="L104" s="171">
        <x:v>20200717</x:v>
      </x:c>
      <x:c r="M104" s="125">
        <x:v>870000</x:v>
      </x:c>
      <x:c r="N104" s="124" t="s">
        <x:v>2045</x:v>
      </x:c>
      <x:c r="O104" s="124" t="s">
        <x:v>728</x:v>
      </x:c>
      <x:c r="P104" s="124">
        <x:v>821</x:v>
      </x:c>
      <x:c r="Q104" s="124" t="s">
        <x:v>693</x:v>
      </x:c>
      <x:c r="R104" s="124" t="s">
        <x:v>2029</x:v>
      </x:c>
      <x:c r="S104" s="124" t="s">
        <x:v>1572</x:v>
      </x:c>
      <x:c r="T104" s="124" t="s">
        <x:v>1993</x:v>
      </x:c>
      <x:c r="U104" s="124"/>
      <x:c r="V104" s="124" t="s">
        <x:v>1561</x:v>
      </x:c>
    </x:row>
    <x:row r="105" spans="1:22" s="23" customFormat="1" customHeight="1">
      <x:c r="A105" s="25" t="str">
        <x:f>O105</x:f>
        <x:v>3층 실습용 04</x:v>
      </x:c>
      <x:c r="B105" s="25" t="str">
        <x:f>L105&amp;"-"&amp;TEXT(P105,"0000")</x:f>
        <x:v>20200717-0820</x:v>
      </x:c>
      <x:c r="C105" s="124" t="s">
        <x:v>1978</x:v>
      </x:c>
      <x:c r="D105" s="124" t="s">
        <x:v>1581</x:v>
      </x:c>
      <x:c r="E105" s="124" t="s">
        <x:v>1568</x:v>
      </x:c>
      <x:c r="F105" s="124" t="s">
        <x:v>2135</x:v>
      </x:c>
      <x:c r="G105" s="124" t="s">
        <x:v>2038</x:v>
      </x:c>
      <x:c r="H105" s="124" t="s">
        <x:v>1999</x:v>
      </x:c>
      <x:c r="I105" s="195" t="str">
        <x:f>IFERROR(VLOOKUP(O105,'학생용 IP'!$C$11:$H$326,5,FALSE),"")</x:f>
        <x:v>10.54.37.104</x:v>
      </x:c>
      <x:c r="J105" s="124" t="s">
        <x:v>678</x:v>
      </x:c>
      <x:c r="K105" s="124"/>
      <x:c r="L105" s="171">
        <x:v>20200717</x:v>
      </x:c>
      <x:c r="M105" s="125">
        <x:v>870000</x:v>
      </x:c>
      <x:c r="N105" s="124" t="s">
        <x:v>2045</x:v>
      </x:c>
      <x:c r="O105" s="124" t="s">
        <x:v>730</x:v>
      </x:c>
      <x:c r="P105" s="124">
        <x:v>820</x:v>
      </x:c>
      <x:c r="Q105" s="124" t="s">
        <x:v>693</x:v>
      </x:c>
      <x:c r="R105" s="124" t="s">
        <x:v>2029</x:v>
      </x:c>
      <x:c r="S105" s="124" t="s">
        <x:v>1572</x:v>
      </x:c>
      <x:c r="T105" s="124" t="s">
        <x:v>1993</x:v>
      </x:c>
      <x:c r="U105" s="124"/>
      <x:c r="V105" s="124" t="s">
        <x:v>1561</x:v>
      </x:c>
    </x:row>
    <x:row r="106" spans="1:22" s="23" customFormat="1" ht="12.65000000000000035527" customHeight="1">
      <x:c r="A106" s="25" t="str">
        <x:f>O106</x:f>
        <x:v>3층 실습용 03</x:v>
      </x:c>
      <x:c r="B106" s="25" t="str">
        <x:f>L106&amp;"-"&amp;TEXT(P106,"0000")</x:f>
        <x:v>20200717-0819</x:v>
      </x:c>
      <x:c r="C106" s="124" t="s">
        <x:v>1978</x:v>
      </x:c>
      <x:c r="D106" s="124" t="s">
        <x:v>1581</x:v>
      </x:c>
      <x:c r="E106" s="124" t="s">
        <x:v>1568</x:v>
      </x:c>
      <x:c r="F106" s="124" t="s">
        <x:v>2135</x:v>
      </x:c>
      <x:c r="G106" s="124" t="s">
        <x:v>2038</x:v>
      </x:c>
      <x:c r="H106" s="124" t="s">
        <x:v>1999</x:v>
      </x:c>
      <x:c r="I106" s="195" t="str">
        <x:f>IFERROR(VLOOKUP(O106,'학생용 IP'!$C$11:$H$326,5,FALSE),"")</x:f>
        <x:v>10.54.37.103</x:v>
      </x:c>
      <x:c r="J106" s="124" t="s">
        <x:v>678</x:v>
      </x:c>
      <x:c r="K106" s="124"/>
      <x:c r="L106" s="171">
        <x:v>20200717</x:v>
      </x:c>
      <x:c r="M106" s="125">
        <x:v>870000</x:v>
      </x:c>
      <x:c r="N106" s="124" t="s">
        <x:v>2045</x:v>
      </x:c>
      <x:c r="O106" s="124" t="s">
        <x:v>736</x:v>
      </x:c>
      <x:c r="P106" s="124">
        <x:v>819</x:v>
      </x:c>
      <x:c r="Q106" s="124" t="s">
        <x:v>693</x:v>
      </x:c>
      <x:c r="R106" s="124" t="s">
        <x:v>2029</x:v>
      </x:c>
      <x:c r="S106" s="124" t="s">
        <x:v>1572</x:v>
      </x:c>
      <x:c r="T106" s="124" t="s">
        <x:v>1993</x:v>
      </x:c>
      <x:c r="U106" s="124"/>
      <x:c r="V106" s="124" t="s">
        <x:v>1561</x:v>
      </x:c>
    </x:row>
    <x:row r="107" spans="1:22" s="23" customFormat="1" ht="16.25" customHeight="1">
      <x:c r="A107" s="25" t="str">
        <x:f>O107</x:f>
        <x:v>3층 실습용 02</x:v>
      </x:c>
      <x:c r="B107" s="25" t="str">
        <x:f>L107&amp;"-"&amp;TEXT(P107,"0000")</x:f>
        <x:v>20200717-0818</x:v>
      </x:c>
      <x:c r="C107" s="124" t="s">
        <x:v>1978</x:v>
      </x:c>
      <x:c r="D107" s="124" t="s">
        <x:v>1581</x:v>
      </x:c>
      <x:c r="E107" s="124" t="s">
        <x:v>1568</x:v>
      </x:c>
      <x:c r="F107" s="124" t="s">
        <x:v>2135</x:v>
      </x:c>
      <x:c r="G107" s="124" t="s">
        <x:v>2038</x:v>
      </x:c>
      <x:c r="H107" s="124" t="s">
        <x:v>1999</x:v>
      </x:c>
      <x:c r="I107" s="195" t="str">
        <x:f>IFERROR(VLOOKUP(O107,'학생용 IP'!$C$11:$H$326,5,FALSE),"")</x:f>
        <x:v>10.54.37.102</x:v>
      </x:c>
      <x:c r="J107" s="124" t="s">
        <x:v>678</x:v>
      </x:c>
      <x:c r="K107" s="124"/>
      <x:c r="L107" s="171">
        <x:v>20200717</x:v>
      </x:c>
      <x:c r="M107" s="125">
        <x:v>870000</x:v>
      </x:c>
      <x:c r="N107" s="124" t="s">
        <x:v>2045</x:v>
      </x:c>
      <x:c r="O107" s="124" t="s">
        <x:v>750</x:v>
      </x:c>
      <x:c r="P107" s="124">
        <x:v>818</x:v>
      </x:c>
      <x:c r="Q107" s="124" t="s">
        <x:v>693</x:v>
      </x:c>
      <x:c r="R107" s="124" t="s">
        <x:v>2029</x:v>
      </x:c>
      <x:c r="S107" s="124" t="s">
        <x:v>1572</x:v>
      </x:c>
      <x:c r="T107" s="124" t="s">
        <x:v>1993</x:v>
      </x:c>
      <x:c r="U107" s="124"/>
      <x:c r="V107" s="124" t="s">
        <x:v>1561</x:v>
      </x:c>
    </x:row>
    <x:row r="108" spans="1:22" s="23" customFormat="1" ht="19.75" customHeight="1">
      <x:c r="A108" s="211" t="str">
        <x:f>O108</x:f>
        <x:v>3층 실습용 01</x:v>
      </x:c>
      <x:c r="B108" s="211" t="str">
        <x:f>L108&amp;"-"&amp;TEXT(P108,"0000")</x:f>
        <x:v>20200717-0817</x:v>
      </x:c>
      <x:c r="C108" s="391" t="s">
        <x:v>1978</x:v>
      </x:c>
      <x:c r="D108" s="391" t="s">
        <x:v>1581</x:v>
      </x:c>
      <x:c r="E108" s="391" t="s">
        <x:v>1568</x:v>
      </x:c>
      <x:c r="F108" s="391" t="s">
        <x:v>2135</x:v>
      </x:c>
      <x:c r="G108" s="391" t="s">
        <x:v>2038</x:v>
      </x:c>
      <x:c r="H108" s="391" t="s">
        <x:v>1999</x:v>
      </x:c>
      <x:c r="I108" s="392" t="str">
        <x:f>IFERROR(VLOOKUP(O108,'학생용 IP'!$C$11:$H$326,5,FALSE),"")</x:f>
        <x:v>10.54.37.101</x:v>
      </x:c>
      <x:c r="J108" s="391" t="s">
        <x:v>678</x:v>
      </x:c>
      <x:c r="K108" s="391"/>
      <x:c r="L108" s="391">
        <x:v>20200717</x:v>
      </x:c>
      <x:c r="M108" s="392">
        <x:v>870000</x:v>
      </x:c>
      <x:c r="N108" s="391" t="s">
        <x:v>2045</x:v>
      </x:c>
      <x:c r="O108" s="391" t="s">
        <x:v>749</x:v>
      </x:c>
      <x:c r="P108" s="124">
        <x:v>817</x:v>
      </x:c>
      <x:c r="Q108" s="124" t="s">
        <x:v>693</x:v>
      </x:c>
      <x:c r="R108" s="124" t="s">
        <x:v>2029</x:v>
      </x:c>
      <x:c r="S108" s="124" t="s">
        <x:v>1572</x:v>
      </x:c>
      <x:c r="T108" s="124" t="s">
        <x:v>1993</x:v>
      </x:c>
      <x:c r="U108" s="124"/>
      <x:c r="V108" s="124" t="s">
        <x:v>1561</x:v>
      </x:c>
    </x:row>
    <x:row r="109" spans="1:22" s="23" customFormat="1" ht="18.64999999999999857891" customHeight="1">
      <x:c r="A109" s="90" t="str">
        <x:f>O109</x:f>
        <x:v>탁지완</x:v>
      </x:c>
      <x:c r="B109" s="90" t="str">
        <x:f>L109&amp;"-"&amp;TEXT(P109,"0000")</x:f>
        <x:v>20191224-0809</x:v>
      </x:c>
      <x:c r="C109" s="187" t="s">
        <x:v>1564</x:v>
      </x:c>
      <x:c r="D109" s="187" t="s">
        <x:v>1581</x:v>
      </x:c>
      <x:c r="E109" s="187" t="s">
        <x:v>1251</x:v>
      </x:c>
      <x:c r="F109" s="187" t="s">
        <x:v>3191</x:v>
      </x:c>
      <x:c r="G109" s="187" t="s">
        <x:v>1537</x:v>
      </x:c>
      <x:c r="H109" s="187" t="str">
        <x:f>IFERROR(VLOOKUP(O109,'정보화기기 명부'!A$2:B$187,2,FALSE),"")</x:f>
        <x:v>2층 교무실</x:v>
      </x:c>
      <x:c r="I109" s="187" t="str">
        <x:f>IFERROR(VLOOKUP(A109,'교직원용 IP'!$C$2:$H$230,6,FALSE),"")</x:f>
        <x:v>10.51.90.150</x:v>
      </x:c>
      <x:c r="J109" s="403" t="s">
        <x:v>2261</x:v>
      </x:c>
      <x:c r="K109" s="187" t="s">
        <x:v>1701</x:v>
      </x:c>
      <x:c r="L109" s="187">
        <x:v>20191224</x:v>
      </x:c>
      <x:c r="M109" s="195">
        <x:v>869000</x:v>
      </x:c>
      <x:c r="N109" s="187" t="s">
        <x:v>1965</x:v>
      </x:c>
      <x:c r="O109" s="187" t="s">
        <x:v>1235</x:v>
      </x:c>
      <x:c r="P109" s="124">
        <x:v>809</x:v>
      </x:c>
      <x:c r="Q109" s="124" t="s">
        <x:v>693</x:v>
      </x:c>
      <x:c r="R109" s="124" t="s">
        <x:v>2008</x:v>
      </x:c>
      <x:c r="S109" s="124" t="s">
        <x:v>1525</x:v>
      </x:c>
      <x:c r="T109" s="124" t="s">
        <x:v>1980</x:v>
      </x:c>
      <x:c r="U109" s="124"/>
      <x:c r="V109" s="124"/>
    </x:row>
    <x:row r="110" spans="1:22" s="23" customFormat="1" ht="28.25" customHeight="1">
      <x:c r="A110" s="89" t="str">
        <x:f>O110</x:f>
        <x:v>교사 예비용1</x:v>
      </x:c>
      <x:c r="B110" s="89" t="str">
        <x:f>L110&amp;"-"&amp;TEXT(P110,"0000")</x:f>
        <x:v>20191224-0810</x:v>
      </x:c>
      <x:c r="C110" s="124" t="s">
        <x:v>1564</x:v>
      </x:c>
      <x:c r="D110" s="124" t="s">
        <x:v>1581</x:v>
      </x:c>
      <x:c r="E110" s="124" t="s">
        <x:v>1251</x:v>
      </x:c>
      <x:c r="F110" s="124" t="s">
        <x:v>3191</x:v>
      </x:c>
      <x:c r="G110" s="124" t="s">
        <x:v>1537</x:v>
      </x:c>
      <x:c r="H110" s="124" t="str">
        <x:f>IFERROR(VLOOKUP(O110,'정보화기기 명부'!A$2:B$187,2,FALSE),"")</x:f>
        <x:v/>
      </x:c>
      <x:c r="I110" s="124" t="str">
        <x:f>IFERROR(VLOOKUP(A110,'교직원용 IP'!$C$2:$H$230,6,FALSE),"")</x:f>
        <x:v/>
      </x:c>
      <x:c r="J110" s="124"/>
      <x:c r="K110" s="124"/>
      <x:c r="L110" s="404">
        <x:v>20191224</x:v>
      </x:c>
      <x:c r="M110" s="125">
        <x:v>869000</x:v>
      </x:c>
      <x:c r="N110" s="124" t="s">
        <x:v>1965</x:v>
      </x:c>
      <x:c r="O110" s="402" t="s">
        <x:v>2101</x:v>
      </x:c>
      <x:c r="P110" s="124">
        <x:v>810</x:v>
      </x:c>
      <x:c r="Q110" s="124" t="s">
        <x:v>693</x:v>
      </x:c>
      <x:c r="R110" s="124" t="s">
        <x:v>2008</x:v>
      </x:c>
      <x:c r="S110" s="124" t="s">
        <x:v>1525</x:v>
      </x:c>
      <x:c r="T110" s="124" t="s">
        <x:v>1980</x:v>
      </x:c>
      <x:c r="U110" s="124"/>
      <x:c r="V110" s="124"/>
    </x:row>
    <x:row r="111" spans="1:22" s="23" customFormat="1" ht="12.65000000000000035527" customHeight="1">
      <x:c r="A111" s="90" t="str">
        <x:f>O111</x:f>
        <x:v>황근우</x:v>
      </x:c>
      <x:c r="B111" s="90" t="str">
        <x:f>L111&amp;"-"&amp;TEXT(P111,"0000")</x:f>
        <x:v>20191224-0811</x:v>
      </x:c>
      <x:c r="C111" s="187" t="s">
        <x:v>1564</x:v>
      </x:c>
      <x:c r="D111" s="187" t="s">
        <x:v>1581</x:v>
      </x:c>
      <x:c r="E111" s="187" t="s">
        <x:v>1251</x:v>
      </x:c>
      <x:c r="F111" s="187" t="s">
        <x:v>3191</x:v>
      </x:c>
      <x:c r="G111" s="187" t="s">
        <x:v>1537</x:v>
      </x:c>
      <x:c r="H111" s="187" t="str">
        <x:f>IFERROR(VLOOKUP(O111,'정보화기기 명부'!A$2:B$187,2,FALSE),"")</x:f>
        <x:v>특수교육부</x:v>
      </x:c>
      <x:c r="I111" s="187" t="str">
        <x:f>IFERROR(VLOOKUP(A111,'교직원용 IP'!$C$2:$H$230,6,FALSE),"")</x:f>
        <x:v>10.51.90.161</x:v>
      </x:c>
      <x:c r="J111" s="187" t="s">
        <x:v>845</x:v>
      </x:c>
      <x:c r="K111" s="187"/>
      <x:c r="L111" s="187">
        <x:v>20191224</x:v>
      </x:c>
      <x:c r="M111" s="195">
        <x:v>869000</x:v>
      </x:c>
      <x:c r="N111" s="187" t="s">
        <x:v>1965</x:v>
      </x:c>
      <x:c r="O111" s="187" t="s">
        <x:v>1233</x:v>
      </x:c>
      <x:c r="P111" s="124">
        <x:v>811</x:v>
      </x:c>
      <x:c r="Q111" s="124" t="s">
        <x:v>693</x:v>
      </x:c>
      <x:c r="R111" s="124" t="s">
        <x:v>2008</x:v>
      </x:c>
      <x:c r="S111" s="124" t="s">
        <x:v>1525</x:v>
      </x:c>
      <x:c r="T111" s="124" t="s">
        <x:v>1980</x:v>
      </x:c>
      <x:c r="U111" s="124"/>
      <x:c r="V111" s="124"/>
    </x:row>
    <x:row r="112" spans="1:22" s="23" customFormat="1" ht="7.25" customHeight="1">
      <x:c r="A112" s="90" t="s">
        <x:v>1484</x:v>
      </x:c>
      <x:c r="B112" s="90" t="str">
        <x:f>L112&amp;"-"&amp;TEXT(P112,"0000")</x:f>
        <x:v>20191224-0812</x:v>
      </x:c>
      <x:c r="C112" s="187" t="s">
        <x:v>1564</x:v>
      </x:c>
      <x:c r="D112" s="187" t="s">
        <x:v>1581</x:v>
      </x:c>
      <x:c r="E112" s="187" t="s">
        <x:v>1251</x:v>
      </x:c>
      <x:c r="F112" s="187" t="s">
        <x:v>3191</x:v>
      </x:c>
      <x:c r="G112" s="187" t="s">
        <x:v>1537</x:v>
      </x:c>
      <x:c r="H112" s="187" t="str">
        <x:f>IFERROR(VLOOKUP(O112,'정보화기기 명부'!A$2:B$187,2,FALSE),"")</x:f>
        <x:v>야구부합숙소</x:v>
      </x:c>
      <x:c r="I112" s="187" t="str">
        <x:f>IFERROR(VLOOKUP(A112,'교직원용 IP'!$C$2:$H$230,6,FALSE),"")</x:f>
        <x:v>10.51.91.9</x:v>
      </x:c>
      <x:c r="J112" s="187" t="s">
        <x:v>841</x:v>
      </x:c>
      <x:c r="K112" s="187" t="s">
        <x:v>1748</x:v>
      </x:c>
      <x:c r="L112" s="288">
        <x:v>20191224</x:v>
      </x:c>
      <x:c r="M112" s="195">
        <x:v>869000</x:v>
      </x:c>
      <x:c r="N112" s="187" t="s">
        <x:v>1965</x:v>
      </x:c>
      <x:c r="O112" s="187" t="s">
        <x:v>1484</x:v>
      </x:c>
      <x:c r="P112" s="124">
        <x:v>812</x:v>
      </x:c>
      <x:c r="Q112" s="124" t="s">
        <x:v>693</x:v>
      </x:c>
      <x:c r="R112" s="124" t="s">
        <x:v>2008</x:v>
      </x:c>
      <x:c r="S112" s="124" t="s">
        <x:v>1525</x:v>
      </x:c>
      <x:c r="T112" s="124" t="s">
        <x:v>1980</x:v>
      </x:c>
      <x:c r="U112" s="124"/>
      <x:c r="V112" s="124"/>
    </x:row>
    <x:row r="113" spans="1:22" s="23" customFormat="1" ht="16.75" customHeight="1">
      <x:c r="A113" s="89" t="str">
        <x:f>O113</x:f>
        <x:v>교사 예비용3</x:v>
      </x:c>
      <x:c r="B113" s="89" t="str">
        <x:f>L113&amp;"-"&amp;TEXT(P113,"0000")</x:f>
        <x:v>20191224-0813</x:v>
      </x:c>
      <x:c r="C113" s="124" t="s">
        <x:v>1564</x:v>
      </x:c>
      <x:c r="D113" s="124" t="s">
        <x:v>1581</x:v>
      </x:c>
      <x:c r="E113" s="124" t="s">
        <x:v>1251</x:v>
      </x:c>
      <x:c r="F113" s="124" t="s">
        <x:v>3191</x:v>
      </x:c>
      <x:c r="G113" s="124" t="s">
        <x:v>1537</x:v>
      </x:c>
      <x:c r="H113" s="124" t="str">
        <x:f>IFERROR(VLOOKUP(O113,'정보화기기 명부'!A$2:B$187,2,FALSE),"")</x:f>
        <x:v/>
      </x:c>
      <x:c r="I113" s="124" t="str">
        <x:f>IFERROR(VLOOKUP(A113,'교직원용 IP'!$C$2:$H$230,6,FALSE),"")</x:f>
        <x:v/>
      </x:c>
      <x:c r="J113" s="124" t="s">
        <x:v>2076</x:v>
      </x:c>
      <x:c r="K113" s="124"/>
      <x:c r="L113" s="404">
        <x:v>20191224</x:v>
      </x:c>
      <x:c r="M113" s="125">
        <x:v>869000</x:v>
      </x:c>
      <x:c r="N113" s="124" t="s">
        <x:v>1965</x:v>
      </x:c>
      <x:c r="O113" s="402" t="s">
        <x:v>1814</x:v>
      </x:c>
      <x:c r="P113" s="124">
        <x:v>813</x:v>
      </x:c>
      <x:c r="Q113" s="124" t="s">
        <x:v>693</x:v>
      </x:c>
      <x:c r="R113" s="124" t="s">
        <x:v>2008</x:v>
      </x:c>
      <x:c r="S113" s="124" t="s">
        <x:v>1525</x:v>
      </x:c>
      <x:c r="T113" s="124" t="s">
        <x:v>1980</x:v>
      </x:c>
      <x:c r="U113" s="124"/>
      <x:c r="V113" s="124"/>
    </x:row>
    <x:row r="114" spans="1:22" s="23" customFormat="1" customHeight="1">
      <x:c r="A114" s="90" t="str">
        <x:f>O114</x:f>
        <x:v>송성수</x:v>
      </x:c>
      <x:c r="B114" s="90" t="str">
        <x:f>L114&amp;"-"&amp;TEXT(P114,"0000")</x:f>
        <x:v>20191224-0814</x:v>
      </x:c>
      <x:c r="C114" s="187" t="s">
        <x:v>1564</x:v>
      </x:c>
      <x:c r="D114" s="187" t="s">
        <x:v>1581</x:v>
      </x:c>
      <x:c r="E114" s="187" t="s">
        <x:v>1251</x:v>
      </x:c>
      <x:c r="F114" s="187">
        <x:v>0</x:v>
      </x:c>
      <x:c r="G114" s="187" t="s">
        <x:v>1537</x:v>
      </x:c>
      <x:c r="H114" s="187" t="str">
        <x:f>IFERROR(VLOOKUP(O114,'정보화기기 명부'!A$2:B$187,2,FALSE),"")</x:f>
        <x:v>야구부합숙소</x:v>
      </x:c>
      <x:c r="I114" s="187" t="str">
        <x:f>IFERROR(VLOOKUP(A114,'교직원용 IP'!$C$2:$H$230,6,FALSE),"")</x:f>
        <x:v>10.51.91.10</x:v>
      </x:c>
      <x:c r="J114" s="187" t="s">
        <x:v>841</x:v>
      </x:c>
      <x:c r="K114" s="187" t="s">
        <x:v>1748</x:v>
      </x:c>
      <x:c r="L114" s="187">
        <x:v>20191224</x:v>
      </x:c>
      <x:c r="M114" s="195">
        <x:v>869000</x:v>
      </x:c>
      <x:c r="N114" s="187" t="s">
        <x:v>1965</x:v>
      </x:c>
      <x:c r="O114" s="187" t="s">
        <x:v>1573</x:v>
      </x:c>
      <x:c r="P114" s="124">
        <x:v>814</x:v>
      </x:c>
      <x:c r="Q114" s="124" t="s">
        <x:v>693</x:v>
      </x:c>
      <x:c r="R114" s="124" t="s">
        <x:v>2008</x:v>
      </x:c>
      <x:c r="S114" s="124" t="s">
        <x:v>1525</x:v>
      </x:c>
      <x:c r="T114" s="124" t="s">
        <x:v>1980</x:v>
      </x:c>
      <x:c r="U114" s="124"/>
      <x:c r="V114" s="124"/>
    </x:row>
    <x:row r="115" spans="1:22" s="23" customFormat="1" customHeight="1">
      <x:c r="A115" s="89" t="str">
        <x:f>O115</x:f>
        <x:v>교사 예비용5</x:v>
      </x:c>
      <x:c r="B115" s="89" t="str">
        <x:f>L115&amp;"-"&amp;TEXT(P115,"0000")</x:f>
        <x:v>20191224-0815</x:v>
      </x:c>
      <x:c r="C115" s="187" t="s">
        <x:v>1564</x:v>
      </x:c>
      <x:c r="D115" s="187" t="s">
        <x:v>1581</x:v>
      </x:c>
      <x:c r="E115" s="187" t="s">
        <x:v>1251</x:v>
      </x:c>
      <x:c r="F115" s="187" t="s">
        <x:v>3191</x:v>
      </x:c>
      <x:c r="G115" s="187" t="s">
        <x:v>1537</x:v>
      </x:c>
      <x:c r="H115" s="187" t="str">
        <x:f>IFERROR(VLOOKUP(O115,'정보화기기 명부'!A$2:B$187,2,FALSE),"")</x:f>
        <x:v/>
      </x:c>
      <x:c r="I115" s="187" t="str">
        <x:f>IFERROR(VLOOKUP(A115,'교직원용 IP'!$C$2:$H$230,6,FALSE),"")</x:f>
        <x:v/>
      </x:c>
      <x:c r="J115" s="187"/>
      <x:c r="K115" s="187"/>
      <x:c r="L115" s="187">
        <x:v>20191224</x:v>
      </x:c>
      <x:c r="M115" s="195">
        <x:v>869000</x:v>
      </x:c>
      <x:c r="N115" s="187" t="s">
        <x:v>1965</x:v>
      </x:c>
      <x:c r="O115" s="187" t="s">
        <x:v>1742</x:v>
      </x:c>
      <x:c r="P115" s="124">
        <x:v>815</x:v>
      </x:c>
      <x:c r="Q115" s="124" t="s">
        <x:v>693</x:v>
      </x:c>
      <x:c r="R115" s="124" t="s">
        <x:v>2008</x:v>
      </x:c>
      <x:c r="S115" s="124" t="s">
        <x:v>1525</x:v>
      </x:c>
      <x:c r="T115" s="124" t="s">
        <x:v>1980</x:v>
      </x:c>
      <x:c r="U115" s="124"/>
      <x:c r="V115" s="124"/>
    </x:row>
    <x:row r="116" spans="1:22" s="23" customFormat="1" customHeight="1">
      <x:c r="A116" s="89" t="str">
        <x:f>O116</x:f>
        <x:v>교사 예비용6</x:v>
      </x:c>
      <x:c r="B116" s="89" t="str">
        <x:f>L116&amp;"-"&amp;TEXT(P116,"0000")</x:f>
        <x:v>20191224-0816</x:v>
      </x:c>
      <x:c r="C116" s="124" t="s">
        <x:v>1564</x:v>
      </x:c>
      <x:c r="D116" s="124" t="s">
        <x:v>1581</x:v>
      </x:c>
      <x:c r="E116" s="124" t="s">
        <x:v>1251</x:v>
      </x:c>
      <x:c r="F116" s="124" t="s">
        <x:v>3191</x:v>
      </x:c>
      <x:c r="G116" s="124" t="s">
        <x:v>1537</x:v>
      </x:c>
      <x:c r="H116" s="124" t="str">
        <x:f>IFERROR(VLOOKUP(O116,'정보화기기 명부'!A$2:B$187,2,FALSE),"")</x:f>
        <x:v/>
      </x:c>
      <x:c r="I116" s="124" t="str">
        <x:f>IFERROR(VLOOKUP(O116,'교직원용 IP'!$C$2:$H$230,6,FALSE),"")</x:f>
        <x:v/>
      </x:c>
      <x:c r="J116" s="124"/>
      <x:c r="K116" s="124"/>
      <x:c r="L116" s="404">
        <x:v>20191224</x:v>
      </x:c>
      <x:c r="M116" s="125">
        <x:v>869000</x:v>
      </x:c>
      <x:c r="N116" s="124" t="s">
        <x:v>1965</x:v>
      </x:c>
      <x:c r="O116" s="402" t="s">
        <x:v>2099</x:v>
      </x:c>
      <x:c r="P116" s="124">
        <x:v>816</x:v>
      </x:c>
      <x:c r="Q116" s="124" t="s">
        <x:v>693</x:v>
      </x:c>
      <x:c r="R116" s="124" t="s">
        <x:v>2008</x:v>
      </x:c>
      <x:c r="S116" s="124" t="s">
        <x:v>1525</x:v>
      </x:c>
      <x:c r="T116" s="124" t="s">
        <x:v>1980</x:v>
      </x:c>
      <x:c r="U116" s="124"/>
      <x:c r="V116" s="124"/>
    </x:row>
    <x:row r="117" spans="1:26" s="23" customFormat="1" customHeight="1">
      <x:c r="A117" s="25" t="str">
        <x:f>O117</x:f>
        <x:v>고가영2</x:v>
      </x:c>
      <x:c r="B117" s="25" t="str">
        <x:f>L117&amp;"-"&amp;TEXT(P117,"0000")</x:f>
        <x:v>20190927-0807</x:v>
      </x:c>
      <x:c r="C117" s="157" t="s">
        <x:v>1978</x:v>
      </x:c>
      <x:c r="D117" s="157" t="s">
        <x:v>1581</x:v>
      </x:c>
      <x:c r="E117" s="157" t="s">
        <x:v>3145</x:v>
      </x:c>
      <x:c r="F117" s="157" t="s">
        <x:v>2179</x:v>
      </x:c>
      <x:c r="G117" s="157" t="s">
        <x:v>2002</x:v>
      </x:c>
      <x:c r="H117" s="124" t="str">
        <x:f>IFERROR(VLOOKUP(O117,'정보화기기 명부'!A$2:B$187,2,FALSE),"")</x:f>
        <x:v/>
      </x:c>
      <x:c r="I117" s="124" t="str">
        <x:f>IFERROR(VLOOKUP(A117,'교직원용 IP'!$C$2:$H$230,6,FALSE),"")</x:f>
        <x:v>10.51.90.128</x:v>
      </x:c>
      <x:c r="J117" s="157"/>
      <x:c r="K117" s="157"/>
      <x:c r="L117" s="385">
        <x:v>20190927</x:v>
      </x:c>
      <x:c r="M117" s="382">
        <x:v>665975</x:v>
      </x:c>
      <x:c r="N117" s="157" t="s">
        <x:v>2034</x:v>
      </x:c>
      <x:c r="O117" s="157" t="s">
        <x:v>1838</x:v>
      </x:c>
      <x:c r="P117" s="157">
        <x:v>807</x:v>
      </x:c>
      <x:c r="Q117" s="157" t="s">
        <x:v>693</x:v>
      </x:c>
      <x:c r="R117" s="157" t="s">
        <x:v>1643</x:v>
      </x:c>
      <x:c r="S117" s="157" t="s">
        <x:v>1525</x:v>
      </x:c>
      <x:c r="T117" s="157" t="s">
        <x:v>2037</x:v>
      </x:c>
      <x:c r="U117" s="157"/>
      <x:c r="V117" s="157" t="s">
        <x:v>739</x:v>
      </x:c>
      <x:c r="W117" s="91" t="s">
        <x:v>2047</x:v>
      </x:c>
      <x:c r="X117" s="91"/>
      <x:c r="Y117" s="91"/>
      <x:c r="Z117" s="91"/>
    </x:row>
    <x:row r="118" spans="1:26" s="23" customFormat="1" ht="14.40000000000000035527" customHeight="1">
      <x:c r="A118" s="25" t="str">
        <x:f>O118</x:f>
        <x:v>정다운</x:v>
      </x:c>
      <x:c r="B118" s="25" t="str">
        <x:f>L118&amp;"-"&amp;TEXT(P118,"0000")</x:f>
        <x:v>20190927-0806</x:v>
      </x:c>
      <x:c r="C118" s="157" t="s">
        <x:v>1978</x:v>
      </x:c>
      <x:c r="D118" s="157" t="s">
        <x:v>1581</x:v>
      </x:c>
      <x:c r="E118" s="157" t="s">
        <x:v>1251</x:v>
      </x:c>
      <x:c r="F118" s="157" t="s">
        <x:v>2179</x:v>
      </x:c>
      <x:c r="G118" s="157" t="s">
        <x:v>2002</x:v>
      </x:c>
      <x:c r="H118" s="124" t="str">
        <x:f>IFERROR(VLOOKUP(O118,'정보화기기 명부'!A$2:B$187,2,FALSE),"")</x:f>
        <x:v>2층 교무실</x:v>
      </x:c>
      <x:c r="I118" s="124" t="str">
        <x:f>IFERROR(VLOOKUP(A118,'교직원용 IP'!$C$2:$H$230,6,FALSE),"")</x:f>
        <x:v>10.51.90.86</x:v>
      </x:c>
      <x:c r="J118" s="157"/>
      <x:c r="K118" s="157"/>
      <x:c r="L118" s="385">
        <x:v>20190927</x:v>
      </x:c>
      <x:c r="M118" s="382">
        <x:v>665975</x:v>
      </x:c>
      <x:c r="N118" s="157" t="s">
        <x:v>2034</x:v>
      </x:c>
      <x:c r="O118" s="157" t="s">
        <x:v>1211</x:v>
      </x:c>
      <x:c r="P118" s="157">
        <x:v>806</x:v>
      </x:c>
      <x:c r="Q118" s="157" t="s">
        <x:v>693</x:v>
      </x:c>
      <x:c r="R118" s="157" t="s">
        <x:v>1643</x:v>
      </x:c>
      <x:c r="S118" s="157" t="s">
        <x:v>1525</x:v>
      </x:c>
      <x:c r="T118" s="157" t="s">
        <x:v>2037</x:v>
      </x:c>
      <x:c r="U118" s="157"/>
      <x:c r="V118" s="157" t="s">
        <x:v>739</x:v>
      </x:c>
      <x:c r="W118" s="91" t="s">
        <x:v>2047</x:v>
      </x:c>
      <x:c r="X118" s="91"/>
      <x:c r="Y118" s="91"/>
      <x:c r="Z118" s="91"/>
    </x:row>
    <x:row r="119" spans="1:26" s="23" customFormat="1" ht="16.75" customHeight="1">
      <x:c r="A119" s="89" t="str">
        <x:f>O119</x:f>
        <x:v>이주선</x:v>
      </x:c>
      <x:c r="B119" s="25" t="str">
        <x:f>L119&amp;"-"&amp;TEXT(P119,"0000")</x:f>
        <x:v>20190927-0804</x:v>
      </x:c>
      <x:c r="C119" s="157" t="s">
        <x:v>1978</x:v>
      </x:c>
      <x:c r="D119" s="157" t="s">
        <x:v>1581</x:v>
      </x:c>
      <x:c r="E119" s="157" t="s">
        <x:v>1552</x:v>
      </x:c>
      <x:c r="F119" s="157" t="s">
        <x:v>2179</x:v>
      </x:c>
      <x:c r="G119" s="157" t="s">
        <x:v>2002</x:v>
      </x:c>
      <x:c r="H119" s="124" t="str">
        <x:f>IFERROR(VLOOKUP(O119,'정보화기기 명부'!A$2:B$187,2,FALSE),"")</x:f>
        <x:v>급식실</x:v>
      </x:c>
      <x:c r="I119" s="124" t="str">
        <x:f>IFERROR(VLOOKUP(A119,'교직원용 IP'!$C$2:$H$230,6,FALSE),"")</x:f>
        <x:v>10.51.90.79</x:v>
      </x:c>
      <x:c r="J119" s="157"/>
      <x:c r="K119" s="157"/>
      <x:c r="L119" s="385">
        <x:v>20190927</x:v>
      </x:c>
      <x:c r="M119" s="382">
        <x:v>665975</x:v>
      </x:c>
      <x:c r="N119" s="157" t="s">
        <x:v>2034</x:v>
      </x:c>
      <x:c r="O119" s="157" t="s">
        <x:v>1202</x:v>
      </x:c>
      <x:c r="P119" s="157">
        <x:v>804</x:v>
      </x:c>
      <x:c r="Q119" s="157" t="s">
        <x:v>693</x:v>
      </x:c>
      <x:c r="R119" s="157" t="s">
        <x:v>1643</x:v>
      </x:c>
      <x:c r="S119" s="157" t="s">
        <x:v>1525</x:v>
      </x:c>
      <x:c r="T119" s="157" t="s">
        <x:v>2037</x:v>
      </x:c>
      <x:c r="U119" s="157"/>
      <x:c r="V119" s="157" t="s">
        <x:v>739</x:v>
      </x:c>
      <x:c r="W119" s="91" t="s">
        <x:v>2047</x:v>
      </x:c>
      <x:c r="X119" s="91"/>
      <x:c r="Y119" s="91"/>
      <x:c r="Z119" s="91"/>
    </x:row>
    <x:row r="120" spans="1:26" s="23" customFormat="1" ht="10.75" customHeight="1">
      <x:c r="A120" s="25" t="str">
        <x:f>O120</x:f>
        <x:v>4층 학부모 회의실</x:v>
      </x:c>
      <x:c r="B120" s="25" t="str">
        <x:f>L120&amp;"-"&amp;TEXT(P120,"0000")</x:f>
        <x:v>20190927-0789</x:v>
      </x:c>
      <x:c r="C120" s="157" t="s">
        <x:v>1978</x:v>
      </x:c>
      <x:c r="D120" s="157" t="s">
        <x:v>1581</x:v>
      </x:c>
      <x:c r="E120" s="157" t="s">
        <x:v>1568</x:v>
      </x:c>
      <x:c r="F120" s="157" t="s">
        <x:v>2179</x:v>
      </x:c>
      <x:c r="G120" s="157" t="s">
        <x:v>2002</x:v>
      </x:c>
      <x:c r="H120" s="157" t="str">
        <x:f>IFERROR(VLOOKUP(O120,'정보화기기 명부'!A$2:B$187,2,FALSE),"")</x:f>
        <x:v/>
      </x:c>
      <x:c r="I120" s="382" t="s">
        <x:v>2103</x:v>
      </x:c>
      <x:c r="J120" s="157" t="s">
        <x:v>774</x:v>
      </x:c>
      <x:c r="K120" s="157"/>
      <x:c r="L120" s="385">
        <x:v>20190927</x:v>
      </x:c>
      <x:c r="M120" s="382">
        <x:v>665975</x:v>
      </x:c>
      <x:c r="N120" s="157" t="s">
        <x:v>2045</x:v>
      </x:c>
      <x:c r="O120" s="157" t="s">
        <x:v>726</x:v>
      </x:c>
      <x:c r="P120" s="157">
        <x:v>789</x:v>
      </x:c>
      <x:c r="Q120" s="157" t="s">
        <x:v>693</x:v>
      </x:c>
      <x:c r="R120" s="157" t="s">
        <x:v>1643</x:v>
      </x:c>
      <x:c r="S120" s="157" t="s">
        <x:v>1525</x:v>
      </x:c>
      <x:c r="T120" s="157" t="s">
        <x:v>2037</x:v>
      </x:c>
      <x:c r="U120" s="157"/>
      <x:c r="V120" s="157" t="s">
        <x:v>739</x:v>
      </x:c>
      <x:c r="W120" s="91" t="s">
        <x:v>2047</x:v>
      </x:c>
      <x:c r="X120" s="91"/>
      <x:c r="Y120" s="91"/>
      <x:c r="Z120" s="91"/>
    </x:row>
    <x:row r="121" spans="1:26" s="23" customFormat="1" ht="12.65000000000000035527" customHeight="1">
      <x:c r="A121" s="25" t="str">
        <x:f>O121</x:f>
        <x:v>검색용1</x:v>
      </x:c>
      <x:c r="B121" s="25" t="str">
        <x:f>L121&amp;"-"&amp;TEXT(P121,"0000")</x:f>
        <x:v>20190927-0790</x:v>
      </x:c>
      <x:c r="C121" s="157" t="s">
        <x:v>1978</x:v>
      </x:c>
      <x:c r="D121" s="157" t="s">
        <x:v>1581</x:v>
      </x:c>
      <x:c r="E121" s="157" t="s">
        <x:v>1568</x:v>
      </x:c>
      <x:c r="F121" s="157" t="s">
        <x:v>2179</x:v>
      </x:c>
      <x:c r="G121" s="157" t="s">
        <x:v>2002</x:v>
      </x:c>
      <x:c r="H121" s="124" t="str">
        <x:f>IFERROR(VLOOKUP(O121,'정보화기기 명부'!A$2:B$187,2,FALSE),"")</x:f>
        <x:v>도서실</x:v>
      </x:c>
      <x:c r="I121" s="187" t="str">
        <x:f>IFERROR(VLOOKUP(O121,'학생용 IP'!$C$11:$H$326,5,FALSE),"")</x:f>
        <x:v>10.54.36.51</x:v>
      </x:c>
      <x:c r="J121" s="157" t="s">
        <x:v>731</x:v>
      </x:c>
      <x:c r="K121" s="157"/>
      <x:c r="L121" s="385">
        <x:v>20190927</x:v>
      </x:c>
      <x:c r="M121" s="382">
        <x:v>665975</x:v>
      </x:c>
      <x:c r="N121" s="157" t="s">
        <x:v>2045</x:v>
      </x:c>
      <x:c r="O121" s="157" t="s">
        <x:v>1620</x:v>
      </x:c>
      <x:c r="P121" s="157">
        <x:v>790</x:v>
      </x:c>
      <x:c r="Q121" s="157" t="s">
        <x:v>693</x:v>
      </x:c>
      <x:c r="R121" s="157" t="s">
        <x:v>1643</x:v>
      </x:c>
      <x:c r="S121" s="157" t="s">
        <x:v>1525</x:v>
      </x:c>
      <x:c r="T121" s="157" t="s">
        <x:v>2037</x:v>
      </x:c>
      <x:c r="U121" s="157"/>
      <x:c r="V121" s="157" t="s">
        <x:v>739</x:v>
      </x:c>
      <x:c r="W121" s="91" t="s">
        <x:v>2047</x:v>
      </x:c>
      <x:c r="X121" s="91"/>
      <x:c r="Y121" s="91"/>
      <x:c r="Z121" s="91"/>
    </x:row>
    <x:row r="122" spans="1:26" s="23" customFormat="1" ht="12" customHeight="1">
      <x:c r="A122" s="25" t="str">
        <x:f>O122</x:f>
        <x:v>검색용2</x:v>
      </x:c>
      <x:c r="B122" s="25" t="str">
        <x:f>L122&amp;"-"&amp;TEXT(P122,"0000")</x:f>
        <x:v>20190927-0791</x:v>
      </x:c>
      <x:c r="C122" s="157" t="s">
        <x:v>1978</x:v>
      </x:c>
      <x:c r="D122" s="157" t="s">
        <x:v>1581</x:v>
      </x:c>
      <x:c r="E122" s="157" t="s">
        <x:v>1568</x:v>
      </x:c>
      <x:c r="F122" s="157" t="s">
        <x:v>2179</x:v>
      </x:c>
      <x:c r="G122" s="157" t="s">
        <x:v>2002</x:v>
      </x:c>
      <x:c r="H122" s="124" t="str">
        <x:f>IFERROR(VLOOKUP(O122,'정보화기기 명부'!A$2:B$187,2,FALSE),"")</x:f>
        <x:v>도서실</x:v>
      </x:c>
      <x:c r="I122" s="187" t="str">
        <x:f>IFERROR(VLOOKUP(O122,'학생용 IP'!$C$11:$H$326,5,FALSE),"")</x:f>
        <x:v>10.54.36.52</x:v>
      </x:c>
      <x:c r="J122" s="157" t="s">
        <x:v>738</x:v>
      </x:c>
      <x:c r="K122" s="157"/>
      <x:c r="L122" s="385">
        <x:v>20190927</x:v>
      </x:c>
      <x:c r="M122" s="382">
        <x:v>665975</x:v>
      </x:c>
      <x:c r="N122" s="157" t="s">
        <x:v>2045</x:v>
      </x:c>
      <x:c r="O122" s="157" t="s">
        <x:v>2032</x:v>
      </x:c>
      <x:c r="P122" s="157">
        <x:v>791</x:v>
      </x:c>
      <x:c r="Q122" s="157" t="s">
        <x:v>693</x:v>
      </x:c>
      <x:c r="R122" s="157" t="s">
        <x:v>1643</x:v>
      </x:c>
      <x:c r="S122" s="157" t="s">
        <x:v>1525</x:v>
      </x:c>
      <x:c r="T122" s="157" t="s">
        <x:v>2037</x:v>
      </x:c>
      <x:c r="U122" s="157"/>
      <x:c r="V122" s="157" t="s">
        <x:v>739</x:v>
      </x:c>
      <x:c r="W122" s="91" t="s">
        <x:v>2047</x:v>
      </x:c>
      <x:c r="X122" s="91"/>
      <x:c r="Y122" s="91"/>
      <x:c r="Z122" s="91"/>
    </x:row>
    <x:row r="123" spans="1:26" s="23" customFormat="1" ht="13.25" customHeight="1">
      <x:c r="A123" s="25" t="str">
        <x:f>O123</x:f>
        <x:v>특수교육실 실습용 3</x:v>
      </x:c>
      <x:c r="B123" s="25" t="str">
        <x:f>L123&amp;"-"&amp;TEXT(P123,"0000")</x:f>
        <x:v>20190927-0792</x:v>
      </x:c>
      <x:c r="C123" s="157" t="s">
        <x:v>1978</x:v>
      </x:c>
      <x:c r="D123" s="157" t="s">
        <x:v>1581</x:v>
      </x:c>
      <x:c r="E123" s="157" t="s">
        <x:v>1568</x:v>
      </x:c>
      <x:c r="F123" s="157" t="s">
        <x:v>2179</x:v>
      </x:c>
      <x:c r="G123" s="157" t="s">
        <x:v>2002</x:v>
      </x:c>
      <x:c r="H123" s="124" t="str">
        <x:f>IFERROR(VLOOKUP(O123,'정보화기기 명부'!A$2:B$187,2,FALSE),"")</x:f>
        <x:v>특수교육부</x:v>
      </x:c>
      <x:c r="I123" s="187" t="str">
        <x:f>IFERROR(VLOOKUP(O123,'학생용 IP'!$C$11:$H$326,5,FALSE),"")</x:f>
        <x:v>10.54.36.73</x:v>
      </x:c>
      <x:c r="J123" s="157" t="s">
        <x:v>711</x:v>
      </x:c>
      <x:c r="K123" s="157"/>
      <x:c r="L123" s="385">
        <x:v>20190927</x:v>
      </x:c>
      <x:c r="M123" s="382">
        <x:v>665975</x:v>
      </x:c>
      <x:c r="N123" s="157" t="s">
        <x:v>2045</x:v>
      </x:c>
      <x:c r="O123" s="157" t="s">
        <x:v>754</x:v>
      </x:c>
      <x:c r="P123" s="157">
        <x:v>792</x:v>
      </x:c>
      <x:c r="Q123" s="157" t="s">
        <x:v>693</x:v>
      </x:c>
      <x:c r="R123" s="157" t="s">
        <x:v>1643</x:v>
      </x:c>
      <x:c r="S123" s="157" t="s">
        <x:v>1525</x:v>
      </x:c>
      <x:c r="T123" s="157" t="s">
        <x:v>2037</x:v>
      </x:c>
      <x:c r="U123" s="157"/>
      <x:c r="V123" s="157" t="s">
        <x:v>739</x:v>
      </x:c>
      <x:c r="W123" s="91" t="s">
        <x:v>2047</x:v>
      </x:c>
      <x:c r="X123" s="91"/>
      <x:c r="Y123" s="91"/>
      <x:c r="Z123" s="91"/>
    </x:row>
    <x:row r="124" spans="1:26" s="23" customFormat="1" ht="11.40000000000000035527" customHeight="1">
      <x:c r="A124" s="25" t="str">
        <x:f>O124</x:f>
        <x:v>특수교육실 실습용 4</x:v>
      </x:c>
      <x:c r="B124" s="25" t="str">
        <x:f>L124&amp;"-"&amp;TEXT(P124,"0000")</x:f>
        <x:v>20190927-0793</x:v>
      </x:c>
      <x:c r="C124" s="157" t="s">
        <x:v>1978</x:v>
      </x:c>
      <x:c r="D124" s="157" t="s">
        <x:v>1581</x:v>
      </x:c>
      <x:c r="E124" s="157" t="s">
        <x:v>1568</x:v>
      </x:c>
      <x:c r="F124" s="157" t="s">
        <x:v>2179</x:v>
      </x:c>
      <x:c r="G124" s="157" t="s">
        <x:v>2002</x:v>
      </x:c>
      <x:c r="H124" s="124" t="str">
        <x:f>IFERROR(VLOOKUP(O124,'정보화기기 명부'!A$2:B$187,2,FALSE),"")</x:f>
        <x:v>특수교육부</x:v>
      </x:c>
      <x:c r="I124" s="187" t="str">
        <x:f>IFERROR(VLOOKUP(O124,'학생용 IP'!$C$11:$H$326,5,FALSE),"")</x:f>
        <x:v>10.54.36.74</x:v>
      </x:c>
      <x:c r="J124" s="157" t="s">
        <x:v>757</x:v>
      </x:c>
      <x:c r="K124" s="157"/>
      <x:c r="L124" s="385">
        <x:v>20190927</x:v>
      </x:c>
      <x:c r="M124" s="382">
        <x:v>665975</x:v>
      </x:c>
      <x:c r="N124" s="157" t="s">
        <x:v>2045</x:v>
      </x:c>
      <x:c r="O124" s="157" t="s">
        <x:v>729</x:v>
      </x:c>
      <x:c r="P124" s="157">
        <x:v>793</x:v>
      </x:c>
      <x:c r="Q124" s="157" t="s">
        <x:v>693</x:v>
      </x:c>
      <x:c r="R124" s="157" t="s">
        <x:v>1643</x:v>
      </x:c>
      <x:c r="S124" s="157" t="s">
        <x:v>1525</x:v>
      </x:c>
      <x:c r="T124" s="157" t="s">
        <x:v>2037</x:v>
      </x:c>
      <x:c r="U124" s="157"/>
      <x:c r="V124" s="157" t="s">
        <x:v>739</x:v>
      </x:c>
      <x:c r="W124" s="91" t="s">
        <x:v>2047</x:v>
      </x:c>
      <x:c r="X124" s="91"/>
      <x:c r="Y124" s="91"/>
      <x:c r="Z124" s="91"/>
    </x:row>
    <x:row r="125" spans="1:26" s="23" customFormat="1" ht="16.75" customHeight="1">
      <x:c r="A125" s="25" t="str">
        <x:f>O125</x:f>
        <x:v>특수교육실 실습용 5</x:v>
      </x:c>
      <x:c r="B125" s="25" t="str">
        <x:f>L125&amp;"-"&amp;TEXT(P125,"0000")</x:f>
        <x:v>20190927-0794</x:v>
      </x:c>
      <x:c r="C125" s="157" t="s">
        <x:v>1978</x:v>
      </x:c>
      <x:c r="D125" s="157" t="s">
        <x:v>1581</x:v>
      </x:c>
      <x:c r="E125" s="157" t="s">
        <x:v>1568</x:v>
      </x:c>
      <x:c r="F125" s="157" t="s">
        <x:v>2179</x:v>
      </x:c>
      <x:c r="G125" s="157" t="s">
        <x:v>2002</x:v>
      </x:c>
      <x:c r="H125" s="124" t="str">
        <x:f>IFERROR(VLOOKUP(O125,'정보화기기 명부'!A$2:B$187,2,FALSE),"")</x:f>
        <x:v>특수교육부</x:v>
      </x:c>
      <x:c r="I125" s="187" t="str">
        <x:f>IFERROR(VLOOKUP(O125,'학생용 IP'!$C$11:$H$326,5,FALSE),"")</x:f>
        <x:v>10.54.36.75</x:v>
      </x:c>
      <x:c r="J125" s="157" t="s">
        <x:v>717</x:v>
      </x:c>
      <x:c r="K125" s="157"/>
      <x:c r="L125" s="385">
        <x:v>20190927</x:v>
      </x:c>
      <x:c r="M125" s="382">
        <x:v>665975</x:v>
      </x:c>
      <x:c r="N125" s="157" t="s">
        <x:v>2045</x:v>
      </x:c>
      <x:c r="O125" s="157" t="s">
        <x:v>747</x:v>
      </x:c>
      <x:c r="P125" s="157">
        <x:v>794</x:v>
      </x:c>
      <x:c r="Q125" s="157" t="s">
        <x:v>693</x:v>
      </x:c>
      <x:c r="R125" s="157" t="s">
        <x:v>1643</x:v>
      </x:c>
      <x:c r="S125" s="157" t="s">
        <x:v>1525</x:v>
      </x:c>
      <x:c r="T125" s="157" t="s">
        <x:v>2037</x:v>
      </x:c>
      <x:c r="U125" s="157"/>
      <x:c r="V125" s="157" t="s">
        <x:v>739</x:v>
      </x:c>
      <x:c r="W125" s="91" t="s">
        <x:v>2047</x:v>
      </x:c>
      <x:c r="X125" s="91"/>
      <x:c r="Y125" s="91"/>
      <x:c r="Z125" s="91"/>
    </x:row>
    <x:row r="126" spans="1:26" s="23" customFormat="1" ht="14.40000000000000035527" customHeight="1">
      <x:c r="A126" s="25" t="str">
        <x:f>O126</x:f>
        <x:v>정보과학실 학생용 1</x:v>
      </x:c>
      <x:c r="B126" s="25" t="str">
        <x:f>L126&amp;"-"&amp;TEXT(P126,"0000")</x:f>
        <x:v>20190927-0795</x:v>
      </x:c>
      <x:c r="C126" s="157" t="s">
        <x:v>1978</x:v>
      </x:c>
      <x:c r="D126" s="157" t="s">
        <x:v>1581</x:v>
      </x:c>
      <x:c r="E126" s="157" t="s">
        <x:v>1568</x:v>
      </x:c>
      <x:c r="F126" s="157" t="s">
        <x:v>2179</x:v>
      </x:c>
      <x:c r="G126" s="157" t="s">
        <x:v>2002</x:v>
      </x:c>
      <x:c r="H126" s="124" t="str">
        <x:f>IFERROR(VLOOKUP(O126,'정보화기기 명부'!A$2:B$187,2,FALSE),"")</x:f>
        <x:v>정보과학실</x:v>
      </x:c>
      <x:c r="I126" s="187" t="str">
        <x:f>IFERROR(VLOOKUP(O126,'학생용 IP'!$C$11:$H$326,5,FALSE),"")</x:f>
        <x:v>10.54.36.15</x:v>
      </x:c>
      <x:c r="J126" s="157"/>
      <x:c r="K126" s="157"/>
      <x:c r="L126" s="385">
        <x:v>20190927</x:v>
      </x:c>
      <x:c r="M126" s="382">
        <x:v>665975</x:v>
      </x:c>
      <x:c r="N126" s="157" t="s">
        <x:v>2045</x:v>
      </x:c>
      <x:c r="O126" s="157" t="s">
        <x:v>759</x:v>
      </x:c>
      <x:c r="P126" s="157">
        <x:v>795</x:v>
      </x:c>
      <x:c r="Q126" s="157" t="s">
        <x:v>693</x:v>
      </x:c>
      <x:c r="R126" s="157" t="s">
        <x:v>1643</x:v>
      </x:c>
      <x:c r="S126" s="157" t="s">
        <x:v>1525</x:v>
      </x:c>
      <x:c r="T126" s="157" t="s">
        <x:v>2037</x:v>
      </x:c>
      <x:c r="U126" s="157"/>
      <x:c r="V126" s="157" t="s">
        <x:v>739</x:v>
      </x:c>
      <x:c r="W126" s="91" t="s">
        <x:v>2047</x:v>
      </x:c>
      <x:c r="X126" s="91"/>
      <x:c r="Y126" s="91"/>
      <x:c r="Z126" s="91"/>
    </x:row>
    <x:row r="127" spans="1:26" s="23" customFormat="1" ht="16.25" customHeight="1">
      <x:c r="A127" s="25" t="str">
        <x:f>O127</x:f>
        <x:v>정보과학실 학생용 2</x:v>
      </x:c>
      <x:c r="B127" s="25" t="str">
        <x:f>L127&amp;"-"&amp;TEXT(P127,"0000")</x:f>
        <x:v>20190927-0796</x:v>
      </x:c>
      <x:c r="C127" s="157" t="s">
        <x:v>1978</x:v>
      </x:c>
      <x:c r="D127" s="157" t="s">
        <x:v>1581</x:v>
      </x:c>
      <x:c r="E127" s="157" t="s">
        <x:v>1568</x:v>
      </x:c>
      <x:c r="F127" s="157" t="s">
        <x:v>2179</x:v>
      </x:c>
      <x:c r="G127" s="157" t="s">
        <x:v>2002</x:v>
      </x:c>
      <x:c r="H127" s="124" t="str">
        <x:f>IFERROR(VLOOKUP(O127,'정보화기기 명부'!A$2:B$187,2,FALSE),"")</x:f>
        <x:v>정보과학실</x:v>
      </x:c>
      <x:c r="I127" s="187" t="str">
        <x:f>IFERROR(VLOOKUP(O127,'학생용 IP'!$C$11:$H$326,5,FALSE),"")</x:f>
        <x:v>10.54.36.16</x:v>
      </x:c>
      <x:c r="J127" s="157"/>
      <x:c r="K127" s="157"/>
      <x:c r="L127" s="385">
        <x:v>20190927</x:v>
      </x:c>
      <x:c r="M127" s="382">
        <x:v>665975</x:v>
      </x:c>
      <x:c r="N127" s="157" t="s">
        <x:v>2045</x:v>
      </x:c>
      <x:c r="O127" s="157" t="s">
        <x:v>743</x:v>
      </x:c>
      <x:c r="P127" s="157">
        <x:v>796</x:v>
      </x:c>
      <x:c r="Q127" s="157" t="s">
        <x:v>693</x:v>
      </x:c>
      <x:c r="R127" s="157" t="s">
        <x:v>1643</x:v>
      </x:c>
      <x:c r="S127" s="157" t="s">
        <x:v>1525</x:v>
      </x:c>
      <x:c r="T127" s="157" t="s">
        <x:v>2037</x:v>
      </x:c>
      <x:c r="U127" s="157"/>
      <x:c r="V127" s="157" t="s">
        <x:v>739</x:v>
      </x:c>
      <x:c r="W127" s="91" t="s">
        <x:v>2047</x:v>
      </x:c>
      <x:c r="X127" s="91"/>
      <x:c r="Y127" s="91"/>
      <x:c r="Z127" s="91"/>
    </x:row>
    <x:row r="128" spans="1:26" s="23" customFormat="1" ht="24" customHeight="1">
      <x:c r="A128" s="25" t="str">
        <x:f>O128</x:f>
        <x:v>정보과학실 학생용 3</x:v>
      </x:c>
      <x:c r="B128" s="25" t="str">
        <x:f>L128&amp;"-"&amp;TEXT(P128,"0000")</x:f>
        <x:v>20190927-0797</x:v>
      </x:c>
      <x:c r="C128" s="157" t="s">
        <x:v>1978</x:v>
      </x:c>
      <x:c r="D128" s="157" t="s">
        <x:v>1581</x:v>
      </x:c>
      <x:c r="E128" s="157" t="s">
        <x:v>1568</x:v>
      </x:c>
      <x:c r="F128" s="157" t="s">
        <x:v>2179</x:v>
      </x:c>
      <x:c r="G128" s="157" t="s">
        <x:v>2002</x:v>
      </x:c>
      <x:c r="H128" s="124" t="str">
        <x:f>IFERROR(VLOOKUP(O128,'정보화기기 명부'!A$2:B$187,2,FALSE),"")</x:f>
        <x:v>정보과학실</x:v>
      </x:c>
      <x:c r="I128" s="187" t="str">
        <x:f>IFERROR(VLOOKUP(O128,'학생용 IP'!$C$11:$H$326,5,FALSE),"")</x:f>
        <x:v>10.54.36.17</x:v>
      </x:c>
      <x:c r="J128" s="157"/>
      <x:c r="K128" s="157"/>
      <x:c r="L128" s="385">
        <x:v>20190927</x:v>
      </x:c>
      <x:c r="M128" s="382">
        <x:v>665975</x:v>
      </x:c>
      <x:c r="N128" s="157" t="s">
        <x:v>2045</x:v>
      </x:c>
      <x:c r="O128" s="157" t="s">
        <x:v>744</x:v>
      </x:c>
      <x:c r="P128" s="157">
        <x:v>797</x:v>
      </x:c>
      <x:c r="Q128" s="157" t="s">
        <x:v>693</x:v>
      </x:c>
      <x:c r="R128" s="157" t="s">
        <x:v>1643</x:v>
      </x:c>
      <x:c r="S128" s="157" t="s">
        <x:v>1525</x:v>
      </x:c>
      <x:c r="T128" s="157" t="s">
        <x:v>2037</x:v>
      </x:c>
      <x:c r="U128" s="157"/>
      <x:c r="V128" s="157" t="s">
        <x:v>739</x:v>
      </x:c>
      <x:c r="W128" s="91" t="s">
        <x:v>2047</x:v>
      </x:c>
      <x:c r="X128" s="91"/>
      <x:c r="Y128" s="91"/>
      <x:c r="Z128" s="91"/>
    </x:row>
    <x:row r="129" spans="1:26" s="23" customFormat="1" ht="7.75" customHeight="1">
      <x:c r="A129" s="25" t="str">
        <x:f>O129</x:f>
        <x:v>정보과학실 교사용</x:v>
      </x:c>
      <x:c r="B129" s="25" t="str">
        <x:f>L129&amp;"-"&amp;TEXT(P129,"0000")</x:f>
        <x:v>20190927-0798</x:v>
      </x:c>
      <x:c r="C129" s="157" t="s">
        <x:v>1978</x:v>
      </x:c>
      <x:c r="D129" s="157" t="s">
        <x:v>1581</x:v>
      </x:c>
      <x:c r="E129" s="157" t="s">
        <x:v>1251</x:v>
      </x:c>
      <x:c r="F129" s="157" t="s">
        <x:v>2179</x:v>
      </x:c>
      <x:c r="G129" s="157" t="s">
        <x:v>2002</x:v>
      </x:c>
      <x:c r="H129" s="124" t="str">
        <x:f>IFERROR(VLOOKUP(O129,'정보화기기 명부'!A$2:B$187,2,FALSE),"")</x:f>
        <x:v>정보과학실</x:v>
      </x:c>
      <x:c r="I129" s="187" t="str">
        <x:f>IFERROR(VLOOKUP(O129,'학생용 IP'!$C$11:$H$326,5,FALSE),"")</x:f>
        <x:v>10.54.36.10</x:v>
      </x:c>
      <x:c r="J129" s="157"/>
      <x:c r="K129" s="157"/>
      <x:c r="L129" s="385">
        <x:v>20190927</x:v>
      </x:c>
      <x:c r="M129" s="382">
        <x:v>665975</x:v>
      </x:c>
      <x:c r="N129" s="157" t="s">
        <x:v>2045</x:v>
      </x:c>
      <x:c r="O129" s="157" t="s">
        <x:v>772</x:v>
      </x:c>
      <x:c r="P129" s="157">
        <x:v>798</x:v>
      </x:c>
      <x:c r="Q129" s="157" t="s">
        <x:v>693</x:v>
      </x:c>
      <x:c r="R129" s="157" t="s">
        <x:v>1643</x:v>
      </x:c>
      <x:c r="S129" s="157" t="s">
        <x:v>1525</x:v>
      </x:c>
      <x:c r="T129" s="157" t="s">
        <x:v>2037</x:v>
      </x:c>
      <x:c r="U129" s="157"/>
      <x:c r="V129" s="157" t="s">
        <x:v>739</x:v>
      </x:c>
      <x:c r="W129" s="91" t="s">
        <x:v>2047</x:v>
      </x:c>
      <x:c r="X129" s="91"/>
      <x:c r="Y129" s="91"/>
      <x:c r="Z129" s="91"/>
    </x:row>
    <x:row r="130" spans="1:26" s="23" customFormat="1" ht="9" customHeight="1">
      <x:c r="A130" s="25" t="str">
        <x:f>O130</x:f>
        <x:v>특수교육실 실습용 1</x:v>
      </x:c>
      <x:c r="B130" s="25" t="str">
        <x:f>L130&amp;"-"&amp;TEXT(P130,"0000")</x:f>
        <x:v>20190927-0799</x:v>
      </x:c>
      <x:c r="C130" s="157" t="s">
        <x:v>1978</x:v>
      </x:c>
      <x:c r="D130" s="157" t="s">
        <x:v>1581</x:v>
      </x:c>
      <x:c r="E130" s="157" t="s">
        <x:v>1568</x:v>
      </x:c>
      <x:c r="F130" s="157" t="s">
        <x:v>2179</x:v>
      </x:c>
      <x:c r="G130" s="157" t="s">
        <x:v>2002</x:v>
      </x:c>
      <x:c r="H130" s="124" t="str">
        <x:f>IFERROR(VLOOKUP(O130,'정보화기기 명부'!A$2:B$187,2,FALSE),"")</x:f>
        <x:v>특수교육부</x:v>
      </x:c>
      <x:c r="I130" s="187" t="str">
        <x:f>IFERROR(VLOOKUP(O130,'학생용 IP'!$C$11:$H$326,5,FALSE),"")</x:f>
        <x:v>10.54.36.71</x:v>
      </x:c>
      <x:c r="J130" s="157"/>
      <x:c r="K130" s="157"/>
      <x:c r="L130" s="385">
        <x:v>20190927</x:v>
      </x:c>
      <x:c r="M130" s="382">
        <x:v>665975</x:v>
      </x:c>
      <x:c r="N130" s="157" t="s">
        <x:v>2045</x:v>
      </x:c>
      <x:c r="O130" s="157" t="s">
        <x:v>748</x:v>
      </x:c>
      <x:c r="P130" s="157">
        <x:v>799</x:v>
      </x:c>
      <x:c r="Q130" s="157" t="s">
        <x:v>693</x:v>
      </x:c>
      <x:c r="R130" s="157" t="s">
        <x:v>1643</x:v>
      </x:c>
      <x:c r="S130" s="157" t="s">
        <x:v>1525</x:v>
      </x:c>
      <x:c r="T130" s="157" t="s">
        <x:v>2037</x:v>
      </x:c>
      <x:c r="U130" s="157"/>
      <x:c r="V130" s="157" t="s">
        <x:v>739</x:v>
      </x:c>
      <x:c r="W130" s="91" t="s">
        <x:v>2047</x:v>
      </x:c>
      <x:c r="X130" s="91"/>
      <x:c r="Y130" s="91"/>
      <x:c r="Z130" s="91"/>
    </x:row>
    <x:row r="131" spans="1:26" s="23" customFormat="1" ht="12" customHeight="1">
      <x:c r="A131" s="25" t="str">
        <x:f>O131</x:f>
        <x:v>특수교육실 실습용 2</x:v>
      </x:c>
      <x:c r="B131" s="25" t="str">
        <x:f>L131&amp;"-"&amp;TEXT(P131,"0000")</x:f>
        <x:v>20190927-0800</x:v>
      </x:c>
      <x:c r="C131" s="157" t="s">
        <x:v>1978</x:v>
      </x:c>
      <x:c r="D131" s="157" t="s">
        <x:v>1581</x:v>
      </x:c>
      <x:c r="E131" s="157" t="s">
        <x:v>1568</x:v>
      </x:c>
      <x:c r="F131" s="157" t="s">
        <x:v>2179</x:v>
      </x:c>
      <x:c r="G131" s="157" t="s">
        <x:v>2002</x:v>
      </x:c>
      <x:c r="H131" s="124" t="str">
        <x:f>IFERROR(VLOOKUP(O131,'정보화기기 명부'!A$2:B$187,2,FALSE),"")</x:f>
        <x:v>특수교육부</x:v>
      </x:c>
      <x:c r="I131" s="187" t="str">
        <x:f>IFERROR(VLOOKUP(O131,'학생용 IP'!$C$11:$H$326,5,FALSE),"")</x:f>
        <x:v>10.54.36.72</x:v>
      </x:c>
      <x:c r="J131" s="157"/>
      <x:c r="K131" s="157"/>
      <x:c r="L131" s="385">
        <x:v>20190927</x:v>
      </x:c>
      <x:c r="M131" s="382">
        <x:v>665975</x:v>
      </x:c>
      <x:c r="N131" s="157" t="s">
        <x:v>2045</x:v>
      </x:c>
      <x:c r="O131" s="157" t="s">
        <x:v>758</x:v>
      </x:c>
      <x:c r="P131" s="157">
        <x:v>800</x:v>
      </x:c>
      <x:c r="Q131" s="157" t="s">
        <x:v>693</x:v>
      </x:c>
      <x:c r="R131" s="157" t="s">
        <x:v>1643</x:v>
      </x:c>
      <x:c r="S131" s="157" t="s">
        <x:v>1525</x:v>
      </x:c>
      <x:c r="T131" s="157" t="s">
        <x:v>2037</x:v>
      </x:c>
      <x:c r="U131" s="157"/>
      <x:c r="V131" s="157" t="s">
        <x:v>739</x:v>
      </x:c>
      <x:c r="W131" s="91" t="s">
        <x:v>2047</x:v>
      </x:c>
      <x:c r="X131" s="91"/>
      <x:c r="Y131" s="91"/>
      <x:c r="Z131" s="91"/>
    </x:row>
    <x:row r="132" spans="1:26" s="23" customFormat="1" ht="24.64999999999999857891" customHeight="1">
      <x:c r="A132" s="25" t="str">
        <x:f>O132</x:f>
        <x:v>진국현</x:v>
      </x:c>
      <x:c r="B132" s="25" t="str">
        <x:f>L132&amp;"-"&amp;TEXT(P132,"0000")</x:f>
        <x:v>20190927-0801</x:v>
      </x:c>
      <x:c r="C132" s="157" t="s">
        <x:v>1978</x:v>
      </x:c>
      <x:c r="D132" s="157" t="s">
        <x:v>1581</x:v>
      </x:c>
      <x:c r="E132" s="157" t="s">
        <x:v>1251</x:v>
      </x:c>
      <x:c r="F132" s="157" t="s">
        <x:v>2179</x:v>
      </x:c>
      <x:c r="G132" s="157" t="s">
        <x:v>2002</x:v>
      </x:c>
      <x:c r="H132" s="124" t="str">
        <x:f>IFERROR(VLOOKUP(O132,'정보화기기 명부'!A$2:B$187,2,FALSE),"")</x:f>
        <x:v/>
      </x:c>
      <x:c r="I132" s="124" t="str">
        <x:f>IFERROR(VLOOKUP(A132,'교직원용 IP'!$C$2:$H$230,6,FALSE),"")</x:f>
        <x:v>10.51.90.106</x:v>
      </x:c>
      <x:c r="J132" s="157"/>
      <x:c r="K132" s="157"/>
      <x:c r="L132" s="385">
        <x:v>20190927</x:v>
      </x:c>
      <x:c r="M132" s="382">
        <x:v>665975</x:v>
      </x:c>
      <x:c r="N132" s="157" t="s">
        <x:v>2034</x:v>
      </x:c>
      <x:c r="O132" s="157" t="s">
        <x:v>1482</x:v>
      </x:c>
      <x:c r="P132" s="157">
        <x:v>801</x:v>
      </x:c>
      <x:c r="Q132" s="157" t="s">
        <x:v>693</x:v>
      </x:c>
      <x:c r="R132" s="157" t="s">
        <x:v>1643</x:v>
      </x:c>
      <x:c r="S132" s="157" t="s">
        <x:v>1525</x:v>
      </x:c>
      <x:c r="T132" s="157" t="s">
        <x:v>2037</x:v>
      </x:c>
      <x:c r="U132" s="157"/>
      <x:c r="V132" s="157" t="s">
        <x:v>739</x:v>
      </x:c>
      <x:c r="W132" s="91" t="s">
        <x:v>2047</x:v>
      </x:c>
      <x:c r="X132" s="91"/>
      <x:c r="Y132" s="91"/>
      <x:c r="Z132" s="91"/>
    </x:row>
    <x:row r="133" spans="1:26" s="23" customFormat="1" ht="7.75" customHeight="1">
      <x:c r="A133" s="25" t="str">
        <x:f>O133</x:f>
        <x:v>파일 서버</x:v>
      </x:c>
      <x:c r="B133" s="25" t="str">
        <x:f>L133&amp;"-"&amp;TEXT(P133,"0000")</x:f>
        <x:v>20190927-0802</x:v>
      </x:c>
      <x:c r="C133" s="157" t="s">
        <x:v>1978</x:v>
      </x:c>
      <x:c r="D133" s="157" t="s">
        <x:v>1581</x:v>
      </x:c>
      <x:c r="E133" s="157" t="s">
        <x:v>3145</x:v>
      </x:c>
      <x:c r="F133" s="157" t="s">
        <x:v>2179</x:v>
      </x:c>
      <x:c r="G133" s="157" t="s">
        <x:v>2002</x:v>
      </x:c>
      <x:c r="H133" s="124" t="str">
        <x:f>IFERROR(VLOOKUP(O133,'정보화기기 명부'!A$2:B$187,2,FALSE),"")</x:f>
        <x:v>정보교육부</x:v>
      </x:c>
      <x:c r="I133" s="124" t="str">
        <x:f>IFERROR(VLOOKUP(A133,'교직원용 IP'!$C$2:$H$230,6,FALSE),"")</x:f>
        <x:v>10.51.90.100</x:v>
      </x:c>
      <x:c r="J133" s="157"/>
      <x:c r="K133" s="157"/>
      <x:c r="L133" s="385">
        <x:v>20190927</x:v>
      </x:c>
      <x:c r="M133" s="382">
        <x:v>665975</x:v>
      </x:c>
      <x:c r="N133" s="157" t="s">
        <x:v>2034</x:v>
      </x:c>
      <x:c r="O133" s="157" t="s">
        <x:v>1617</x:v>
      </x:c>
      <x:c r="P133" s="157">
        <x:v>802</x:v>
      </x:c>
      <x:c r="Q133" s="157" t="s">
        <x:v>693</x:v>
      </x:c>
      <x:c r="R133" s="157" t="s">
        <x:v>1643</x:v>
      </x:c>
      <x:c r="S133" s="157" t="s">
        <x:v>1525</x:v>
      </x:c>
      <x:c r="T133" s="157" t="s">
        <x:v>2037</x:v>
      </x:c>
      <x:c r="U133" s="157"/>
      <x:c r="V133" s="157" t="s">
        <x:v>739</x:v>
      </x:c>
      <x:c r="W133" s="91" t="s">
        <x:v>2047</x:v>
      </x:c>
      <x:c r="X133" s="91"/>
      <x:c r="Y133" s="91"/>
      <x:c r="Z133" s="91"/>
    </x:row>
    <x:row r="134" spans="1:26" s="23" customFormat="1" ht="5.40000000000000035527" customHeight="1">
      <x:c r="A134" s="25" t="str">
        <x:f>O134</x:f>
        <x:v>소강당용</x:v>
      </x:c>
      <x:c r="B134" s="25" t="str">
        <x:f>L134&amp;"-"&amp;TEXT(P134,"0000")</x:f>
        <x:v>20190115-0788</x:v>
      </x:c>
      <x:c r="C134" s="157" t="s">
        <x:v>1978</x:v>
      </x:c>
      <x:c r="D134" s="157" t="s">
        <x:v>1581</x:v>
      </x:c>
      <x:c r="E134" s="157" t="s">
        <x:v>3145</x:v>
      </x:c>
      <x:c r="F134" s="157" t="s">
        <x:v>746</x:v>
      </x:c>
      <x:c r="G134" s="157" t="s">
        <x:v>2014</x:v>
      </x:c>
      <x:c r="H134" s="124" t="str">
        <x:f>IFERROR(VLOOKUP(O134,'정보화기기 명부'!A$2:B$187,2,FALSE),"")</x:f>
        <x:v>소강당</x:v>
      </x:c>
      <x:c r="I134" s="124" t="str">
        <x:f>IFERROR(VLOOKUP(O134,'교직원용 IP'!$C$2:$H$230,6,FALSE),"")</x:f>
        <x:v>10.51.90.110</x:v>
      </x:c>
      <x:c r="J134" s="157"/>
      <x:c r="K134" s="157"/>
      <x:c r="L134" s="385">
        <x:v>20190115</x:v>
      </x:c>
      <x:c r="M134" s="382">
        <x:v>970000</x:v>
      </x:c>
      <x:c r="N134" s="157" t="s">
        <x:v>2045</x:v>
      </x:c>
      <x:c r="O134" s="157" t="s">
        <x:v>2051</x:v>
      </x:c>
      <x:c r="P134" s="157">
        <x:v>788</x:v>
      </x:c>
      <x:c r="Q134" s="157" t="s">
        <x:v>693</x:v>
      </x:c>
      <x:c r="R134" s="157" t="s">
        <x:v>1643</x:v>
      </x:c>
      <x:c r="S134" s="157" t="s">
        <x:v>1525</x:v>
      </x:c>
      <x:c r="T134" s="157" t="s">
        <x:v>2031</x:v>
      </x:c>
      <x:c r="U134" s="157"/>
      <x:c r="V134" s="157" t="s">
        <x:v>739</x:v>
      </x:c>
      <x:c r="W134" s="91"/>
      <x:c r="X134" s="91"/>
      <x:c r="Y134" s="91"/>
      <x:c r="Z134" s="91"/>
    </x:row>
    <x:row r="135" spans="1:26" s="23" customFormat="1" ht="8.40000000000000035527" customHeight="1">
      <x:c r="A135" s="25" t="str">
        <x:f>O135</x:f>
        <x:v>김민영</x:v>
      </x:c>
      <x:c r="B135" s="25" t="str">
        <x:f>L135&amp;"-"&amp;TEXT(P135,"0000")</x:f>
        <x:v>20190109-0787</x:v>
      </x:c>
      <x:c r="C135" s="157" t="s">
        <x:v>1978</x:v>
      </x:c>
      <x:c r="D135" s="157" t="s">
        <x:v>1581</x:v>
      </x:c>
      <x:c r="E135" s="157" t="s">
        <x:v>1552</x:v>
      </x:c>
      <x:c r="F135" s="157" t="s">
        <x:v>746</x:v>
      </x:c>
      <x:c r="G135" s="157" t="s">
        <x:v>2014</x:v>
      </x:c>
      <x:c r="H135" s="124" t="str">
        <x:f>IFERROR(VLOOKUP(O135,'정보화기기 명부'!A$2:B$187,2,FALSE),"")</x:f>
        <x:v/>
      </x:c>
      <x:c r="I135" s="124" t="str">
        <x:f>IFERROR(VLOOKUP(O135,'교직원용 IP'!$C$2:$H$230,6,FALSE),"")</x:f>
        <x:v/>
      </x:c>
      <x:c r="J135" s="157"/>
      <x:c r="K135" s="157"/>
      <x:c r="L135" s="385">
        <x:v>20190109</x:v>
      </x:c>
      <x:c r="M135" s="382">
        <x:v>1065430</x:v>
      </x:c>
      <x:c r="N135" s="157" t="s">
        <x:v>2034</x:v>
      </x:c>
      <x:c r="O135" s="157" t="s">
        <x:v>1527</x:v>
      </x:c>
      <x:c r="P135" s="157">
        <x:v>787</x:v>
      </x:c>
      <x:c r="Q135" s="157" t="s">
        <x:v>693</x:v>
      </x:c>
      <x:c r="R135" s="157" t="s">
        <x:v>1643</x:v>
      </x:c>
      <x:c r="S135" s="157" t="s">
        <x:v>1525</x:v>
      </x:c>
      <x:c r="T135" s="157" t="s">
        <x:v>2031</x:v>
      </x:c>
      <x:c r="U135" s="157"/>
      <x:c r="V135" s="157" t="s">
        <x:v>739</x:v>
      </x:c>
      <x:c r="W135" s="91"/>
      <x:c r="X135" s="91"/>
      <x:c r="Y135" s="91"/>
      <x:c r="Z135" s="91"/>
    </x:row>
    <x:row r="136" spans="1:26" s="23" customFormat="1" ht="11.40000000000000035527" customHeight="1">
      <x:c r="A136" s="25" t="str">
        <x:f>O136</x:f>
        <x:v>도서실 수업용</x:v>
      </x:c>
      <x:c r="B136" s="25" t="str">
        <x:f>L136&amp;"-"&amp;TEXT(P136,"0000")</x:f>
        <x:v>20180918-0786</x:v>
      </x:c>
      <x:c r="C136" s="157" t="s">
        <x:v>1978</x:v>
      </x:c>
      <x:c r="D136" s="157" t="s">
        <x:v>1581</x:v>
      </x:c>
      <x:c r="E136" s="157" t="s">
        <x:v>1251</x:v>
      </x:c>
      <x:c r="F136" s="157" t="s">
        <x:v>2046</x:v>
      </x:c>
      <x:c r="G136" s="157" t="s">
        <x:v>1536</x:v>
      </x:c>
      <x:c r="H136" s="124" t="str">
        <x:f>IFERROR(VLOOKUP(O136,'정보화기기 명부'!A$2:B$187,2,FALSE),"")</x:f>
        <x:v>도서실</x:v>
      </x:c>
      <x:c r="I136" s="124" t="str">
        <x:f>IFERROR(VLOOKUP(O136,'교직원용 IP'!$C$2:$H$230,6,FALSE),"")</x:f>
        <x:v>10.51.90.130</x:v>
      </x:c>
      <x:c r="J136" s="157" t="s">
        <x:v>2111</x:v>
      </x:c>
      <x:c r="K136" s="157"/>
      <x:c r="L136" s="405">
        <x:v>20180918</x:v>
      </x:c>
      <x:c r="M136" s="382">
        <x:v>990000</x:v>
      </x:c>
      <x:c r="N136" s="157" t="s">
        <x:v>2034</x:v>
      </x:c>
      <x:c r="O136" s="157" t="s">
        <x:v>2015</x:v>
      </x:c>
      <x:c r="P136" s="157">
        <x:v>786</x:v>
      </x:c>
      <x:c r="Q136" s="157" t="s">
        <x:v>693</x:v>
      </x:c>
      <x:c r="R136" s="157" t="s">
        <x:v>1643</x:v>
      </x:c>
      <x:c r="S136" s="157" t="s">
        <x:v>1572</x:v>
      </x:c>
      <x:c r="T136" s="157" t="s">
        <x:v>1632</x:v>
      </x:c>
      <x:c r="U136" s="157"/>
      <x:c r="V136" s="157" t="s">
        <x:v>739</x:v>
      </x:c>
      <x:c r="W136" s="91"/>
      <x:c r="X136" s="91"/>
      <x:c r="Y136" s="91"/>
      <x:c r="Z136" s="91"/>
    </x:row>
    <x:row r="137" spans="1:26" s="23" customFormat="1" ht="9" customHeight="1">
      <x:c r="A137" s="210" t="str">
        <x:f>O137</x:f>
        <x:v>예비용4</x:v>
      </x:c>
      <x:c r="B137" s="90" t="str">
        <x:f>L137&amp;"-"&amp;TEXT(P137,"0000")</x:f>
        <x:v>20180820-0779</x:v>
      </x:c>
      <x:c r="C137" s="157" t="s">
        <x:v>1564</x:v>
      </x:c>
      <x:c r="D137" s="157" t="s">
        <x:v>1581</x:v>
      </x:c>
      <x:c r="E137" s="157" t="s">
        <x:v>1251</x:v>
      </x:c>
      <x:c r="F137" s="157" t="s">
        <x:v>3259</x:v>
      </x:c>
      <x:c r="G137" s="157" t="s">
        <x:v>1289</x:v>
      </x:c>
      <x:c r="H137" s="124" t="str">
        <x:f>IFERROR(VLOOKUP(O137,'정보화기기 명부'!A$2:B$187,2,FALSE),"")</x:f>
        <x:v/>
      </x:c>
      <x:c r="I137" s="124" t="str">
        <x:f>IFERROR(VLOOKUP(O137,'교직원용 IP'!$C$2:$H$230,6,FALSE),"")</x:f>
        <x:v/>
      </x:c>
      <x:c r="J137" s="390" t="s">
        <x:v>703</x:v>
      </x:c>
      <x:c r="K137" s="406" t="s">
        <x:v>859</x:v>
      </x:c>
      <x:c r="L137" s="405">
        <x:v>20180820</x:v>
      </x:c>
      <x:c r="M137" s="382">
        <x:v>850000</x:v>
      </x:c>
      <x:c r="N137" s="157" t="s">
        <x:v>1965</x:v>
      </x:c>
      <x:c r="O137" s="390" t="s">
        <x:v>2026</x:v>
      </x:c>
      <x:c r="P137" s="157">
        <x:v>779</x:v>
      </x:c>
      <x:c r="Q137" s="157" t="s">
        <x:v>693</x:v>
      </x:c>
      <x:c r="R137" s="157" t="s">
        <x:v>2080</x:v>
      </x:c>
      <x:c r="S137" s="157" t="s">
        <x:v>1525</x:v>
      </x:c>
      <x:c r="T137" s="157" t="s">
        <x:v>2031</x:v>
      </x:c>
      <x:c r="U137" s="157"/>
      <x:c r="V137" s="157" t="s">
        <x:v>739</x:v>
      </x:c>
      <x:c r="W137" s="91"/>
      <x:c r="X137" s="91" t="s">
        <x:v>742</x:v>
      </x:c>
      <x:c r="Y137" s="91"/>
      <x:c r="Z137" s="91"/>
    </x:row>
    <x:row r="138" spans="1:26" s="23" customFormat="1" ht="8.40000000000000035527" customHeight="1">
      <x:c r="A138" s="210" t="str">
        <x:f>O138</x:f>
        <x:v>예비용3</x:v>
      </x:c>
      <x:c r="B138" s="90" t="str">
        <x:f>L138&amp;"-"&amp;TEXT(P138,"0000")</x:f>
        <x:v>20180820-0780</x:v>
      </x:c>
      <x:c r="C138" s="157" t="s">
        <x:v>1564</x:v>
      </x:c>
      <x:c r="D138" s="157" t="s">
        <x:v>1581</x:v>
      </x:c>
      <x:c r="E138" s="157" t="s">
        <x:v>1251</x:v>
      </x:c>
      <x:c r="F138" s="157" t="s">
        <x:v>3259</x:v>
      </x:c>
      <x:c r="G138" s="157" t="s">
        <x:v>1289</x:v>
      </x:c>
      <x:c r="H138" s="124" t="str">
        <x:f>IFERROR(VLOOKUP(O138,'정보화기기 명부'!A$2:B$187,2,FALSE),"")</x:f>
        <x:v/>
      </x:c>
      <x:c r="I138" s="124" t="str">
        <x:f>IFERROR(VLOOKUP(O138,'교직원용 IP'!$C$2:$H$230,6,FALSE),"")</x:f>
        <x:v/>
      </x:c>
      <x:c r="J138" s="390" t="s">
        <x:v>703</x:v>
      </x:c>
      <x:c r="K138" s="406" t="s">
        <x:v>859</x:v>
      </x:c>
      <x:c r="L138" s="405">
        <x:v>20180820</x:v>
      </x:c>
      <x:c r="M138" s="382">
        <x:v>850000</x:v>
      </x:c>
      <x:c r="N138" s="157" t="s">
        <x:v>1965</x:v>
      </x:c>
      <x:c r="O138" s="390" t="s">
        <x:v>2024</x:v>
      </x:c>
      <x:c r="P138" s="157">
        <x:v>780</x:v>
      </x:c>
      <x:c r="Q138" s="157" t="s">
        <x:v>693</x:v>
      </x:c>
      <x:c r="R138" s="157" t="s">
        <x:v>2080</x:v>
      </x:c>
      <x:c r="S138" s="157" t="s">
        <x:v>1525</x:v>
      </x:c>
      <x:c r="T138" s="157" t="s">
        <x:v>2031</x:v>
      </x:c>
      <x:c r="U138" s="157"/>
      <x:c r="V138" s="157" t="s">
        <x:v>739</x:v>
      </x:c>
      <x:c r="W138" s="91"/>
      <x:c r="X138" s="91" t="s">
        <x:v>742</x:v>
      </x:c>
      <x:c r="Y138" s="91"/>
      <x:c r="Z138" s="91"/>
    </x:row>
    <x:row r="139" spans="1:26" s="23" customFormat="1" ht="12" customHeight="1">
      <x:c r="A139" s="210" t="str">
        <x:f>O139</x:f>
        <x:v>예비용2</x:v>
      </x:c>
      <x:c r="B139" s="90" t="str">
        <x:f>L139&amp;"-"&amp;TEXT(P139,"0000")</x:f>
        <x:v>20180820-0781</x:v>
      </x:c>
      <x:c r="C139" s="157" t="s">
        <x:v>1564</x:v>
      </x:c>
      <x:c r="D139" s="157" t="s">
        <x:v>1581</x:v>
      </x:c>
      <x:c r="E139" s="157" t="s">
        <x:v>1251</x:v>
      </x:c>
      <x:c r="F139" s="157" t="s">
        <x:v>3259</x:v>
      </x:c>
      <x:c r="G139" s="157" t="s">
        <x:v>1289</x:v>
      </x:c>
      <x:c r="H139" s="124" t="str">
        <x:f>IFERROR(VLOOKUP(O139,'정보화기기 명부'!A$2:B$187,2,FALSE),"")</x:f>
        <x:v/>
      </x:c>
      <x:c r="I139" s="124" t="str">
        <x:f>IFERROR(VLOOKUP(O139,'교직원용 IP'!$C$2:$H$230,6,FALSE),"")</x:f>
        <x:v/>
      </x:c>
      <x:c r="J139" s="390" t="s">
        <x:v>703</x:v>
      </x:c>
      <x:c r="K139" s="406" t="s">
        <x:v>859</x:v>
      </x:c>
      <x:c r="L139" s="405">
        <x:v>20180820</x:v>
      </x:c>
      <x:c r="M139" s="382">
        <x:v>850000</x:v>
      </x:c>
      <x:c r="N139" s="157" t="s">
        <x:v>1965</x:v>
      </x:c>
      <x:c r="O139" s="390" t="s">
        <x:v>2094</x:v>
      </x:c>
      <x:c r="P139" s="157">
        <x:v>781</x:v>
      </x:c>
      <x:c r="Q139" s="157" t="s">
        <x:v>693</x:v>
      </x:c>
      <x:c r="R139" s="157" t="s">
        <x:v>2080</x:v>
      </x:c>
      <x:c r="S139" s="157" t="s">
        <x:v>1525</x:v>
      </x:c>
      <x:c r="T139" s="157" t="s">
        <x:v>2031</x:v>
      </x:c>
      <x:c r="U139" s="157"/>
      <x:c r="V139" s="157" t="s">
        <x:v>739</x:v>
      </x:c>
      <x:c r="W139" s="91"/>
      <x:c r="X139" s="91" t="s">
        <x:v>742</x:v>
      </x:c>
      <x:c r="Y139" s="91"/>
      <x:c r="Z139" s="91"/>
    </x:row>
    <x:row r="140" spans="1:26" s="23" customFormat="1" ht="6.65000000000000035527" customHeight="1">
      <x:c r="A140" s="210" t="str">
        <x:f>O140</x:f>
        <x:v>구 안상영</x:v>
      </x:c>
      <x:c r="B140" s="90" t="str">
        <x:f>L140&amp;"-"&amp;TEXT(P140,"0000")</x:f>
        <x:v>20180820-0782</x:v>
      </x:c>
      <x:c r="C140" s="157" t="s">
        <x:v>1564</x:v>
      </x:c>
      <x:c r="D140" s="157" t="s">
        <x:v>1581</x:v>
      </x:c>
      <x:c r="E140" s="157" t="s">
        <x:v>1251</x:v>
      </x:c>
      <x:c r="F140" s="157" t="s">
        <x:v>3259</x:v>
      </x:c>
      <x:c r="G140" s="157" t="s">
        <x:v>1289</x:v>
      </x:c>
      <x:c r="H140" s="124" t="str">
        <x:f>IFERROR(VLOOKUP(O140,'정보화기기 명부'!A$2:B$187,2,FALSE),"")</x:f>
        <x:v/>
      </x:c>
      <x:c r="I140" s="124" t="str">
        <x:f>IFERROR(VLOOKUP(O140,'교직원용 IP'!$C$2:$H$230,6,FALSE),"")</x:f>
        <x:v/>
      </x:c>
      <x:c r="J140" s="394" t="s">
        <x:v>756</x:v>
      </x:c>
      <x:c r="K140" s="157"/>
      <x:c r="L140" s="405">
        <x:v>20180820</x:v>
      </x:c>
      <x:c r="M140" s="382">
        <x:v>850000</x:v>
      </x:c>
      <x:c r="N140" s="157" t="s">
        <x:v>1965</x:v>
      </x:c>
      <x:c r="O140" s="157" t="s">
        <x:v>1896</x:v>
      </x:c>
      <x:c r="P140" s="157">
        <x:v>782</x:v>
      </x:c>
      <x:c r="Q140" s="157" t="s">
        <x:v>693</x:v>
      </x:c>
      <x:c r="R140" s="157" t="s">
        <x:v>2080</x:v>
      </x:c>
      <x:c r="S140" s="157" t="s">
        <x:v>1525</x:v>
      </x:c>
      <x:c r="T140" s="157" t="s">
        <x:v>2031</x:v>
      </x:c>
      <x:c r="U140" s="157"/>
      <x:c r="V140" s="157" t="s">
        <x:v>739</x:v>
      </x:c>
      <x:c r="W140" s="91"/>
      <x:c r="X140" s="91" t="s">
        <x:v>742</x:v>
      </x:c>
      <x:c r="Y140" s="91"/>
      <x:c r="Z140" s="91"/>
    </x:row>
    <x:row r="141" spans="1:26" s="23" customFormat="1" ht="9.65000000000000035527" customHeight="1">
      <x:c r="A141" s="25" t="str">
        <x:f>O141</x:f>
        <x:v>예비용11</x:v>
      </x:c>
      <x:c r="B141" s="90" t="str">
        <x:f>L141&amp;"-"&amp;TEXT(P141,"0000")</x:f>
        <x:v>20180820-0783</x:v>
      </x:c>
      <x:c r="C141" s="157" t="s">
        <x:v>1564</x:v>
      </x:c>
      <x:c r="D141" s="157" t="s">
        <x:v>1581</x:v>
      </x:c>
      <x:c r="E141" s="157" t="s">
        <x:v>1251</x:v>
      </x:c>
      <x:c r="F141" s="157" t="s">
        <x:v>3259</x:v>
      </x:c>
      <x:c r="G141" s="157" t="s">
        <x:v>1289</x:v>
      </x:c>
      <x:c r="H141" s="124" t="str">
        <x:f>IFERROR(VLOOKUP(O141,'정보화기기 명부'!A$2:B$187,2,FALSE),"")</x:f>
        <x:v/>
      </x:c>
      <x:c r="I141" s="124" t="str">
        <x:f>IFERROR(VLOOKUP(O141,'교직원용 IP'!$C$2:$H$230,6,FALSE),"")</x:f>
        <x:v/>
      </x:c>
      <x:c r="J141" s="390" t="s">
        <x:v>703</x:v>
      </x:c>
      <x:c r="K141" s="406" t="s">
        <x:v>859</x:v>
      </x:c>
      <x:c r="L141" s="405">
        <x:v>20180820</x:v>
      </x:c>
      <x:c r="M141" s="382">
        <x:v>850000</x:v>
      </x:c>
      <x:c r="N141" s="157" t="s">
        <x:v>1965</x:v>
      </x:c>
      <x:c r="O141" s="390" t="s">
        <x:v>2066</x:v>
      </x:c>
      <x:c r="P141" s="157">
        <x:v>783</x:v>
      </x:c>
      <x:c r="Q141" s="157" t="s">
        <x:v>693</x:v>
      </x:c>
      <x:c r="R141" s="157" t="s">
        <x:v>2080</x:v>
      </x:c>
      <x:c r="S141" s="157" t="s">
        <x:v>1525</x:v>
      </x:c>
      <x:c r="T141" s="157" t="s">
        <x:v>2031</x:v>
      </x:c>
      <x:c r="U141" s="157"/>
      <x:c r="V141" s="157" t="s">
        <x:v>739</x:v>
      </x:c>
      <x:c r="W141" s="91"/>
      <x:c r="X141" s="91" t="s">
        <x:v>742</x:v>
      </x:c>
      <x:c r="Y141" s="91"/>
      <x:c r="Z141" s="91"/>
    </x:row>
    <x:row r="142" spans="1:26" s="23" customFormat="1" ht="13.75" customHeight="1">
      <x:c r="A142" s="210" t="str">
        <x:f>O142</x:f>
        <x:v>예비용13</x:v>
      </x:c>
      <x:c r="B142" s="90" t="str">
        <x:f>L142&amp;"-"&amp;TEXT(P142,"0000")</x:f>
        <x:v>20180820-0784</x:v>
      </x:c>
      <x:c r="C142" s="157" t="s">
        <x:v>1564</x:v>
      </x:c>
      <x:c r="D142" s="157" t="s">
        <x:v>1581</x:v>
      </x:c>
      <x:c r="E142" s="157" t="s">
        <x:v>1251</x:v>
      </x:c>
      <x:c r="F142" s="157" t="s">
        <x:v>3259</x:v>
      </x:c>
      <x:c r="G142" s="157" t="s">
        <x:v>1289</x:v>
      </x:c>
      <x:c r="H142" s="124" t="str">
        <x:f>IFERROR(VLOOKUP(O142,'정보화기기 명부'!A$2:B$187,2,FALSE),"")</x:f>
        <x:v/>
      </x:c>
      <x:c r="I142" s="124" t="str">
        <x:f>IFERROR(VLOOKUP(O142,'교직원용 IP'!$C$2:$H$230,6,FALSE),"")</x:f>
        <x:v/>
      </x:c>
      <x:c r="J142" s="390" t="s">
        <x:v>703</x:v>
      </x:c>
      <x:c r="K142" s="406" t="s">
        <x:v>859</x:v>
      </x:c>
      <x:c r="L142" s="405">
        <x:v>20180820</x:v>
      </x:c>
      <x:c r="M142" s="382">
        <x:v>850000</x:v>
      </x:c>
      <x:c r="N142" s="157" t="s">
        <x:v>1965</x:v>
      </x:c>
      <x:c r="O142" s="390" t="s">
        <x:v>2054</x:v>
      </x:c>
      <x:c r="P142" s="157">
        <x:v>784</x:v>
      </x:c>
      <x:c r="Q142" s="157" t="s">
        <x:v>693</x:v>
      </x:c>
      <x:c r="R142" s="157" t="s">
        <x:v>2080</x:v>
      </x:c>
      <x:c r="S142" s="157" t="s">
        <x:v>1525</x:v>
      </x:c>
      <x:c r="T142" s="157" t="s">
        <x:v>2031</x:v>
      </x:c>
      <x:c r="U142" s="157"/>
      <x:c r="V142" s="157" t="s">
        <x:v>739</x:v>
      </x:c>
      <x:c r="W142" s="91"/>
      <x:c r="X142" s="91" t="s">
        <x:v>742</x:v>
      </x:c>
      <x:c r="Y142" s="91"/>
      <x:c r="Z142" s="91"/>
    </x:row>
    <x:row r="143" spans="1:26" s="23" customFormat="1" ht="8.40000000000000035527" customHeight="1">
      <x:c r="A143" s="25" t="str">
        <x:f>O143</x:f>
        <x:v>예비용12</x:v>
      </x:c>
      <x:c r="B143" s="90" t="str">
        <x:f>L143&amp;"-"&amp;TEXT(P143,"0000")</x:f>
        <x:v>20180820-0785</x:v>
      </x:c>
      <x:c r="C143" s="157" t="s">
        <x:v>1564</x:v>
      </x:c>
      <x:c r="D143" s="157" t="s">
        <x:v>1581</x:v>
      </x:c>
      <x:c r="E143" s="157" t="s">
        <x:v>1251</x:v>
      </x:c>
      <x:c r="F143" s="157" t="s">
        <x:v>3259</x:v>
      </x:c>
      <x:c r="G143" s="157" t="s">
        <x:v>1289</x:v>
      </x:c>
      <x:c r="H143" s="124" t="str">
        <x:f>IFERROR(VLOOKUP(O143,'정보화기기 명부'!A$2:B$187,2,FALSE),"")</x:f>
        <x:v/>
      </x:c>
      <x:c r="I143" s="124" t="str">
        <x:f>IFERROR(VLOOKUP(O143,'교직원용 IP'!$C$2:$H$230,6,FALSE),"")</x:f>
        <x:v/>
      </x:c>
      <x:c r="J143" s="157" t="s">
        <x:v>1864</x:v>
      </x:c>
      <x:c r="K143" s="406" t="s">
        <x:v>859</x:v>
      </x:c>
      <x:c r="L143" s="405">
        <x:v>20180820</x:v>
      </x:c>
      <x:c r="M143" s="382">
        <x:v>850000</x:v>
      </x:c>
      <x:c r="N143" s="157" t="s">
        <x:v>1965</x:v>
      </x:c>
      <x:c r="O143" s="390" t="s">
        <x:v>2062</x:v>
      </x:c>
      <x:c r="P143" s="157">
        <x:v>785</x:v>
      </x:c>
      <x:c r="Q143" s="157" t="s">
        <x:v>693</x:v>
      </x:c>
      <x:c r="R143" s="157" t="s">
        <x:v>2080</x:v>
      </x:c>
      <x:c r="S143" s="157" t="s">
        <x:v>1525</x:v>
      </x:c>
      <x:c r="T143" s="157" t="s">
        <x:v>2031</x:v>
      </x:c>
      <x:c r="U143" s="157"/>
      <x:c r="V143" s="157" t="s">
        <x:v>739</x:v>
      </x:c>
      <x:c r="W143" s="91"/>
      <x:c r="X143" s="91" t="s">
        <x:v>742</x:v>
      </x:c>
      <x:c r="Y143" s="91"/>
      <x:c r="Z143" s="91"/>
    </x:row>
    <x:row r="144" spans="1:26" s="23" customFormat="1" ht="11.40000000000000035527" customHeight="1">
      <x:c r="A144" s="25" t="str">
        <x:f>O144</x:f>
        <x:v>장재현</x:v>
      </x:c>
      <x:c r="B144" s="25" t="str">
        <x:f>L144&amp;"-"&amp;TEXT(P144,"0000")</x:f>
        <x:v>20180601-0778</x:v>
      </x:c>
      <x:c r="C144" s="157" t="s">
        <x:v>1978</x:v>
      </x:c>
      <x:c r="D144" s="157" t="s">
        <x:v>1581</x:v>
      </x:c>
      <x:c r="E144" s="157" t="s">
        <x:v>1251</x:v>
      </x:c>
      <x:c r="F144" s="157" t="s">
        <x:v>2140</x:v>
      </x:c>
      <x:c r="G144" s="157" t="s">
        <x:v>697</x:v>
      </x:c>
      <x:c r="H144" s="124" t="str">
        <x:f>IFERROR(VLOOKUP(O144,'정보화기기 명부'!A$2:B$187,2,FALSE),"")</x:f>
        <x:v/>
      </x:c>
      <x:c r="I144" s="124" t="str">
        <x:f>IFERROR(VLOOKUP(O144,'교직원용 IP'!$C$2:$H$230,6,FALSE),"")</x:f>
        <x:v/>
      </x:c>
      <x:c r="J144" s="157"/>
      <x:c r="K144" s="406"/>
      <x:c r="L144" s="405">
        <x:v>20180601</x:v>
      </x:c>
      <x:c r="M144" s="382">
        <x:v>715500</x:v>
      </x:c>
      <x:c r="N144" s="157" t="s">
        <x:v>2034</x:v>
      </x:c>
      <x:c r="O144" s="157" t="s">
        <x:v>1526</x:v>
      </x:c>
      <x:c r="P144" s="157">
        <x:v>778</x:v>
      </x:c>
      <x:c r="Q144" s="157" t="s">
        <x:v>693</x:v>
      </x:c>
      <x:c r="R144" s="157" t="s">
        <x:v>1643</x:v>
      </x:c>
      <x:c r="S144" s="157" t="s">
        <x:v>1525</x:v>
      </x:c>
      <x:c r="T144" s="157" t="s">
        <x:v>2037</x:v>
      </x:c>
      <x:c r="U144" s="157"/>
      <x:c r="V144" s="157" t="s">
        <x:v>739</x:v>
      </x:c>
      <x:c r="W144" s="91" t="s">
        <x:v>1561</x:v>
      </x:c>
      <x:c r="X144" s="91" t="s">
        <x:v>742</x:v>
      </x:c>
      <x:c r="Y144" s="91"/>
      <x:c r="Z144" s="91"/>
    </x:row>
    <x:row r="145" spans="1:26" s="23" customFormat="1" ht="13.25" customHeight="1">
      <x:c r="A145" s="25" t="str">
        <x:f>O145</x:f>
        <x:v>원선일</x:v>
      </x:c>
      <x:c r="B145" s="25" t="str">
        <x:f>L145&amp;"-"&amp;TEXT(P145,"0000")</x:f>
        <x:v>20180601-0777</x:v>
      </x:c>
      <x:c r="C145" s="157" t="s">
        <x:v>1978</x:v>
      </x:c>
      <x:c r="D145" s="157" t="s">
        <x:v>1581</x:v>
      </x:c>
      <x:c r="E145" s="157" t="s">
        <x:v>1251</x:v>
      </x:c>
      <x:c r="F145" s="157" t="s">
        <x:v>2140</x:v>
      </x:c>
      <x:c r="G145" s="157" t="s">
        <x:v>697</x:v>
      </x:c>
      <x:c r="H145" s="124" t="str">
        <x:f>IFERROR(VLOOKUP(O145,'정보화기기 명부'!A$2:B$187,2,FALSE),"")</x:f>
        <x:v>2층 교무실</x:v>
      </x:c>
      <x:c r="I145" s="124" t="str">
        <x:f>IFERROR(VLOOKUP(O145,'교직원용 IP'!$C$2:$H$230,6,FALSE),"")</x:f>
        <x:v>10.51.90.87</x:v>
      </x:c>
      <x:c r="J145" s="157"/>
      <x:c r="K145" s="406"/>
      <x:c r="L145" s="405">
        <x:v>20180601</x:v>
      </x:c>
      <x:c r="M145" s="382">
        <x:v>715500</x:v>
      </x:c>
      <x:c r="N145" s="157" t="s">
        <x:v>2034</x:v>
      </x:c>
      <x:c r="O145" s="157" t="s">
        <x:v>1204</x:v>
      </x:c>
      <x:c r="P145" s="157">
        <x:v>777</x:v>
      </x:c>
      <x:c r="Q145" s="157" t="s">
        <x:v>693</x:v>
      </x:c>
      <x:c r="R145" s="157" t="s">
        <x:v>1643</x:v>
      </x:c>
      <x:c r="S145" s="157" t="s">
        <x:v>1525</x:v>
      </x:c>
      <x:c r="T145" s="157" t="s">
        <x:v>2037</x:v>
      </x:c>
      <x:c r="U145" s="157"/>
      <x:c r="V145" s="157" t="s">
        <x:v>739</x:v>
      </x:c>
      <x:c r="W145" s="91" t="s">
        <x:v>1561</x:v>
      </x:c>
      <x:c r="X145" s="91" t="s">
        <x:v>742</x:v>
      </x:c>
      <x:c r="Y145" s="91"/>
      <x:c r="Z145" s="91"/>
    </x:row>
    <x:row r="146" spans="1:26" s="23" customFormat="1" ht="14.40000000000000035527" customHeight="1">
      <x:c r="A146" s="25" t="str">
        <x:f>O146</x:f>
        <x:v>성적처리용</x:v>
      </x:c>
      <x:c r="B146" s="25" t="str">
        <x:f>L146&amp;"-"&amp;TEXT(P146,"0000")</x:f>
        <x:v>20180521-0776</x:v>
      </x:c>
      <x:c r="C146" s="157" t="s">
        <x:v>1978</x:v>
      </x:c>
      <x:c r="D146" s="157" t="s">
        <x:v>1581</x:v>
      </x:c>
      <x:c r="E146" s="157" t="s">
        <x:v>1543</x:v>
      </x:c>
      <x:c r="F146" s="157" t="s">
        <x:v>767</x:v>
      </x:c>
      <x:c r="G146" s="157" t="s">
        <x:v>1646</x:v>
      </x:c>
      <x:c r="H146" s="124" t="str">
        <x:f>IFERROR(VLOOKUP(O146,'정보화기기 명부'!A$2:B$187,2,FALSE),"")</x:f>
        <x:v>교무기획부</x:v>
      </x:c>
      <x:c r="I146" s="124" t="str">
        <x:f>IFERROR(VLOOKUP(O146,'교직원용 IP'!$C$2:$H$230,6,FALSE),"")</x:f>
        <x:v>10.51.90.98</x:v>
      </x:c>
      <x:c r="J146" s="157"/>
      <x:c r="K146" s="406"/>
      <x:c r="L146" s="405">
        <x:v>20180521</x:v>
      </x:c>
      <x:c r="M146" s="382">
        <x:v>700000</x:v>
      </x:c>
      <x:c r="N146" s="157" t="s">
        <x:v>2034</x:v>
      </x:c>
      <x:c r="O146" s="157" t="s">
        <x:v>1651</x:v>
      </x:c>
      <x:c r="P146" s="157">
        <x:v>776</x:v>
      </x:c>
      <x:c r="Q146" s="157" t="s">
        <x:v>693</x:v>
      </x:c>
      <x:c r="R146" s="157" t="s">
        <x:v>2107</x:v>
      </x:c>
      <x:c r="S146" s="157" t="s">
        <x:v>1525</x:v>
      </x:c>
      <x:c r="T146" s="157" t="s">
        <x:v>2037</x:v>
      </x:c>
      <x:c r="U146" s="157"/>
      <x:c r="V146" s="157" t="s">
        <x:v>739</x:v>
      </x:c>
      <x:c r="W146" s="91" t="s">
        <x:v>1561</x:v>
      </x:c>
      <x:c r="X146" s="91" t="s">
        <x:v>742</x:v>
      </x:c>
      <x:c r="Y146" s="91"/>
      <x:c r="Z146" s="91"/>
    </x:row>
    <x:row r="147" spans="1:26" s="23" customFormat="1" ht="13.25" customHeight="1">
      <x:c r="A147" s="25" t="str">
        <x:f>O147</x:f>
        <x:v>구 박연정</x:v>
      </x:c>
      <x:c r="B147" s="90" t="str">
        <x:f>L147&amp;"-"&amp;TEXT(P147,"0000")</x:f>
        <x:v>20180102-0753</x:v>
      </x:c>
      <x:c r="C147" s="157" t="s">
        <x:v>1564</x:v>
      </x:c>
      <x:c r="D147" s="407" t="s">
        <x:v>2109</x:v>
      </x:c>
      <x:c r="E147" s="157" t="s">
        <x:v>1251</x:v>
      </x:c>
      <x:c r="F147" s="157" t="s">
        <x:v>2134</x:v>
      </x:c>
      <x:c r="G147" s="157" t="s">
        <x:v>1289</x:v>
      </x:c>
      <x:c r="H147" s="124" t="str">
        <x:f>IFERROR(VLOOKUP(O147,'정보화기기 명부'!A$2:B$187,2,FALSE),"")</x:f>
        <x:v/>
      </x:c>
      <x:c r="I147" s="124" t="str">
        <x:f>IFERROR(VLOOKUP(O147,'교직원용 IP'!$C$2:$H$230,6,FALSE),"")</x:f>
        <x:v/>
      </x:c>
      <x:c r="J147" s="157"/>
      <x:c r="K147" s="157"/>
      <x:c r="L147" s="405">
        <x:v>20180102</x:v>
      </x:c>
      <x:c r="M147" s="382">
        <x:v>690000</x:v>
      </x:c>
      <x:c r="N147" s="157" t="s">
        <x:v>1965</x:v>
      </x:c>
      <x:c r="O147" s="157" t="s">
        <x:v>2115</x:v>
      </x:c>
      <x:c r="P147" s="157">
        <x:v>753</x:v>
      </x:c>
      <x:c r="Q147" s="157" t="s">
        <x:v>693</x:v>
      </x:c>
      <x:c r="R147" s="157" t="s">
        <x:v>2080</x:v>
      </x:c>
      <x:c r="S147" s="157" t="s">
        <x:v>1525</x:v>
      </x:c>
      <x:c r="T147" s="157" t="s">
        <x:v>2037</x:v>
      </x:c>
      <x:c r="U147" s="157"/>
      <x:c r="V147" s="157" t="s">
        <x:v>739</x:v>
      </x:c>
      <x:c r="W147" s="91"/>
      <x:c r="X147" s="91"/>
      <x:c r="Y147" s="91"/>
      <x:c r="Z147" s="91"/>
    </x:row>
    <x:row r="148" spans="1:26" s="23" customFormat="1" ht="12" customHeight="1">
      <x:c r="A148" s="25" t="str">
        <x:f>O148</x:f>
        <x:v>예비용1</x:v>
      </x:c>
      <x:c r="B148" s="90" t="str">
        <x:f>L148&amp;"-"&amp;TEXT(P148,"0000")</x:f>
        <x:v>20180102-0754</x:v>
      </x:c>
      <x:c r="C148" s="157" t="s">
        <x:v>1564</x:v>
      </x:c>
      <x:c r="D148" s="157" t="s">
        <x:v>1581</x:v>
      </x:c>
      <x:c r="E148" s="157" t="s">
        <x:v>1251</x:v>
      </x:c>
      <x:c r="F148" s="157" t="s">
        <x:v>2134</x:v>
      </x:c>
      <x:c r="G148" s="157" t="s">
        <x:v>1289</x:v>
      </x:c>
      <x:c r="H148" s="124" t="str">
        <x:f>IFERROR(VLOOKUP(O148,'정보화기기 명부'!A$2:B$187,2,FALSE),"")</x:f>
        <x:v/>
      </x:c>
      <x:c r="I148" s="124" t="str">
        <x:f>IFERROR(VLOOKUP(O148,'교직원용 IP'!$C$2:$H$230,6,FALSE),"")</x:f>
        <x:v/>
      </x:c>
      <x:c r="J148" s="157" t="s">
        <x:v>2268</x:v>
      </x:c>
      <x:c r="K148" s="157"/>
      <x:c r="L148" s="405">
        <x:v>20180102</x:v>
      </x:c>
      <x:c r="M148" s="382">
        <x:v>690000</x:v>
      </x:c>
      <x:c r="N148" s="157" t="s">
        <x:v>1965</x:v>
      </x:c>
      <x:c r="O148" s="390" t="s">
        <x:v>2097</x:v>
      </x:c>
      <x:c r="P148" s="157">
        <x:v>754</x:v>
      </x:c>
      <x:c r="Q148" s="157" t="s">
        <x:v>693</x:v>
      </x:c>
      <x:c r="R148" s="157" t="s">
        <x:v>2080</x:v>
      </x:c>
      <x:c r="S148" s="157" t="s">
        <x:v>1525</x:v>
      </x:c>
      <x:c r="T148" s="157" t="s">
        <x:v>2037</x:v>
      </x:c>
      <x:c r="U148" s="157"/>
      <x:c r="V148" s="157" t="s">
        <x:v>739</x:v>
      </x:c>
      <x:c r="W148" s="91"/>
      <x:c r="X148" s="91"/>
      <x:c r="Y148" s="91"/>
      <x:c r="Z148" s="91"/>
    </x:row>
    <x:row r="149" spans="1:26" s="23" customFormat="1" ht="1.75" customHeight="1">
      <x:c r="A149" s="117" t="str">
        <x:f>O149</x:f>
        <x:v>교사 예비용7</x:v>
      </x:c>
      <x:c r="B149" s="25" t="str">
        <x:f>L149&amp;"-"&amp;TEXT(P149,"0000")</x:f>
        <x:v>20180102-0755</x:v>
      </x:c>
      <x:c r="C149" s="157" t="s">
        <x:v>1564</x:v>
      </x:c>
      <x:c r="D149" s="157" t="s">
        <x:v>1581</x:v>
      </x:c>
      <x:c r="E149" s="157" t="s">
        <x:v>1251</x:v>
      </x:c>
      <x:c r="F149" s="157" t="s">
        <x:v>2134</x:v>
      </x:c>
      <x:c r="G149" s="157" t="s">
        <x:v>1289</x:v>
      </x:c>
      <x:c r="H149" s="124" t="str">
        <x:f>IFERROR(VLOOKUP(O149,'정보화기기 명부'!A$2:B$187,2,FALSE),"")</x:f>
        <x:v/>
      </x:c>
      <x:c r="I149" s="124" t="str">
        <x:f>IFERROR(VLOOKUP(O149,'교직원용 IP'!$C$2:$H$230,6,FALSE),"")</x:f>
        <x:v/>
      </x:c>
      <x:c r="J149" s="157"/>
      <x:c r="K149" s="157"/>
      <x:c r="L149" s="405">
        <x:v>20180102</x:v>
      </x:c>
      <x:c r="M149" s="382">
        <x:v>690000</x:v>
      </x:c>
      <x:c r="N149" s="157" t="s">
        <x:v>1965</x:v>
      </x:c>
      <x:c r="O149" s="157" t="s">
        <x:v>2098</x:v>
      </x:c>
      <x:c r="P149" s="157">
        <x:v>755</x:v>
      </x:c>
      <x:c r="Q149" s="157" t="s">
        <x:v>693</x:v>
      </x:c>
      <x:c r="R149" s="157" t="s">
        <x:v>2080</x:v>
      </x:c>
      <x:c r="S149" s="157" t="s">
        <x:v>1525</x:v>
      </x:c>
      <x:c r="T149" s="157" t="s">
        <x:v>2037</x:v>
      </x:c>
      <x:c r="U149" s="157"/>
      <x:c r="V149" s="157" t="s">
        <x:v>739</x:v>
      </x:c>
      <x:c r="W149" s="91"/>
      <x:c r="X149" s="91"/>
      <x:c r="Y149" s="91"/>
      <x:c r="Z149" s="91"/>
    </x:row>
    <x:row r="150" spans="1:26" s="23" customFormat="1" customHeight="1">
      <x:c r="A150" s="25" t="str">
        <x:f>O150</x:f>
        <x:v>임명빈</x:v>
      </x:c>
      <x:c r="B150" s="90" t="str">
        <x:f>L150&amp;"-"&amp;TEXT(P150,"0000")</x:f>
        <x:v>20180102-0756</x:v>
      </x:c>
      <x:c r="C150" s="157" t="s">
        <x:v>1564</x:v>
      </x:c>
      <x:c r="D150" s="157" t="s">
        <x:v>1581</x:v>
      </x:c>
      <x:c r="E150" s="157" t="s">
        <x:v>1251</x:v>
      </x:c>
      <x:c r="F150" s="157" t="s">
        <x:v>2134</x:v>
      </x:c>
      <x:c r="G150" s="157" t="s">
        <x:v>1289</x:v>
      </x:c>
      <x:c r="H150" s="124" t="str">
        <x:f>IFERROR(VLOOKUP(O150,'정보화기기 명부'!A$2:B$187,2,FALSE),"")</x:f>
        <x:v>특수교육부</x:v>
      </x:c>
      <x:c r="I150" s="124" t="str">
        <x:f>IFERROR(VLOOKUP(O150,'교직원용 IP'!$C$2:$H$230,6,FALSE),"")</x:f>
        <x:v/>
      </x:c>
      <x:c r="J150" s="157"/>
      <x:c r="K150" s="157"/>
      <x:c r="L150" s="405">
        <x:v>20180102</x:v>
      </x:c>
      <x:c r="M150" s="382">
        <x:v>690000</x:v>
      </x:c>
      <x:c r="N150" s="157" t="s">
        <x:v>1965</x:v>
      </x:c>
      <x:c r="O150" s="157" t="s">
        <x:v>1546</x:v>
      </x:c>
      <x:c r="P150" s="157">
        <x:v>756</x:v>
      </x:c>
      <x:c r="Q150" s="157" t="s">
        <x:v>693</x:v>
      </x:c>
      <x:c r="R150" s="157" t="s">
        <x:v>2080</x:v>
      </x:c>
      <x:c r="S150" s="157" t="s">
        <x:v>1525</x:v>
      </x:c>
      <x:c r="T150" s="157" t="s">
        <x:v>2037</x:v>
      </x:c>
      <x:c r="U150" s="157"/>
      <x:c r="V150" s="157" t="s">
        <x:v>739</x:v>
      </x:c>
      <x:c r="W150" s="91"/>
      <x:c r="X150" s="91"/>
      <x:c r="Y150" s="91"/>
      <x:c r="Z150" s="91"/>
    </x:row>
    <x:row r="151" spans="1:26" s="23" customFormat="1" customHeight="1">
      <x:c r="A151" s="25" t="str">
        <x:f>O151</x:f>
        <x:v>구 박은혜</x:v>
      </x:c>
      <x:c r="B151" s="90" t="str">
        <x:f>L151&amp;"-"&amp;TEXT(P151,"0000")</x:f>
        <x:v>20180102-0757</x:v>
      </x:c>
      <x:c r="C151" s="157" t="s">
        <x:v>1564</x:v>
      </x:c>
      <x:c r="D151" s="407" t="s">
        <x:v>1523</x:v>
      </x:c>
      <x:c r="E151" s="157" t="s">
        <x:v>1251</x:v>
      </x:c>
      <x:c r="F151" s="157" t="s">
        <x:v>2134</x:v>
      </x:c>
      <x:c r="G151" s="157" t="s">
        <x:v>1289</x:v>
      </x:c>
      <x:c r="H151" s="124" t="str">
        <x:f>IFERROR(VLOOKUP(O151,'정보화기기 명부'!A$2:B$187,2,FALSE),"")</x:f>
        <x:v/>
      </x:c>
      <x:c r="I151" s="124" t="str">
        <x:f>IFERROR(VLOOKUP(O151,'교직원용 IP'!$C$2:$H$230,6,FALSE),"")</x:f>
        <x:v/>
      </x:c>
      <x:c r="J151" s="394" t="s">
        <x:v>756</x:v>
      </x:c>
      <x:c r="K151" s="157"/>
      <x:c r="L151" s="405">
        <x:v>20180102</x:v>
      </x:c>
      <x:c r="M151" s="382">
        <x:v>690000</x:v>
      </x:c>
      <x:c r="N151" s="157" t="s">
        <x:v>1965</x:v>
      </x:c>
      <x:c r="O151" s="157" t="s">
        <x:v>2036</x:v>
      </x:c>
      <x:c r="P151" s="157">
        <x:v>757</x:v>
      </x:c>
      <x:c r="Q151" s="157" t="s">
        <x:v>693</x:v>
      </x:c>
      <x:c r="R151" s="157" t="s">
        <x:v>2080</x:v>
      </x:c>
      <x:c r="S151" s="157" t="s">
        <x:v>1525</x:v>
      </x:c>
      <x:c r="T151" s="157" t="s">
        <x:v>2037</x:v>
      </x:c>
      <x:c r="U151" s="157"/>
      <x:c r="V151" s="157" t="s">
        <x:v>739</x:v>
      </x:c>
      <x:c r="W151" s="91"/>
      <x:c r="X151" s="91"/>
      <x:c r="Y151" s="91"/>
      <x:c r="Z151" s="91"/>
    </x:row>
    <x:row r="152" spans="1:26" s="23" customFormat="1" customHeight="1">
      <x:c r="A152" s="25" t="str">
        <x:f>O152</x:f>
        <x:v>예비용9</x:v>
      </x:c>
      <x:c r="B152" s="90" t="str">
        <x:f>L152&amp;"-"&amp;TEXT(P152,"0000")</x:f>
        <x:v>20180102-0758</x:v>
      </x:c>
      <x:c r="C152" s="157" t="s">
        <x:v>1564</x:v>
      </x:c>
      <x:c r="D152" s="157" t="s">
        <x:v>1581</x:v>
      </x:c>
      <x:c r="E152" s="157" t="s">
        <x:v>1251</x:v>
      </x:c>
      <x:c r="F152" s="157" t="s">
        <x:v>2134</x:v>
      </x:c>
      <x:c r="G152" s="157" t="s">
        <x:v>1289</x:v>
      </x:c>
      <x:c r="H152" s="124" t="str">
        <x:f>IFERROR(VLOOKUP(O152,'정보화기기 명부'!A$2:B$187,2,FALSE),"")</x:f>
        <x:v/>
      </x:c>
      <x:c r="I152" s="124" t="str">
        <x:f>IFERROR(VLOOKUP(O152,'교직원용 IP'!$C$2:$H$230,6,FALSE),"")</x:f>
        <x:v/>
      </x:c>
      <x:c r="J152" s="91" t="s">
        <x:v>692</x:v>
      </x:c>
      <x:c r="K152" s="157"/>
      <x:c r="L152" s="405">
        <x:v>20180102</x:v>
      </x:c>
      <x:c r="M152" s="382">
        <x:v>690000</x:v>
      </x:c>
      <x:c r="N152" s="157" t="s">
        <x:v>1965</x:v>
      </x:c>
      <x:c r="O152" s="390" t="s">
        <x:v>2090</x:v>
      </x:c>
      <x:c r="P152" s="157">
        <x:v>758</x:v>
      </x:c>
      <x:c r="Q152" s="157" t="s">
        <x:v>693</x:v>
      </x:c>
      <x:c r="R152" s="157" t="s">
        <x:v>2080</x:v>
      </x:c>
      <x:c r="S152" s="157" t="s">
        <x:v>1525</x:v>
      </x:c>
      <x:c r="T152" s="157" t="s">
        <x:v>2037</x:v>
      </x:c>
      <x:c r="U152" s="157"/>
      <x:c r="V152" s="157" t="s">
        <x:v>739</x:v>
      </x:c>
      <x:c r="W152" s="91"/>
      <x:c r="X152" s="91"/>
      <x:c r="Y152" s="91"/>
      <x:c r="Z152" s="91"/>
    </x:row>
    <x:row r="153" spans="1:26" s="23" customFormat="1" customHeight="1">
      <x:c r="A153" s="210" t="str">
        <x:f>O153</x:f>
        <x:v>예비용8</x:v>
      </x:c>
      <x:c r="B153" s="90" t="str">
        <x:f>L153&amp;"-"&amp;TEXT(P153,"0000")</x:f>
        <x:v>20180102-0759</x:v>
      </x:c>
      <x:c r="C153" s="157" t="s">
        <x:v>1564</x:v>
      </x:c>
      <x:c r="D153" s="157" t="s">
        <x:v>1581</x:v>
      </x:c>
      <x:c r="E153" s="157" t="s">
        <x:v>1251</x:v>
      </x:c>
      <x:c r="F153" s="157" t="s">
        <x:v>2134</x:v>
      </x:c>
      <x:c r="G153" s="157" t="s">
        <x:v>1289</x:v>
      </x:c>
      <x:c r="H153" s="124" t="str">
        <x:f>IFERROR(VLOOKUP(O153,'정보화기기 명부'!A$2:B$187,2,FALSE),"")</x:f>
        <x:v/>
      </x:c>
      <x:c r="I153" s="124" t="str">
        <x:f>IFERROR(VLOOKUP(O153,'교직원용 IP'!$C$2:$H$230,6,FALSE),"")</x:f>
        <x:v/>
      </x:c>
      <x:c r="J153" s="390" t="s">
        <x:v>703</x:v>
      </x:c>
      <x:c r="K153" s="406" t="s">
        <x:v>859</x:v>
      </x:c>
      <x:c r="L153" s="405">
        <x:v>20180102</x:v>
      </x:c>
      <x:c r="M153" s="382">
        <x:v>690000</x:v>
      </x:c>
      <x:c r="N153" s="157" t="s">
        <x:v>1965</x:v>
      </x:c>
      <x:c r="O153" s="390" t="s">
        <x:v>2082</x:v>
      </x:c>
      <x:c r="P153" s="157">
        <x:v>759</x:v>
      </x:c>
      <x:c r="Q153" s="157" t="s">
        <x:v>693</x:v>
      </x:c>
      <x:c r="R153" s="157" t="s">
        <x:v>2080</x:v>
      </x:c>
      <x:c r="S153" s="157" t="s">
        <x:v>1525</x:v>
      </x:c>
      <x:c r="T153" s="157" t="s">
        <x:v>2037</x:v>
      </x:c>
      <x:c r="U153" s="157"/>
      <x:c r="V153" s="157" t="s">
        <x:v>739</x:v>
      </x:c>
      <x:c r="W153" s="91"/>
      <x:c r="X153" s="91"/>
      <x:c r="Y153" s="91"/>
      <x:c r="Z153" s="91"/>
    </x:row>
    <x:row r="154" spans="1:26" s="23" customFormat="1" customHeight="1">
      <x:c r="A154" s="210" t="str">
        <x:f>O154</x:f>
        <x:v>예비용7(구 이준남)</x:v>
      </x:c>
      <x:c r="B154" s="90" t="str">
        <x:f>L154&amp;"-"&amp;TEXT(P154,"0000")</x:f>
        <x:v>20180102-0760</x:v>
      </x:c>
      <x:c r="C154" s="157" t="s">
        <x:v>1564</x:v>
      </x:c>
      <x:c r="D154" s="157" t="s">
        <x:v>1581</x:v>
      </x:c>
      <x:c r="E154" s="157" t="s">
        <x:v>1251</x:v>
      </x:c>
      <x:c r="F154" s="157" t="s">
        <x:v>2134</x:v>
      </x:c>
      <x:c r="G154" s="157" t="s">
        <x:v>1289</x:v>
      </x:c>
      <x:c r="H154" s="124" t="str">
        <x:f>IFERROR(VLOOKUP(O154,'정보화기기 명부'!A$2:B$187,2,FALSE),"")</x:f>
        <x:v/>
      </x:c>
      <x:c r="I154" s="124" t="str">
        <x:f>IFERROR(VLOOKUP(O154,'교직원용 IP'!$C$2:$H$230,6,FALSE),"")</x:f>
        <x:v/>
      </x:c>
      <x:c r="J154" s="91" t="s">
        <x:v>664</x:v>
      </x:c>
      <x:c r="K154" s="157"/>
      <x:c r="L154" s="405">
        <x:v>20180102</x:v>
      </x:c>
      <x:c r="M154" s="382">
        <x:v>690000</x:v>
      </x:c>
      <x:c r="N154" s="157" t="s">
        <x:v>1965</x:v>
      </x:c>
      <x:c r="O154" s="157" t="s">
        <x:v>684</x:v>
      </x:c>
      <x:c r="P154" s="157">
        <x:v>760</x:v>
      </x:c>
      <x:c r="Q154" s="157" t="s">
        <x:v>693</x:v>
      </x:c>
      <x:c r="R154" s="157" t="s">
        <x:v>2080</x:v>
      </x:c>
      <x:c r="S154" s="157" t="s">
        <x:v>1525</x:v>
      </x:c>
      <x:c r="T154" s="157" t="s">
        <x:v>2037</x:v>
      </x:c>
      <x:c r="U154" s="157"/>
      <x:c r="V154" s="157" t="s">
        <x:v>739</x:v>
      </x:c>
      <x:c r="W154" s="91"/>
      <x:c r="X154" s="91"/>
      <x:c r="Y154" s="91"/>
      <x:c r="Z154" s="91"/>
    </x:row>
    <x:row r="155" spans="1:26" s="23" customFormat="1" customHeight="1">
      <x:c r="A155" s="210" t="str">
        <x:f>O155</x:f>
        <x:v>예비용6</x:v>
      </x:c>
      <x:c r="B155" s="90" t="str">
        <x:f>L155&amp;"-"&amp;TEXT(P155,"0000")</x:f>
        <x:v>20180102-0761</x:v>
      </x:c>
      <x:c r="C155" s="157" t="s">
        <x:v>1564</x:v>
      </x:c>
      <x:c r="D155" s="157" t="s">
        <x:v>1581</x:v>
      </x:c>
      <x:c r="E155" s="157" t="s">
        <x:v>1251</x:v>
      </x:c>
      <x:c r="F155" s="157" t="s">
        <x:v>2134</x:v>
      </x:c>
      <x:c r="G155" s="157" t="s">
        <x:v>1289</x:v>
      </x:c>
      <x:c r="H155" s="124" t="str">
        <x:f>IFERROR(VLOOKUP(O155,'정보화기기 명부'!A$2:B$187,2,FALSE),"")</x:f>
        <x:v/>
      </x:c>
      <x:c r="I155" s="124" t="str">
        <x:f>IFERROR(VLOOKUP(O155,'교직원용 IP'!$C$2:$H$230,6,FALSE),"")</x:f>
        <x:v/>
      </x:c>
      <x:c r="J155" s="390" t="s">
        <x:v>703</x:v>
      </x:c>
      <x:c r="K155" s="406" t="s">
        <x:v>859</x:v>
      </x:c>
      <x:c r="L155" s="405">
        <x:v>20180102</x:v>
      </x:c>
      <x:c r="M155" s="382">
        <x:v>690000</x:v>
      </x:c>
      <x:c r="N155" s="157" t="s">
        <x:v>1965</x:v>
      </x:c>
      <x:c r="O155" s="390" t="s">
        <x:v>2040</x:v>
      </x:c>
      <x:c r="P155" s="157">
        <x:v>761</x:v>
      </x:c>
      <x:c r="Q155" s="157" t="s">
        <x:v>693</x:v>
      </x:c>
      <x:c r="R155" s="157" t="s">
        <x:v>2080</x:v>
      </x:c>
      <x:c r="S155" s="157" t="s">
        <x:v>1525</x:v>
      </x:c>
      <x:c r="T155" s="157" t="s">
        <x:v>2037</x:v>
      </x:c>
      <x:c r="U155" s="157"/>
      <x:c r="V155" s="157" t="s">
        <x:v>739</x:v>
      </x:c>
      <x:c r="W155" s="91"/>
      <x:c r="X155" s="91"/>
      <x:c r="Y155" s="91"/>
      <x:c r="Z155" s="91"/>
    </x:row>
    <x:row r="156" spans="1:26" s="23" customFormat="1" customHeight="1">
      <x:c r="A156" s="210" t="str">
        <x:f>O156</x:f>
        <x:v>예비용5</x:v>
      </x:c>
      <x:c r="B156" s="90" t="str">
        <x:f>L156&amp;"-"&amp;TEXT(P156,"0000")</x:f>
        <x:v>20180102-0762</x:v>
      </x:c>
      <x:c r="C156" s="157" t="s">
        <x:v>1564</x:v>
      </x:c>
      <x:c r="D156" s="157" t="s">
        <x:v>1581</x:v>
      </x:c>
      <x:c r="E156" s="157" t="s">
        <x:v>1251</x:v>
      </x:c>
      <x:c r="F156" s="157" t="s">
        <x:v>2134</x:v>
      </x:c>
      <x:c r="G156" s="157" t="s">
        <x:v>1289</x:v>
      </x:c>
      <x:c r="H156" s="124" t="str">
        <x:f>IFERROR(VLOOKUP(O156,'정보화기기 명부'!A$2:B$187,2,FALSE),"")</x:f>
        <x:v/>
      </x:c>
      <x:c r="I156" s="124" t="str">
        <x:f>IFERROR(VLOOKUP(O156,'교직원용 IP'!$C$2:$H$230,6,FALSE),"")</x:f>
        <x:v/>
      </x:c>
      <x:c r="J156" s="390" t="s">
        <x:v>703</x:v>
      </x:c>
      <x:c r="K156" s="406" t="s">
        <x:v>859</x:v>
      </x:c>
      <x:c r="L156" s="405">
        <x:v>20180102</x:v>
      </x:c>
      <x:c r="M156" s="382">
        <x:v>690000</x:v>
      </x:c>
      <x:c r="N156" s="157" t="s">
        <x:v>1965</x:v>
      </x:c>
      <x:c r="O156" s="390" t="s">
        <x:v>1854</x:v>
      </x:c>
      <x:c r="P156" s="157">
        <x:v>762</x:v>
      </x:c>
      <x:c r="Q156" s="157" t="s">
        <x:v>693</x:v>
      </x:c>
      <x:c r="R156" s="157" t="s">
        <x:v>2080</x:v>
      </x:c>
      <x:c r="S156" s="157" t="s">
        <x:v>1525</x:v>
      </x:c>
      <x:c r="T156" s="157" t="s">
        <x:v>2037</x:v>
      </x:c>
      <x:c r="U156" s="157"/>
      <x:c r="V156" s="157" t="s">
        <x:v>739</x:v>
      </x:c>
      <x:c r="W156" s="91"/>
      <x:c r="X156" s="91"/>
      <x:c r="Y156" s="91"/>
      <x:c r="Z156" s="91"/>
    </x:row>
    <x:row r="157" spans="1:26" s="23" customFormat="1" ht="18" customHeight="1">
      <x:c r="A157" s="25" t="str">
        <x:f>O157</x:f>
        <x:v>구 이태영</x:v>
      </x:c>
      <x:c r="B157" s="25" t="str">
        <x:f>L157&amp;"-"&amp;TEXT(P157,"0000")</x:f>
        <x:v>20170705-0745</x:v>
      </x:c>
      <x:c r="C157" s="157" t="s">
        <x:v>1564</x:v>
      </x:c>
      <x:c r="D157" s="157" t="s">
        <x:v>1514</x:v>
      </x:c>
      <x:c r="E157" s="157" t="s">
        <x:v>1251</x:v>
      </x:c>
      <x:c r="F157" s="157" t="s">
        <x:v>2134</x:v>
      </x:c>
      <x:c r="G157" s="157" t="s">
        <x:v>1289</x:v>
      </x:c>
      <x:c r="H157" s="124" t="str">
        <x:f>IFERROR(VLOOKUP(O157,'정보화기기 명부'!A$2:B$187,2,FALSE),"")</x:f>
        <x:v/>
      </x:c>
      <x:c r="I157" s="124" t="str">
        <x:f>IFERROR(VLOOKUP(O157,'교직원용 IP'!$C$2:$H$230,6,FALSE),"")</x:f>
        <x:v/>
      </x:c>
      <x:c r="J157" s="394" t="s">
        <x:v>756</x:v>
      </x:c>
      <x:c r="K157" s="157"/>
      <x:c r="L157" s="408">
        <x:v>20170705</x:v>
      </x:c>
      <x:c r="M157" s="382">
        <x:v>1080000</x:v>
      </x:c>
      <x:c r="N157" s="157" t="s">
        <x:v>2034</x:v>
      </x:c>
      <x:c r="O157" s="157" t="s">
        <x:v>1624</x:v>
      </x:c>
      <x:c r="P157" s="157">
        <x:v>745</x:v>
      </x:c>
      <x:c r="Q157" s="157" t="s">
        <x:v>693</x:v>
      </x:c>
      <x:c r="R157" s="157" t="s">
        <x:v>2080</x:v>
      </x:c>
      <x:c r="S157" s="157" t="s">
        <x:v>1525</x:v>
      </x:c>
      <x:c r="T157" s="157" t="s">
        <x:v>1964</x:v>
      </x:c>
      <x:c r="U157" s="157"/>
      <x:c r="V157" s="157" t="s">
        <x:v>739</x:v>
      </x:c>
      <x:c r="W157" s="91"/>
      <x:c r="X157" s="91"/>
      <x:c r="Y157" s="91"/>
      <x:c r="Z157" s="91"/>
    </x:row>
    <x:row r="158" spans="1:24" ht="17.39999999999999857891" customHeight="1">
      <x:c r="A158" s="25" t="str">
        <x:f>O158</x:f>
        <x:v>김연옥</x:v>
      </x:c>
      <x:c r="B158" s="25" t="str">
        <x:f>L158&amp;"-"&amp;TEXT(P158,"0000")</x:f>
        <x:v>20170705-0746</x:v>
      </x:c>
      <x:c r="C158" s="25" t="s">
        <x:v>1564</x:v>
      </x:c>
      <x:c r="D158" s="25" t="s">
        <x:v>1581</x:v>
      </x:c>
      <x:c r="E158" s="25" t="s">
        <x:v>1251</x:v>
      </x:c>
      <x:c r="F158" s="157" t="s">
        <x:v>2134</x:v>
      </x:c>
      <x:c r="G158" s="157" t="s">
        <x:v>1289</x:v>
      </x:c>
      <x:c r="H158" s="124" t="str">
        <x:f>IFERROR(VLOOKUP(O158,'정보화기기 명부'!A$2:B$187,2,FALSE),"")</x:f>
        <x:v>수리과학부</x:v>
      </x:c>
      <x:c r="I158" s="124" t="str">
        <x:f>IFERROR(VLOOKUP(O158,'교직원용 IP'!$C$2:$H$230,6,FALSE),"")</x:f>
        <x:v>10.51.90.135</x:v>
      </x:c>
      <x:c r="J158" s="25"/>
      <x:c r="K158" s="25"/>
      <x:c r="L158" s="408">
        <x:v>20170705</x:v>
      </x:c>
      <x:c r="M158" s="123">
        <x:v>1080000</x:v>
      </x:c>
      <x:c r="N158" s="25" t="s">
        <x:v>2034</x:v>
      </x:c>
      <x:c r="O158" s="25" t="s">
        <x:v>1518</x:v>
      </x:c>
      <x:c r="P158" s="157">
        <x:v>746</x:v>
      </x:c>
      <x:c r="Q158" s="157" t="s">
        <x:v>693</x:v>
      </x:c>
      <x:c r="R158" s="157" t="s">
        <x:v>2080</x:v>
      </x:c>
      <x:c r="S158" s="25" t="s">
        <x:v>1525</x:v>
      </x:c>
      <x:c r="T158" s="25" t="s">
        <x:v>1964</x:v>
      </x:c>
      <x:c r="U158" s="25"/>
      <x:c r="V158" s="25" t="s">
        <x:v>739</x:v>
      </x:c>
      <x:c r="W158" s="25"/>
      <x:c r="X158" s="25"/>
    </x:row>
    <x:row r="159" spans="1:24" ht="12.65000000000000035527" customHeight="1">
      <x:c r="A159" s="25" t="str">
        <x:f>O159</x:f>
        <x:v>구 김두순</x:v>
      </x:c>
      <x:c r="B159" s="90" t="str">
        <x:f>L159&amp;"-"&amp;TEXT(P159,"0000")</x:f>
        <x:v>20170705-0747</x:v>
      </x:c>
      <x:c r="C159" s="25" t="s">
        <x:v>1564</x:v>
      </x:c>
      <x:c r="D159" s="25" t="s">
        <x:v>1581</x:v>
      </x:c>
      <x:c r="E159" s="25" t="s">
        <x:v>1251</x:v>
      </x:c>
      <x:c r="F159" s="25" t="s">
        <x:v>2134</x:v>
      </x:c>
      <x:c r="G159" s="25" t="s">
        <x:v>1289</x:v>
      </x:c>
      <x:c r="H159" s="124" t="str">
        <x:f>IFERROR(VLOOKUP(O159,'정보화기기 명부'!A$2:B$187,2,FALSE),"")</x:f>
        <x:v/>
      </x:c>
      <x:c r="I159" s="124" t="str">
        <x:f>IFERROR(VLOOKUP(O159,'교직원용 IP'!$C$2:$H$230,6,FALSE),"")</x:f>
        <x:v/>
      </x:c>
      <x:c r="J159" s="89" t="s">
        <x:v>756</x:v>
      </x:c>
      <x:c r="K159" s="25"/>
      <x:c r="L159" s="129">
        <x:v>20170705</x:v>
      </x:c>
      <x:c r="M159" s="123">
        <x:v>1080000</x:v>
      </x:c>
      <x:c r="N159" s="25" t="s">
        <x:v>2034</x:v>
      </x:c>
      <x:c r="O159" s="25" t="s">
        <x:v>2060</x:v>
      </x:c>
      <x:c r="P159" s="157">
        <x:v>747</x:v>
      </x:c>
      <x:c r="Q159" s="25" t="s">
        <x:v>693</x:v>
      </x:c>
      <x:c r="R159" s="25" t="s">
        <x:v>2080</x:v>
      </x:c>
      <x:c r="S159" s="25" t="s">
        <x:v>1525</x:v>
      </x:c>
      <x:c r="T159" s="25" t="s">
        <x:v>1964</x:v>
      </x:c>
      <x:c r="U159" s="25"/>
      <x:c r="V159" s="25" t="s">
        <x:v>739</x:v>
      </x:c>
      <x:c r="W159" s="25"/>
      <x:c r="X159" s="25"/>
    </x:row>
    <x:row r="160" spans="1:24" customHeight="1">
      <x:c r="A160" s="25" t="str">
        <x:f>O160</x:f>
        <x:v>구 김정원</x:v>
      </x:c>
      <x:c r="B160" s="25" t="str">
        <x:f>L160&amp;"-"&amp;TEXT(P160,"0000")</x:f>
        <x:v>20170705-0748</x:v>
      </x:c>
      <x:c r="C160" s="25" t="s">
        <x:v>1564</x:v>
      </x:c>
      <x:c r="D160" s="25" t="s">
        <x:v>1514</x:v>
      </x:c>
      <x:c r="E160" s="25" t="s">
        <x:v>1251</x:v>
      </x:c>
      <x:c r="F160" s="25" t="s">
        <x:v>2134</x:v>
      </x:c>
      <x:c r="G160" s="25" t="s">
        <x:v>1289</x:v>
      </x:c>
      <x:c r="H160" s="124" t="str">
        <x:f>IFERROR(VLOOKUP(O160,'정보화기기 명부'!A$2:B$187,2,FALSE),"")</x:f>
        <x:v/>
      </x:c>
      <x:c r="I160" s="124" t="str">
        <x:f>IFERROR(VLOOKUP(O160,'교직원용 IP'!$C$2:$H$230,6,FALSE),"")</x:f>
        <x:v/>
      </x:c>
      <x:c r="J160" s="89" t="s">
        <x:v>756</x:v>
      </x:c>
      <x:c r="K160" s="25"/>
      <x:c r="L160" s="129">
        <x:v>20170705</x:v>
      </x:c>
      <x:c r="M160" s="123">
        <x:v>1080000</x:v>
      </x:c>
      <x:c r="N160" s="25" t="s">
        <x:v>2034</x:v>
      </x:c>
      <x:c r="O160" s="25" t="s">
        <x:v>1622</x:v>
      </x:c>
      <x:c r="P160" s="157">
        <x:v>748</x:v>
      </x:c>
      <x:c r="Q160" s="25" t="s">
        <x:v>693</x:v>
      </x:c>
      <x:c r="R160" s="25" t="s">
        <x:v>2080</x:v>
      </x:c>
      <x:c r="S160" s="25" t="s">
        <x:v>1525</x:v>
      </x:c>
      <x:c r="T160" s="25" t="s">
        <x:v>1964</x:v>
      </x:c>
      <x:c r="U160" s="25"/>
      <x:c r="V160" s="25" t="s">
        <x:v>739</x:v>
      </x:c>
      <x:c r="W160" s="25"/>
      <x:c r="X160" s="25"/>
    </x:row>
    <x:row r="161" spans="1:24" ht="17.39999999999999857891" customHeight="1">
      <x:c r="A161" s="25" t="str">
        <x:f>O161</x:f>
        <x:v>구 이진채</x:v>
      </x:c>
      <x:c r="B161" s="25" t="str">
        <x:f>L161&amp;"-"&amp;TEXT(P161,"0000")</x:f>
        <x:v>20170705-0749</x:v>
      </x:c>
      <x:c r="C161" s="25" t="s">
        <x:v>1564</x:v>
      </x:c>
      <x:c r="D161" s="25" t="s">
        <x:v>1514</x:v>
      </x:c>
      <x:c r="E161" s="25" t="s">
        <x:v>1251</x:v>
      </x:c>
      <x:c r="F161" s="157" t="s">
        <x:v>2134</x:v>
      </x:c>
      <x:c r="G161" s="157" t="s">
        <x:v>1289</x:v>
      </x:c>
      <x:c r="H161" s="409" t="str">
        <x:f>IFERROR(VLOOKUP(O161,'정보화기기 명부'!A$2:B$187,2,FALSE),"")</x:f>
        <x:v/>
      </x:c>
      <x:c r="I161" s="124" t="str">
        <x:f>IFERROR(VLOOKUP(O161,'교직원용 IP'!$C$2:$H$230,6,FALSE),"")</x:f>
        <x:v/>
      </x:c>
      <x:c r="J161" s="89" t="s">
        <x:v>756</x:v>
      </x:c>
      <x:c r="K161" s="25"/>
      <x:c r="L161" s="408">
        <x:v>20170705</x:v>
      </x:c>
      <x:c r="M161" s="123">
        <x:v>1080000</x:v>
      </x:c>
      <x:c r="N161" s="25" t="s">
        <x:v>2034</x:v>
      </x:c>
      <x:c r="O161" s="25" t="s">
        <x:v>2112</x:v>
      </x:c>
      <x:c r="P161" s="157">
        <x:v>749</x:v>
      </x:c>
      <x:c r="Q161" s="157" t="s">
        <x:v>693</x:v>
      </x:c>
      <x:c r="R161" s="157" t="s">
        <x:v>2080</x:v>
      </x:c>
      <x:c r="S161" s="25" t="s">
        <x:v>1525</x:v>
      </x:c>
      <x:c r="T161" s="25" t="s">
        <x:v>1964</x:v>
      </x:c>
      <x:c r="U161" s="25"/>
      <x:c r="V161" s="25" t="s">
        <x:v>739</x:v>
      </x:c>
      <x:c r="W161" s="25"/>
      <x:c r="X161" s="25"/>
    </x:row>
    <x:row r="162" spans="1:24" ht="12.65000000000000035527" customHeight="1">
      <x:c r="A162" s="25" t="str">
        <x:f>O162</x:f>
        <x:v>구 송미선</x:v>
      </x:c>
      <x:c r="B162" s="25" t="str">
        <x:f>L162&amp;"-"&amp;TEXT(P162,"0000")</x:f>
        <x:v>20170705-0750</x:v>
      </x:c>
      <x:c r="C162" s="25" t="s">
        <x:v>1564</x:v>
      </x:c>
      <x:c r="D162" s="25" t="s">
        <x:v>1514</x:v>
      </x:c>
      <x:c r="E162" s="25" t="s">
        <x:v>1251</x:v>
      </x:c>
      <x:c r="F162" s="25" t="s">
        <x:v>2134</x:v>
      </x:c>
      <x:c r="G162" s="25" t="s">
        <x:v>1289</x:v>
      </x:c>
      <x:c r="H162" s="124" t="str">
        <x:f>IFERROR(VLOOKUP(O162,'정보화기기 명부'!A$2:B$187,2,FALSE),"")</x:f>
        <x:v/>
      </x:c>
      <x:c r="I162" s="124" t="str">
        <x:f>IFERROR(VLOOKUP(O162,'교직원용 IP'!$C$2:$H$230,6,FALSE),"")</x:f>
        <x:v/>
      </x:c>
      <x:c r="J162" s="89" t="s">
        <x:v>756</x:v>
      </x:c>
      <x:c r="K162" s="25"/>
      <x:c r="L162" s="129">
        <x:v>20170705</x:v>
      </x:c>
      <x:c r="M162" s="123">
        <x:v>1080000</x:v>
      </x:c>
      <x:c r="N162" s="25" t="s">
        <x:v>2034</x:v>
      </x:c>
      <x:c r="O162" s="25" t="s">
        <x:v>2108</x:v>
      </x:c>
      <x:c r="P162" s="157">
        <x:v>750</x:v>
      </x:c>
      <x:c r="Q162" s="25" t="s">
        <x:v>693</x:v>
      </x:c>
      <x:c r="R162" s="25" t="s">
        <x:v>2080</x:v>
      </x:c>
      <x:c r="S162" s="25" t="s">
        <x:v>1525</x:v>
      </x:c>
      <x:c r="T162" s="25" t="s">
        <x:v>1964</x:v>
      </x:c>
      <x:c r="U162" s="25"/>
      <x:c r="V162" s="25" t="s">
        <x:v>739</x:v>
      </x:c>
      <x:c r="W162" s="25"/>
      <x:c r="X162" s="25"/>
    </x:row>
    <x:row r="163" spans="1:24" ht="19.75" customHeight="1">
      <x:c r="A163" s="25" t="str">
        <x:f>O163</x:f>
        <x:v>구 최인호</x:v>
      </x:c>
      <x:c r="B163" s="25" t="str">
        <x:f>L163&amp;"-"&amp;TEXT(P163,"0000")</x:f>
        <x:v>20170705-0751</x:v>
      </x:c>
      <x:c r="C163" s="25" t="s">
        <x:v>1564</x:v>
      </x:c>
      <x:c r="D163" s="25" t="s">
        <x:v>1514</x:v>
      </x:c>
      <x:c r="E163" s="25" t="s">
        <x:v>1251</x:v>
      </x:c>
      <x:c r="F163" s="157" t="s">
        <x:v>2134</x:v>
      </x:c>
      <x:c r="G163" s="157" t="s">
        <x:v>1289</x:v>
      </x:c>
      <x:c r="H163" s="124" t="str">
        <x:f>IFERROR(VLOOKUP(O163,'정보화기기 명부'!A$2:B$187,2,FALSE),"")</x:f>
        <x:v/>
      </x:c>
      <x:c r="I163" s="124" t="str">
        <x:f>IFERROR(VLOOKUP(O163,'교직원용 IP'!$C$2:$H$230,6,FALSE),"")</x:f>
        <x:v/>
      </x:c>
      <x:c r="J163" s="89" t="s">
        <x:v>756</x:v>
      </x:c>
      <x:c r="K163" s="25"/>
      <x:c r="L163" s="408">
        <x:v>20170705</x:v>
      </x:c>
      <x:c r="M163" s="123">
        <x:v>1080000</x:v>
      </x:c>
      <x:c r="N163" s="25" t="s">
        <x:v>2034</x:v>
      </x:c>
      <x:c r="O163" s="25" t="s">
        <x:v>1621</x:v>
      </x:c>
      <x:c r="P163" s="157">
        <x:v>751</x:v>
      </x:c>
      <x:c r="Q163" s="157" t="s">
        <x:v>693</x:v>
      </x:c>
      <x:c r="R163" s="157" t="s">
        <x:v>2080</x:v>
      </x:c>
      <x:c r="S163" s="25" t="s">
        <x:v>1525</x:v>
      </x:c>
      <x:c r="T163" s="25" t="s">
        <x:v>1964</x:v>
      </x:c>
      <x:c r="U163" s="25"/>
      <x:c r="V163" s="25" t="s">
        <x:v>739</x:v>
      </x:c>
      <x:c r="W163" s="25"/>
      <x:c r="X163" s="25"/>
    </x:row>
    <x:row r="164" spans="1:24" ht="12" customHeight="1">
      <x:c r="A164" s="25" t="str">
        <x:f>O164</x:f>
        <x:v>구 유희정</x:v>
      </x:c>
      <x:c r="B164" s="25" t="str">
        <x:f>L164&amp;"-"&amp;TEXT(P164,"0000")</x:f>
        <x:v>20170705-0752</x:v>
      </x:c>
      <x:c r="C164" s="25" t="s">
        <x:v>1564</x:v>
      </x:c>
      <x:c r="D164" s="204" t="s">
        <x:v>2109</x:v>
      </x:c>
      <x:c r="E164" s="25" t="s">
        <x:v>1251</x:v>
      </x:c>
      <x:c r="F164" s="25" t="s">
        <x:v>2134</x:v>
      </x:c>
      <x:c r="G164" s="25" t="s">
        <x:v>1289</x:v>
      </x:c>
      <x:c r="H164" s="124" t="str">
        <x:f>IFERROR(VLOOKUP(O164,'정보화기기 명부'!A$2:B$187,2,FALSE),"")</x:f>
        <x:v/>
      </x:c>
      <x:c r="I164" s="124" t="str">
        <x:f>IFERROR(VLOOKUP(O164,'교직원용 IP'!$C$2:$H$230,6,FALSE),"")</x:f>
        <x:v/>
      </x:c>
      <x:c r="J164" s="25"/>
      <x:c r="K164" s="25"/>
      <x:c r="L164" s="129">
        <x:v>20170705</x:v>
      </x:c>
      <x:c r="M164" s="123">
        <x:v>1080000</x:v>
      </x:c>
      <x:c r="N164" s="25" t="s">
        <x:v>2034</x:v>
      </x:c>
      <x:c r="O164" s="25" t="s">
        <x:v>2003</x:v>
      </x:c>
      <x:c r="P164" s="157">
        <x:v>752</x:v>
      </x:c>
      <x:c r="Q164" s="25" t="s">
        <x:v>693</x:v>
      </x:c>
      <x:c r="R164" s="25" t="s">
        <x:v>2080</x:v>
      </x:c>
      <x:c r="S164" s="25" t="s">
        <x:v>1525</x:v>
      </x:c>
      <x:c r="T164" s="25" t="s">
        <x:v>1964</x:v>
      </x:c>
      <x:c r="U164" s="25"/>
      <x:c r="V164" s="25" t="s">
        <x:v>739</x:v>
      </x:c>
      <x:c r="W164" s="25"/>
      <x:c r="X164" s="25"/>
    </x:row>
    <x:row r="165" spans="1:24" ht="15.65000000000000035527" customHeight="1">
      <x:c r="A165" s="25" t="str">
        <x:f>O165</x:f>
        <x:v>관리강사1</x:v>
      </x:c>
      <x:c r="B165" s="25" t="str">
        <x:f>L165&amp;"-"&amp;TEXT(P165,"0000")</x:f>
        <x:v>20170404-0735</x:v>
      </x:c>
      <x:c r="C165" s="25" t="s">
        <x:v>1564</x:v>
      </x:c>
      <x:c r="D165" s="25" t="s">
        <x:v>1581</x:v>
      </x:c>
      <x:c r="E165" s="25" t="s">
        <x:v>1251</x:v>
      </x:c>
      <x:c r="F165" s="25" t="s">
        <x:v>2136</x:v>
      </x:c>
      <x:c r="G165" s="25" t="s">
        <x:v>1289</x:v>
      </x:c>
      <x:c r="H165" s="124" t="str">
        <x:f>IFERROR(VLOOKUP(O165,'정보화기기 명부'!A$2:B$187,2,FALSE),"")</x:f>
        <x:v>교무기획부</x:v>
      </x:c>
      <x:c r="I165" s="124" t="str">
        <x:f>IFERROR(VLOOKUP(O165,'교직원용 IP'!$C$2:$H$230,6,FALSE),"")</x:f>
        <x:v>10.51.91.31</x:v>
      </x:c>
      <x:c r="J165" s="25" t="s">
        <x:v>1666</x:v>
      </x:c>
      <x:c r="K165" s="25"/>
      <x:c r="L165" s="129">
        <x:v>20170404</x:v>
      </x:c>
      <x:c r="M165" s="123">
        <x:v>1080000</x:v>
      </x:c>
      <x:c r="N165" s="25" t="s">
        <x:v>2034</x:v>
      </x:c>
      <x:c r="O165" s="25" t="s">
        <x:v>1681</x:v>
      </x:c>
      <x:c r="P165" s="157">
        <x:v>735</x:v>
      </x:c>
      <x:c r="Q165" s="25" t="s">
        <x:v>693</x:v>
      </x:c>
      <x:c r="R165" s="25" t="s">
        <x:v>2080</x:v>
      </x:c>
      <x:c r="S165" s="25" t="s">
        <x:v>1525</x:v>
      </x:c>
      <x:c r="T165" s="25" t="s">
        <x:v>2056</x:v>
      </x:c>
      <x:c r="U165" s="25"/>
      <x:c r="V165" s="25" t="s">
        <x:v>2030</x:v>
      </x:c>
      <x:c r="W165" s="25"/>
      <x:c r="X165" s="25"/>
    </x:row>
    <x:row r="166" spans="1:24" ht="11.40000000000000035527" customHeight="1">
      <x:c r="A166" s="25" t="str">
        <x:f>O166</x:f>
        <x:v>관리강사2</x:v>
      </x:c>
      <x:c r="B166" s="25" t="str">
        <x:f>L166&amp;"-"&amp;TEXT(P166,"0000")</x:f>
        <x:v>20170404-0736</x:v>
      </x:c>
      <x:c r="C166" s="25" t="s">
        <x:v>1564</x:v>
      </x:c>
      <x:c r="D166" s="25" t="s">
        <x:v>1581</x:v>
      </x:c>
      <x:c r="E166" s="25" t="s">
        <x:v>1251</x:v>
      </x:c>
      <x:c r="F166" s="25" t="s">
        <x:v>2136</x:v>
      </x:c>
      <x:c r="G166" s="25" t="s">
        <x:v>1289</x:v>
      </x:c>
      <x:c r="H166" s="124" t="str">
        <x:f>IFERROR(VLOOKUP(O166,'정보화기기 명부'!A$2:B$187,2,FALSE),"")</x:f>
        <x:v>교무기획부</x:v>
      </x:c>
      <x:c r="I166" s="124" t="str">
        <x:f>IFERROR(VLOOKUP(O166,'교직원용 IP'!$C$2:$H$230,6,FALSE),"")</x:f>
        <x:v>10.51.91.32</x:v>
      </x:c>
      <x:c r="J166" s="25" t="s">
        <x:v>1631</x:v>
      </x:c>
      <x:c r="K166" s="25"/>
      <x:c r="L166" s="129">
        <x:v>20170404</x:v>
      </x:c>
      <x:c r="M166" s="123">
        <x:v>1080000</x:v>
      </x:c>
      <x:c r="N166" s="25" t="s">
        <x:v>2034</x:v>
      </x:c>
      <x:c r="O166" s="25" t="s">
        <x:v>1660</x:v>
      </x:c>
      <x:c r="P166" s="157">
        <x:v>736</x:v>
      </x:c>
      <x:c r="Q166" s="25" t="s">
        <x:v>693</x:v>
      </x:c>
      <x:c r="R166" s="25" t="s">
        <x:v>2080</x:v>
      </x:c>
      <x:c r="S166" s="25" t="s">
        <x:v>1525</x:v>
      </x:c>
      <x:c r="T166" s="25" t="s">
        <x:v>2056</x:v>
      </x:c>
      <x:c r="U166" s="25"/>
      <x:c r="V166" s="25" t="s">
        <x:v>2030</x:v>
      </x:c>
      <x:c r="W166" s="25"/>
      <x:c r="X166" s="25"/>
    </x:row>
    <x:row r="167" spans="1:24" ht="9" customHeight="1">
      <x:c r="A167" s="25" t="str">
        <x:f>O167</x:f>
        <x:v>구 염혜진</x:v>
      </x:c>
      <x:c r="B167" s="25" t="str">
        <x:f>L167&amp;"-"&amp;TEXT(P167,"0000")</x:f>
        <x:v>20170404-0737</x:v>
      </x:c>
      <x:c r="C167" s="25" t="s">
        <x:v>1564</x:v>
      </x:c>
      <x:c r="D167" s="204" t="s">
        <x:v>1523</x:v>
      </x:c>
      <x:c r="E167" s="25" t="s">
        <x:v>1251</x:v>
      </x:c>
      <x:c r="F167" s="25" t="s">
        <x:v>2136</x:v>
      </x:c>
      <x:c r="G167" s="25" t="s">
        <x:v>1289</x:v>
      </x:c>
      <x:c r="H167" s="124" t="str">
        <x:f>IFERROR(VLOOKUP(O167,'정보화기기 명부'!A$2:B$187,2,FALSE),"")</x:f>
        <x:v/>
      </x:c>
      <x:c r="I167" s="124" t="str">
        <x:f>IFERROR(VLOOKUP(O167,'교직원용 IP'!$C$2:$H$230,6,FALSE),"")</x:f>
        <x:v/>
      </x:c>
      <x:c r="J167" s="89" t="s">
        <x:v>756</x:v>
      </x:c>
      <x:c r="K167" s="25"/>
      <x:c r="L167" s="129">
        <x:v>20170404</x:v>
      </x:c>
      <x:c r="M167" s="123">
        <x:v>1080000</x:v>
      </x:c>
      <x:c r="N167" s="25" t="s">
        <x:v>2034</x:v>
      </x:c>
      <x:c r="O167" s="25" t="s">
        <x:v>1616</x:v>
      </x:c>
      <x:c r="P167" s="157">
        <x:v>737</x:v>
      </x:c>
      <x:c r="Q167" s="25" t="s">
        <x:v>693</x:v>
      </x:c>
      <x:c r="R167" s="25" t="s">
        <x:v>2080</x:v>
      </x:c>
      <x:c r="S167" s="25" t="s">
        <x:v>1525</x:v>
      </x:c>
      <x:c r="T167" s="25" t="s">
        <x:v>2056</x:v>
      </x:c>
      <x:c r="U167" s="25"/>
      <x:c r="V167" s="25" t="s">
        <x:v>2030</x:v>
      </x:c>
      <x:c r="W167" s="25"/>
      <x:c r="X167" s="25"/>
    </x:row>
    <x:row r="168" spans="1:24" ht="12.65000000000000035527" customHeight="1">
      <x:c r="A168" s="117" t="str">
        <x:f>O168</x:f>
        <x:v>구 이동민</x:v>
      </x:c>
      <x:c r="B168" s="25" t="str">
        <x:f>L168&amp;"-"&amp;TEXT(P168,"0000")</x:f>
        <x:v>20170404-0738</x:v>
      </x:c>
      <x:c r="C168" s="25" t="s">
        <x:v>1564</x:v>
      </x:c>
      <x:c r="D168" s="25" t="s">
        <x:v>1581</x:v>
      </x:c>
      <x:c r="E168" s="25" t="s">
        <x:v>3145</x:v>
      </x:c>
      <x:c r="F168" s="25" t="s">
        <x:v>2136</x:v>
      </x:c>
      <x:c r="G168" s="25" t="s">
        <x:v>1289</x:v>
      </x:c>
      <x:c r="H168" s="410" t="str">
        <x:f>IFERROR(VLOOKUP(O168,'정보화기기 명부'!A$2:B$187,2,FALSE),"")</x:f>
        <x:v/>
      </x:c>
      <x:c r="I168" s="124" t="str">
        <x:f>IFERROR(VLOOKUP(O168,'교직원용 IP'!$C$2:$H$230,6,FALSE),"")</x:f>
        <x:v>10.51.91.12</x:v>
      </x:c>
      <x:c r="J168" s="25" t="s">
        <x:v>1734</x:v>
      </x:c>
      <x:c r="K168" s="260" t="s">
        <x:v>859</x:v>
      </x:c>
      <x:c r="L168" s="129">
        <x:v>20170404</x:v>
      </x:c>
      <x:c r="M168" s="123">
        <x:v>1080000</x:v>
      </x:c>
      <x:c r="N168" s="25" t="s">
        <x:v>2034</x:v>
      </x:c>
      <x:c r="O168" s="25" t="s">
        <x:v>1739</x:v>
      </x:c>
      <x:c r="P168" s="157">
        <x:v>738</x:v>
      </x:c>
      <x:c r="Q168" s="25" t="s">
        <x:v>693</x:v>
      </x:c>
      <x:c r="R168" s="25" t="s">
        <x:v>2080</x:v>
      </x:c>
      <x:c r="S168" s="25" t="s">
        <x:v>1525</x:v>
      </x:c>
      <x:c r="T168" s="25" t="s">
        <x:v>2056</x:v>
      </x:c>
      <x:c r="U168" s="25"/>
      <x:c r="V168" s="25" t="s">
        <x:v>2030</x:v>
      </x:c>
      <x:c r="W168" s="25"/>
      <x:c r="X168" s="25"/>
    </x:row>
    <x:row r="169" spans="1:24" ht="14.40000000000000035527" customHeight="1">
      <x:c r="A169" s="25" t="str">
        <x:f>O169</x:f>
        <x:v>구 정진희</x:v>
      </x:c>
      <x:c r="B169" s="90" t="str">
        <x:f>L169&amp;"-"&amp;TEXT(P169,"0000")</x:f>
        <x:v>20170404-0739</x:v>
      </x:c>
      <x:c r="C169" s="25" t="s">
        <x:v>1564</x:v>
      </x:c>
      <x:c r="D169" s="204" t="s">
        <x:v>1523</x:v>
      </x:c>
      <x:c r="E169" s="25" t="s">
        <x:v>1251</x:v>
      </x:c>
      <x:c r="F169" s="25" t="s">
        <x:v>2136</x:v>
      </x:c>
      <x:c r="G169" s="25" t="s">
        <x:v>1289</x:v>
      </x:c>
      <x:c r="H169" s="124" t="str">
        <x:f>IFERROR(VLOOKUP(O169,'정보화기기 명부'!A$2:B$187,2,FALSE),"")</x:f>
        <x:v/>
      </x:c>
      <x:c r="I169" s="124" t="str">
        <x:f>IFERROR(VLOOKUP(O169,'교직원용 IP'!$C$2:$H$230,6,FALSE),"")</x:f>
        <x:v/>
      </x:c>
      <x:c r="J169" s="25"/>
      <x:c r="K169" s="25"/>
      <x:c r="L169" s="129">
        <x:v>20170404</x:v>
      </x:c>
      <x:c r="M169" s="123">
        <x:v>1080000</x:v>
      </x:c>
      <x:c r="N169" s="25" t="s">
        <x:v>2034</x:v>
      </x:c>
      <x:c r="O169" s="25" t="s">
        <x:v>1618</x:v>
      </x:c>
      <x:c r="P169" s="157">
        <x:v>739</x:v>
      </x:c>
      <x:c r="Q169" s="25" t="s">
        <x:v>693</x:v>
      </x:c>
      <x:c r="R169" s="25" t="s">
        <x:v>2080</x:v>
      </x:c>
      <x:c r="S169" s="25" t="s">
        <x:v>1525</x:v>
      </x:c>
      <x:c r="T169" s="25" t="s">
        <x:v>2056</x:v>
      </x:c>
      <x:c r="U169" s="25"/>
      <x:c r="V169" s="25" t="s">
        <x:v>2030</x:v>
      </x:c>
      <x:c r="W169" s="25"/>
      <x:c r="X169" s="25"/>
    </x:row>
    <x:row r="170" spans="1:24" ht="16.25" customHeight="1">
      <x:c r="A170" s="25" t="s">
        <x:v>1623</x:v>
      </x:c>
      <x:c r="B170" s="25" t="str">
        <x:f>L170&amp;"-"&amp;TEXT(P170,"0000")</x:f>
        <x:v>20170404-0740</x:v>
      </x:c>
      <x:c r="C170" s="25" t="s">
        <x:v>1564</x:v>
      </x:c>
      <x:c r="D170" s="25" t="s">
        <x:v>1581</x:v>
      </x:c>
      <x:c r="E170" s="25" t="s">
        <x:v>1251</x:v>
      </x:c>
      <x:c r="F170" s="25" t="s">
        <x:v>2136</x:v>
      </x:c>
      <x:c r="G170" s="25" t="s">
        <x:v>1289</x:v>
      </x:c>
      <x:c r="H170" s="124" t="str">
        <x:f>IFERROR(VLOOKUP(O170,'정보화기기 명부'!A$2:B$187,2,FALSE),"")</x:f>
        <x:v/>
      </x:c>
      <x:c r="I170" s="124" t="str">
        <x:f>IFERROR(VLOOKUP(O170,'교직원용 IP'!$C$2:$H$230,6,FALSE),"")</x:f>
        <x:v/>
      </x:c>
      <x:c r="J170" s="89" t="s">
        <x:v>756</x:v>
      </x:c>
      <x:c r="K170" s="25"/>
      <x:c r="L170" s="129">
        <x:v>20170404</x:v>
      </x:c>
      <x:c r="M170" s="123">
        <x:v>1080000</x:v>
      </x:c>
      <x:c r="N170" s="25" t="s">
        <x:v>2034</x:v>
      </x:c>
      <x:c r="O170" s="25" t="s">
        <x:v>1650</x:v>
      </x:c>
      <x:c r="P170" s="157">
        <x:v>740</x:v>
      </x:c>
      <x:c r="Q170" s="25" t="s">
        <x:v>693</x:v>
      </x:c>
      <x:c r="R170" s="25" t="s">
        <x:v>2080</x:v>
      </x:c>
      <x:c r="S170" s="25" t="s">
        <x:v>1525</x:v>
      </x:c>
      <x:c r="T170" s="25" t="s">
        <x:v>2056</x:v>
      </x:c>
      <x:c r="U170" s="25"/>
      <x:c r="V170" s="25" t="s">
        <x:v>2030</x:v>
      </x:c>
      <x:c r="W170" s="25"/>
      <x:c r="X170" s="25"/>
    </x:row>
    <x:row r="171" spans="1:24" ht="12.65000000000000035527" customHeight="1">
      <x:c r="A171" s="25" t="str">
        <x:f>O171</x:f>
        <x:v>구 소해준(공익)</x:v>
      </x:c>
      <x:c r="B171" s="25" t="str">
        <x:f>L171&amp;"-"&amp;TEXT(P171,"0000")</x:f>
        <x:v>20170404-0741</x:v>
      </x:c>
      <x:c r="C171" s="25" t="s">
        <x:v>1564</x:v>
      </x:c>
      <x:c r="D171" s="25" t="s">
        <x:v>1581</x:v>
      </x:c>
      <x:c r="E171" s="25" t="s">
        <x:v>1251</x:v>
      </x:c>
      <x:c r="F171" s="25" t="s">
        <x:v>2136</x:v>
      </x:c>
      <x:c r="G171" s="25" t="s">
        <x:v>1289</x:v>
      </x:c>
      <x:c r="H171" s="124" t="str">
        <x:f>IFERROR(VLOOKUP(O171,'정보화기기 명부'!A$2:B$187,2,FALSE),"")</x:f>
        <x:v/>
      </x:c>
      <x:c r="I171" s="124" t="str">
        <x:f>IFERROR(VLOOKUP(O171,'교직원용 IP'!$C$2:$H$230,6,FALSE),"")</x:f>
        <x:v/>
      </x:c>
      <x:c r="J171" s="89" t="s">
        <x:v>756</x:v>
      </x:c>
      <x:c r="K171" s="25"/>
      <x:c r="L171" s="129">
        <x:v>20170404</x:v>
      </x:c>
      <x:c r="M171" s="123">
        <x:v>1080000</x:v>
      </x:c>
      <x:c r="N171" s="25" t="s">
        <x:v>2034</x:v>
      </x:c>
      <x:c r="O171" s="25" t="s">
        <x:v>721</x:v>
      </x:c>
      <x:c r="P171" s="157">
        <x:v>741</x:v>
      </x:c>
      <x:c r="Q171" s="25" t="s">
        <x:v>693</x:v>
      </x:c>
      <x:c r="R171" s="25" t="s">
        <x:v>2080</x:v>
      </x:c>
      <x:c r="S171" s="25" t="s">
        <x:v>1525</x:v>
      </x:c>
      <x:c r="T171" s="25" t="s">
        <x:v>2056</x:v>
      </x:c>
      <x:c r="U171" s="25"/>
      <x:c r="V171" s="25" t="s">
        <x:v>2030</x:v>
      </x:c>
      <x:c r="W171" s="25"/>
      <x:c r="X171" s="25"/>
    </x:row>
    <x:row r="172" spans="1:24" ht="11.40000000000000035527" customHeight="1">
      <x:c r="A172" s="25" t="str">
        <x:f>O172</x:f>
        <x:v>순회교사</x:v>
      </x:c>
      <x:c r="B172" s="25" t="str">
        <x:f>L172&amp;"-"&amp;TEXT(P172,"0000")</x:f>
        <x:v>20170404-0742</x:v>
      </x:c>
      <x:c r="C172" s="25" t="s">
        <x:v>1564</x:v>
      </x:c>
      <x:c r="D172" s="25" t="s">
        <x:v>1581</x:v>
      </x:c>
      <x:c r="E172" s="25" t="s">
        <x:v>1251</x:v>
      </x:c>
      <x:c r="F172" s="25" t="s">
        <x:v>2136</x:v>
      </x:c>
      <x:c r="G172" s="25" t="s">
        <x:v>1289</x:v>
      </x:c>
      <x:c r="H172" s="124" t="str">
        <x:f>IFERROR(VLOOKUP(O172,'정보화기기 명부'!A$2:B$187,2,FALSE),"")</x:f>
        <x:v>교육과정부</x:v>
      </x:c>
      <x:c r="I172" s="124" t="str">
        <x:f>IFERROR(VLOOKUP(O172,'교직원용 IP'!$C$2:$H$230,6,FALSE),"")</x:f>
        <x:v>10.51.91.19</x:v>
      </x:c>
      <x:c r="J172" s="25"/>
      <x:c r="K172" s="25"/>
      <x:c r="L172" s="129">
        <x:v>20170404</x:v>
      </x:c>
      <x:c r="M172" s="123">
        <x:v>1080000</x:v>
      </x:c>
      <x:c r="N172" s="25" t="s">
        <x:v>2034</x:v>
      </x:c>
      <x:c r="O172" s="25" t="s">
        <x:v>2025</x:v>
      </x:c>
      <x:c r="P172" s="157">
        <x:v>742</x:v>
      </x:c>
      <x:c r="Q172" s="25" t="s">
        <x:v>693</x:v>
      </x:c>
      <x:c r="R172" s="25" t="s">
        <x:v>2080</x:v>
      </x:c>
      <x:c r="S172" s="25" t="s">
        <x:v>1525</x:v>
      </x:c>
      <x:c r="T172" s="25" t="s">
        <x:v>2056</x:v>
      </x:c>
      <x:c r="U172" s="25"/>
      <x:c r="V172" s="25" t="s">
        <x:v>2030</x:v>
      </x:c>
      <x:c r="W172" s="25"/>
      <x:c r="X172" s="25"/>
    </x:row>
    <x:row r="173" spans="1:24" ht="15.65000000000000035527" customHeight="1">
      <x:c r="A173" s="25" t="str">
        <x:f>O173</x:f>
        <x:v>탁지완</x:v>
      </x:c>
      <x:c r="B173" s="25" t="str">
        <x:f>L173&amp;"-"&amp;TEXT(P173,"0000")</x:f>
        <x:v>20170404-0743</x:v>
      </x:c>
      <x:c r="C173" s="25" t="s">
        <x:v>1564</x:v>
      </x:c>
      <x:c r="D173" s="25" t="s">
        <x:v>1581</x:v>
      </x:c>
      <x:c r="E173" s="25" t="s">
        <x:v>1251</x:v>
      </x:c>
      <x:c r="F173" s="25" t="s">
        <x:v>2136</x:v>
      </x:c>
      <x:c r="G173" s="25" t="s">
        <x:v>1289</x:v>
      </x:c>
      <x:c r="H173" s="124" t="str">
        <x:f>IFERROR(VLOOKUP(O173,'정보화기기 명부'!A$2:B$187,2,FALSE),"")</x:f>
        <x:v>2층 교무실</x:v>
      </x:c>
      <x:c r="I173" s="124" t="str">
        <x:f>IFERROR(VLOOKUP(O173,'교직원용 IP'!$C$2:$H$230,6,FALSE),"")</x:f>
        <x:v>10.51.90.150</x:v>
      </x:c>
      <x:c r="J173" s="25"/>
      <x:c r="K173" s="25"/>
      <x:c r="L173" s="129">
        <x:v>20170404</x:v>
      </x:c>
      <x:c r="M173" s="123">
        <x:v>1080000</x:v>
      </x:c>
      <x:c r="N173" s="25" t="s">
        <x:v>2034</x:v>
      </x:c>
      <x:c r="O173" s="25" t="s">
        <x:v>1235</x:v>
      </x:c>
      <x:c r="P173" s="157">
        <x:v>743</x:v>
      </x:c>
      <x:c r="Q173" s="25" t="s">
        <x:v>693</x:v>
      </x:c>
      <x:c r="R173" s="25" t="s">
        <x:v>2080</x:v>
      </x:c>
      <x:c r="S173" s="25" t="s">
        <x:v>1525</x:v>
      </x:c>
      <x:c r="T173" s="25" t="s">
        <x:v>2056</x:v>
      </x:c>
      <x:c r="U173" s="25"/>
      <x:c r="V173" s="25" t="s">
        <x:v>2030</x:v>
      </x:c>
      <x:c r="W173" s="25"/>
      <x:c r="X173" s="25"/>
    </x:row>
    <x:row r="174" spans="1:24" ht="10.75" customHeight="1">
      <x:c r="A174" s="25" t="str">
        <x:f>O174</x:f>
        <x:v>구 신선아</x:v>
      </x:c>
      <x:c r="B174" s="25" t="str">
        <x:f>L174&amp;"-"&amp;TEXT(P174,"0000")</x:f>
        <x:v>20170404-0744</x:v>
      </x:c>
      <x:c r="C174" s="25" t="s">
        <x:v>1564</x:v>
      </x:c>
      <x:c r="D174" s="25" t="s">
        <x:v>1514</x:v>
      </x:c>
      <x:c r="E174" s="25" t="s">
        <x:v>1251</x:v>
      </x:c>
      <x:c r="F174" s="25" t="s">
        <x:v>2136</x:v>
      </x:c>
      <x:c r="G174" s="25" t="s">
        <x:v>1289</x:v>
      </x:c>
      <x:c r="H174" s="124" t="str">
        <x:f>IFERROR(VLOOKUP(O174,'정보화기기 명부'!A$2:B$187,2,FALSE),"")</x:f>
        <x:v>교육과정부</x:v>
      </x:c>
      <x:c r="I174" s="124" t="str">
        <x:f>IFERROR(VLOOKUP(O174,'교직원용 IP'!$C$2:$H$230,6,FALSE),"")</x:f>
        <x:v>10.51.90.151</x:v>
      </x:c>
      <x:c r="J174" s="89" t="s">
        <x:v>756</x:v>
      </x:c>
      <x:c r="K174" s="25"/>
      <x:c r="L174" s="129">
        <x:v>20170404</x:v>
      </x:c>
      <x:c r="M174" s="123">
        <x:v>1080000</x:v>
      </x:c>
      <x:c r="N174" s="25" t="s">
        <x:v>2034</x:v>
      </x:c>
      <x:c r="O174" s="25" t="s">
        <x:v>2078</x:v>
      </x:c>
      <x:c r="P174" s="157">
        <x:v>744</x:v>
      </x:c>
      <x:c r="Q174" s="25" t="s">
        <x:v>693</x:v>
      </x:c>
      <x:c r="R174" s="25" t="s">
        <x:v>2080</x:v>
      </x:c>
      <x:c r="S174" s="25" t="s">
        <x:v>1525</x:v>
      </x:c>
      <x:c r="T174" s="25" t="s">
        <x:v>2056</x:v>
      </x:c>
      <x:c r="U174" s="25"/>
      <x:c r="V174" s="25" t="s">
        <x:v>2030</x:v>
      </x:c>
      <x:c r="W174" s="25"/>
      <x:c r="X174" s="25"/>
    </x:row>
    <x:row r="175" spans="1:24" ht="21.64999999999999857891" customHeight="1">
      <x:c r="A175" s="117" t="str">
        <x:f>O175</x:f>
        <x:v>구 송성수</x:v>
      </x:c>
      <x:c r="B175" s="25" t="str">
        <x:f>L175&amp;"-"&amp;TEXT(P175,"0000")</x:f>
        <x:v>20170328-0775</x:v>
      </x:c>
      <x:c r="C175" s="25" t="s">
        <x:v>1564</x:v>
      </x:c>
      <x:c r="D175" s="25" t="s">
        <x:v>1581</x:v>
      </x:c>
      <x:c r="E175" s="25" t="s">
        <x:v>3145</x:v>
      </x:c>
      <x:c r="F175" s="25" t="s">
        <x:v>3260</x:v>
      </x:c>
      <x:c r="G175" s="25" t="s">
        <x:v>1537</x:v>
      </x:c>
      <x:c r="H175" s="410" t="str">
        <x:f>IFERROR(VLOOKUP(O175,'정보화기기 명부'!A$2:B$187,2,FALSE),"")</x:f>
        <x:v/>
      </x:c>
      <x:c r="I175" s="124" t="str">
        <x:f>IFERROR(VLOOKUP(O175,'교직원용 IP'!$C$2:$H$230,6,FALSE),"")</x:f>
        <x:v>10.51.90.148</x:v>
      </x:c>
      <x:c r="J175" s="25"/>
      <x:c r="K175" s="25"/>
      <x:c r="L175" s="129">
        <x:v>20170328</x:v>
      </x:c>
      <x:c r="M175" s="123">
        <x:v>1457830</x:v>
      </x:c>
      <x:c r="N175" s="25" t="s">
        <x:v>2034</x:v>
      </x:c>
      <x:c r="O175" s="25" t="s">
        <x:v>1731</x:v>
      </x:c>
      <x:c r="P175" s="157">
        <x:v>775</x:v>
      </x:c>
      <x:c r="Q175" s="25" t="s">
        <x:v>693</x:v>
      </x:c>
      <x:c r="R175" s="25" t="s">
        <x:v>2080</x:v>
      </x:c>
      <x:c r="S175" s="25" t="s">
        <x:v>1572</x:v>
      </x:c>
      <x:c r="T175" s="25" t="s">
        <x:v>1993</x:v>
      </x:c>
      <x:c r="U175" s="25"/>
      <x:c r="V175" s="25" t="s">
        <x:v>739</x:v>
      </x:c>
      <x:c r="W175" s="25"/>
      <x:c r="X175" s="25" t="s">
        <x:v>742</x:v>
      </x:c>
    </x:row>
    <x:row r="176" spans="1:24" ht="12.65000000000000035527" customHeight="1">
      <x:c r="A176" s="25" t="str">
        <x:f>O176</x:f>
        <x:v>3학년 외부강사용</x:v>
      </x:c>
      <x:c r="B176" s="25" t="str">
        <x:f>L176&amp;"-"&amp;TEXT(P176,"0000")</x:f>
        <x:v>20170101-0734</x:v>
      </x:c>
      <x:c r="C176" s="25" t="s">
        <x:v>1564</x:v>
      </x:c>
      <x:c r="D176" s="25" t="s">
        <x:v>1581</x:v>
      </x:c>
      <x:c r="E176" s="25" t="s">
        <x:v>1251</x:v>
      </x:c>
      <x:c r="F176" s="25" t="s">
        <x:v>2136</x:v>
      </x:c>
      <x:c r="G176" s="25" t="s">
        <x:v>1289</x:v>
      </x:c>
      <x:c r="H176" s="157" t="str">
        <x:f>IFERROR(VLOOKUP(O176,'정보화기기 명부'!A$2:B$187,2,FALSE),"")</x:f>
        <x:v>3학년부</x:v>
      </x:c>
      <x:c r="I176" s="124" t="str">
        <x:f>IFERROR(VLOOKUP(O176,'교직원용 IP'!$C$2:$H$230,6,FALSE),"")</x:f>
        <x:v>10.51.90.160</x:v>
      </x:c>
      <x:c r="J176" s="25"/>
      <x:c r="K176" s="25"/>
      <x:c r="L176" s="129">
        <x:v>20170101</x:v>
      </x:c>
      <x:c r="M176" s="123">
        <x:v>1080000</x:v>
      </x:c>
      <x:c r="N176" s="25" t="s">
        <x:v>2034</x:v>
      </x:c>
      <x:c r="O176" s="25" t="s">
        <x:v>751</x:v>
      </x:c>
      <x:c r="P176" s="157">
        <x:v>734</x:v>
      </x:c>
      <x:c r="Q176" s="25" t="s">
        <x:v>693</x:v>
      </x:c>
      <x:c r="R176" s="25" t="s">
        <x:v>2080</x:v>
      </x:c>
      <x:c r="S176" s="25" t="s">
        <x:v>1525</x:v>
      </x:c>
      <x:c r="T176" s="25" t="s">
        <x:v>2056</x:v>
      </x:c>
      <x:c r="U176" s="25"/>
      <x:c r="V176" s="25" t="s">
        <x:v>2030</x:v>
      </x:c>
      <x:c r="W176" s="25"/>
      <x:c r="X176" s="25"/>
    </x:row>
    <x:row r="177" spans="1:24" ht="12.65000000000000035527" customHeight="1">
      <x:c r="A177" s="25" t="str">
        <x:f>O177</x:f>
        <x:v>플로터용</x:v>
      </x:c>
      <x:c r="B177" s="25" t="str">
        <x:f>L177&amp;"-"&amp;TEXT(P177,"0000")</x:f>
        <x:v>20161223-0733</x:v>
      </x:c>
      <x:c r="C177" s="25" t="s">
        <x:v>1978</x:v>
      </x:c>
      <x:c r="D177" s="25" t="s">
        <x:v>1581</x:v>
      </x:c>
      <x:c r="E177" s="25" t="s">
        <x:v>1543</x:v>
      </x:c>
      <x:c r="F177" s="25" t="s">
        <x:v>785</x:v>
      </x:c>
      <x:c r="G177" s="25" t="s">
        <x:v>1656</x:v>
      </x:c>
      <x:c r="H177" s="207" t="str">
        <x:f>IFERROR(VLOOKUP(O177,'정보화기기 명부'!A$2:B$187,2,FALSE),"")</x:f>
        <x:v>정보교육부</x:v>
      </x:c>
      <x:c r="I177" s="207" t="str">
        <x:f>IFERROR(VLOOKUP(O177,'교직원용 IP'!$C$2:$H$230,6,FALSE),"")</x:f>
        <x:v>10.51.90.111</x:v>
      </x:c>
      <x:c r="J177" s="25"/>
      <x:c r="K177" s="116"/>
      <x:c r="L177" s="127">
        <x:v>20161223</x:v>
      </x:c>
      <x:c r="M177" s="123">
        <x:v>880000</x:v>
      </x:c>
      <x:c r="N177" s="25" t="s">
        <x:v>2034</x:v>
      </x:c>
      <x:c r="O177" s="25" t="s">
        <x:v>1645</x:v>
      </x:c>
      <x:c r="P177" s="157">
        <x:v>733</x:v>
      </x:c>
      <x:c r="Q177" s="25" t="s">
        <x:v>1122</x:v>
      </x:c>
      <x:c r="R177" s="25" t="s">
        <x:v>2080</x:v>
      </x:c>
      <x:c r="S177" s="25" t="s">
        <x:v>1525</x:v>
      </x:c>
      <x:c r="T177" s="25" t="s">
        <x:v>1980</x:v>
      </x:c>
      <x:c r="U177" s="25"/>
      <x:c r="V177" s="25" t="s">
        <x:v>739</x:v>
      </x:c>
      <x:c r="W177" s="25"/>
      <x:c r="X177" s="25"/>
    </x:row>
    <x:row r="178" spans="1:24" ht="9" customHeight="1">
      <x:c r="A178" s="25" t="str">
        <x:f>O178</x:f>
        <x:v>방송 시보용</x:v>
      </x:c>
      <x:c r="B178" s="25" t="str">
        <x:f>L178&amp;"-"&amp;TEXT(P178,"0000")</x:f>
        <x:v>20161107-0763</x:v>
      </x:c>
      <x:c r="C178" s="25" t="s">
        <x:v>1978</x:v>
      </x:c>
      <x:c r="D178" s="25" t="s">
        <x:v>1581</x:v>
      </x:c>
      <x:c r="E178" s="25" t="s">
        <x:v>1543</x:v>
      </x:c>
      <x:c r="F178" s="25" t="s">
        <x:v>2153</x:v>
      </x:c>
      <x:c r="G178" s="25" t="s">
        <x:v>1646</x:v>
      </x:c>
      <x:c r="H178" s="124" t="str">
        <x:f>IFERROR(VLOOKUP(O178,'정보화기기 명부'!A$2:B$187,2,FALSE),"")</x:f>
        <x:v>방송실</x:v>
      </x:c>
      <x:c r="I178" s="187" t="str">
        <x:f>IFERROR(VLOOKUP(O178,'학생용 IP'!$C$11:$H$326,5,FALSE),"")</x:f>
        <x:v>10.54.36.103</x:v>
      </x:c>
      <x:c r="J178" s="25"/>
      <x:c r="K178" s="116"/>
      <x:c r="L178" s="127">
        <x:v>20161107</x:v>
      </x:c>
      <x:c r="M178" s="123">
        <x:v>1155890</x:v>
      </x:c>
      <x:c r="N178" s="25" t="s">
        <x:v>2045</x:v>
      </x:c>
      <x:c r="O178" s="25" t="s">
        <x:v>1641</x:v>
      </x:c>
      <x:c r="P178" s="157">
        <x:v>763</x:v>
      </x:c>
      <x:c r="Q178" s="25" t="s">
        <x:v>1122</x:v>
      </x:c>
      <x:c r="R178" s="25" t="s">
        <x:v>2110</x:v>
      </x:c>
      <x:c r="S178" s="25" t="s">
        <x:v>1525</x:v>
      </x:c>
      <x:c r="T178" s="25" t="s">
        <x:v>2037</x:v>
      </x:c>
      <x:c r="U178" s="25"/>
      <x:c r="V178" s="25" t="s">
        <x:v>739</x:v>
      </x:c>
      <x:c r="W178" s="91" t="s">
        <x:v>1669</x:v>
      </x:c>
      <x:c r="X178" s="91" t="s">
        <x:v>742</x:v>
      </x:c>
    </x:row>
    <x:row r="179" spans="1:26" ht="18.64999999999999857891" customHeight="1">
      <x:c r="A179" s="25" t="str">
        <x:f>O179</x:f>
        <x:v>5컴 교사용 2</x:v>
      </x:c>
      <x:c r="B179" s="25" t="str">
        <x:f>L179&amp;"-"&amp;TEXT(P179,"0000")</x:f>
        <x:v>20161017-0732</x:v>
      </x:c>
      <x:c r="C179" s="13" t="s">
        <x:v>1978</x:v>
      </x:c>
      <x:c r="D179" s="13" t="s">
        <x:v>1581</x:v>
      </x:c>
      <x:c r="E179" s="13" t="s">
        <x:v>1251</x:v>
      </x:c>
      <x:c r="F179" s="13" t="s">
        <x:v>2181</x:v>
      </x:c>
      <x:c r="G179" s="13" t="s">
        <x:v>2002</x:v>
      </x:c>
      <x:c r="H179" s="202" t="s">
        <x:v>1999</x:v>
      </x:c>
      <x:c r="I179" s="187" t="str">
        <x:f>IFERROR(VLOOKUP(O179,'학생용 IP'!$C$11:$H$326,5,FALSE),"")</x:f>
        <x:v>10.54.38.101</x:v>
      </x:c>
      <x:c r="J179" s="13"/>
      <x:c r="K179" s="13">
        <x:v>2020.0699999999999</x:v>
      </x:c>
      <x:c r="L179" s="130">
        <x:v>20161017</x:v>
      </x:c>
      <x:c r="M179" s="22">
        <x:v>820000</x:v>
      </x:c>
      <x:c r="N179" s="13" t="s">
        <x:v>1965</x:v>
      </x:c>
      <x:c r="O179" s="13" t="s">
        <x:v>773</x:v>
      </x:c>
      <x:c r="P179" s="202">
        <x:v>732</x:v>
      </x:c>
      <x:c r="Q179" s="13" t="s">
        <x:v>693</x:v>
      </x:c>
      <x:c r="R179" s="13" t="s">
        <x:v>1643</x:v>
      </x:c>
      <x:c r="S179" s="13" t="s">
        <x:v>1525</x:v>
      </x:c>
      <x:c r="T179" s="13" t="s">
        <x:v>1980</x:v>
      </x:c>
      <x:c r="U179" s="13"/>
      <x:c r="V179" s="13" t="s">
        <x:v>739</x:v>
      </x:c>
      <x:c r="W179" s="14"/>
      <x:c r="X179" s="14"/>
      <x:c r="Y179" s="14"/>
      <x:c r="Z179" s="14"/>
    </x:row>
    <x:row r="180" spans="1:26" ht="18.64999999999999857891" customHeight="1">
      <x:c r="A180" s="25" t="str">
        <x:f>O180</x:f>
        <x:v>5컴 교사용 1</x:v>
      </x:c>
      <x:c r="B180" s="25" t="str">
        <x:f>L180&amp;"-"&amp;TEXT(P180,"0000")</x:f>
        <x:v>20161017-0731</x:v>
      </x:c>
      <x:c r="C180" s="13" t="s">
        <x:v>1978</x:v>
      </x:c>
      <x:c r="D180" s="13" t="s">
        <x:v>1581</x:v>
      </x:c>
      <x:c r="E180" s="13" t="s">
        <x:v>1251</x:v>
      </x:c>
      <x:c r="F180" s="13" t="s">
        <x:v>2181</x:v>
      </x:c>
      <x:c r="G180" s="13" t="s">
        <x:v>2002</x:v>
      </x:c>
      <x:c r="H180" s="202" t="s">
        <x:v>1999</x:v>
      </x:c>
      <x:c r="I180" s="187" t="str">
        <x:f>IFERROR(VLOOKUP(O180,'학생용 IP'!$C$11:$H$326,5,FALSE),"")</x:f>
        <x:v>10.54.38.100</x:v>
      </x:c>
      <x:c r="J180" s="13"/>
      <x:c r="K180" s="13">
        <x:v>2020.0699999999999</x:v>
      </x:c>
      <x:c r="L180" s="130">
        <x:v>20161017</x:v>
      </x:c>
      <x:c r="M180" s="22">
        <x:v>820000</x:v>
      </x:c>
      <x:c r="N180" s="13" t="s">
        <x:v>1965</x:v>
      </x:c>
      <x:c r="O180" s="13" t="s">
        <x:v>782</x:v>
      </x:c>
      <x:c r="P180" s="202">
        <x:v>731</x:v>
      </x:c>
      <x:c r="Q180" s="13" t="s">
        <x:v>693</x:v>
      </x:c>
      <x:c r="R180" s="13" t="s">
        <x:v>1643</x:v>
      </x:c>
      <x:c r="S180" s="13" t="s">
        <x:v>1525</x:v>
      </x:c>
      <x:c r="T180" s="13" t="s">
        <x:v>1980</x:v>
      </x:c>
      <x:c r="U180" s="13"/>
      <x:c r="V180" s="13" t="s">
        <x:v>739</x:v>
      </x:c>
      <x:c r="W180" s="14"/>
      <x:c r="X180" s="14"/>
      <x:c r="Y180" s="14"/>
      <x:c r="Z180" s="14"/>
    </x:row>
    <x:row r="181" spans="1:26" customHeight="1">
      <x:c r="A181" s="25" t="str">
        <x:f>O181</x:f>
        <x:v>5층 실습용 35</x:v>
      </x:c>
      <x:c r="B181" s="25" t="str">
        <x:f>L181&amp;"-"&amp;TEXT(P181,"0000")</x:f>
        <x:v>20161017-0730</x:v>
      </x:c>
      <x:c r="C181" s="13" t="s">
        <x:v>1978</x:v>
      </x:c>
      <x:c r="D181" s="13" t="s">
        <x:v>1581</x:v>
      </x:c>
      <x:c r="E181" s="13" t="s">
        <x:v>1568</x:v>
      </x:c>
      <x:c r="F181" s="13" t="s">
        <x:v>2181</x:v>
      </x:c>
      <x:c r="G181" s="13" t="s">
        <x:v>2002</x:v>
      </x:c>
      <x:c r="H181" s="202" t="s">
        <x:v>1999</x:v>
      </x:c>
      <x:c r="I181" s="411" t="str">
        <x:f>IFERROR(VLOOKUP(O181,'학생용 IP'!$C$11:$H$326,5,FALSE),"")</x:f>
        <x:v>10.54.38.136</x:v>
      </x:c>
      <x:c r="J181" s="13"/>
      <x:c r="K181" s="13">
        <x:v>2020.0699999999999</x:v>
      </x:c>
      <x:c r="L181" s="130">
        <x:v>20161017</x:v>
      </x:c>
      <x:c r="M181" s="22">
        <x:v>820000</x:v>
      </x:c>
      <x:c r="N181" s="13" t="s">
        <x:v>1965</x:v>
      </x:c>
      <x:c r="O181" s="13" t="s">
        <x:v>771</x:v>
      </x:c>
      <x:c r="P181" s="202">
        <x:v>730</x:v>
      </x:c>
      <x:c r="Q181" s="13" t="s">
        <x:v>693</x:v>
      </x:c>
      <x:c r="R181" s="13" t="s">
        <x:v>1643</x:v>
      </x:c>
      <x:c r="S181" s="13" t="s">
        <x:v>1525</x:v>
      </x:c>
      <x:c r="T181" s="13" t="s">
        <x:v>1980</x:v>
      </x:c>
      <x:c r="U181" s="13"/>
      <x:c r="V181" s="13" t="s">
        <x:v>739</x:v>
      </x:c>
      <x:c r="W181" s="14"/>
      <x:c r="X181" s="14"/>
      <x:c r="Y181" s="14"/>
      <x:c r="Z181" s="14"/>
    </x:row>
    <x:row r="182" spans="1:26" customHeight="1">
      <x:c r="A182" s="25" t="str">
        <x:f>O182</x:f>
        <x:v>5층 실습용 34</x:v>
      </x:c>
      <x:c r="B182" s="25" t="str">
        <x:f>L182&amp;"-"&amp;TEXT(P182,"0000")</x:f>
        <x:v>20161017-0729</x:v>
      </x:c>
      <x:c r="C182" s="13" t="s">
        <x:v>1978</x:v>
      </x:c>
      <x:c r="D182" s="13" t="s">
        <x:v>1581</x:v>
      </x:c>
      <x:c r="E182" s="13" t="s">
        <x:v>1568</x:v>
      </x:c>
      <x:c r="F182" s="13" t="s">
        <x:v>2181</x:v>
      </x:c>
      <x:c r="G182" s="13" t="s">
        <x:v>2002</x:v>
      </x:c>
      <x:c r="H182" s="202" t="s">
        <x:v>1999</x:v>
      </x:c>
      <x:c r="I182" s="411" t="str">
        <x:f>IFERROR(VLOOKUP(O182,'학생용 IP'!$C$11:$H$326,5,FALSE),"")</x:f>
        <x:v>10.54.38.135</x:v>
      </x:c>
      <x:c r="J182" s="13"/>
      <x:c r="K182" s="13">
        <x:v>2020.0699999999999</x:v>
      </x:c>
      <x:c r="L182" s="130">
        <x:v>20161017</x:v>
      </x:c>
      <x:c r="M182" s="22">
        <x:v>820000</x:v>
      </x:c>
      <x:c r="N182" s="13" t="s">
        <x:v>1965</x:v>
      </x:c>
      <x:c r="O182" s="13" t="s">
        <x:v>768</x:v>
      </x:c>
      <x:c r="P182" s="202">
        <x:v>729</x:v>
      </x:c>
      <x:c r="Q182" s="13" t="s">
        <x:v>693</x:v>
      </x:c>
      <x:c r="R182" s="13" t="s">
        <x:v>1643</x:v>
      </x:c>
      <x:c r="S182" s="13" t="s">
        <x:v>1525</x:v>
      </x:c>
      <x:c r="T182" s="13" t="s">
        <x:v>1980</x:v>
      </x:c>
      <x:c r="U182" s="13"/>
      <x:c r="V182" s="13" t="s">
        <x:v>739</x:v>
      </x:c>
      <x:c r="W182" s="14"/>
      <x:c r="X182" s="14"/>
      <x:c r="Y182" s="14"/>
      <x:c r="Z182" s="14"/>
    </x:row>
    <x:row r="183" spans="1:26" customHeight="1">
      <x:c r="A183" s="25" t="str">
        <x:f>O183</x:f>
        <x:v>5층 실습용 33</x:v>
      </x:c>
      <x:c r="B183" s="25" t="str">
        <x:f>L183&amp;"-"&amp;TEXT(P183,"0000")</x:f>
        <x:v>20161017-0728</x:v>
      </x:c>
      <x:c r="C183" s="13" t="s">
        <x:v>1978</x:v>
      </x:c>
      <x:c r="D183" s="13" t="s">
        <x:v>1581</x:v>
      </x:c>
      <x:c r="E183" s="13" t="s">
        <x:v>1568</x:v>
      </x:c>
      <x:c r="F183" s="13" t="s">
        <x:v>2181</x:v>
      </x:c>
      <x:c r="G183" s="13" t="s">
        <x:v>2002</x:v>
      </x:c>
      <x:c r="H183" s="202" t="s">
        <x:v>1999</x:v>
      </x:c>
      <x:c r="I183" s="411" t="str">
        <x:f>IFERROR(VLOOKUP(O183,'학생용 IP'!$C$11:$H$326,5,FALSE),"")</x:f>
        <x:v>10.54.38.134</x:v>
      </x:c>
      <x:c r="J183" s="13"/>
      <x:c r="K183" s="13">
        <x:v>2020.0699999999999</x:v>
      </x:c>
      <x:c r="L183" s="130">
        <x:v>20161017</x:v>
      </x:c>
      <x:c r="M183" s="22">
        <x:v>820000</x:v>
      </x:c>
      <x:c r="N183" s="13" t="s">
        <x:v>1965</x:v>
      </x:c>
      <x:c r="O183" s="13" t="s">
        <x:v>801</x:v>
      </x:c>
      <x:c r="P183" s="202">
        <x:v>728</x:v>
      </x:c>
      <x:c r="Q183" s="13" t="s">
        <x:v>693</x:v>
      </x:c>
      <x:c r="R183" s="13" t="s">
        <x:v>1643</x:v>
      </x:c>
      <x:c r="S183" s="13" t="s">
        <x:v>1525</x:v>
      </x:c>
      <x:c r="T183" s="13" t="s">
        <x:v>1980</x:v>
      </x:c>
      <x:c r="U183" s="13"/>
      <x:c r="V183" s="13" t="s">
        <x:v>739</x:v>
      </x:c>
      <x:c r="W183" s="14"/>
      <x:c r="X183" s="14"/>
      <x:c r="Y183" s="14"/>
      <x:c r="Z183" s="14"/>
    </x:row>
    <x:row r="184" spans="1:26" customHeight="1">
      <x:c r="A184" s="25" t="str">
        <x:f>O184</x:f>
        <x:v>5층 실습용 32</x:v>
      </x:c>
      <x:c r="B184" s="25" t="str">
        <x:f>L184&amp;"-"&amp;TEXT(P184,"0000")</x:f>
        <x:v>20161017-0727</x:v>
      </x:c>
      <x:c r="C184" s="13" t="s">
        <x:v>1978</x:v>
      </x:c>
      <x:c r="D184" s="13" t="s">
        <x:v>1581</x:v>
      </x:c>
      <x:c r="E184" s="13" t="s">
        <x:v>1568</x:v>
      </x:c>
      <x:c r="F184" s="13" t="s">
        <x:v>2181</x:v>
      </x:c>
      <x:c r="G184" s="13" t="s">
        <x:v>2002</x:v>
      </x:c>
      <x:c r="H184" s="202" t="s">
        <x:v>1999</x:v>
      </x:c>
      <x:c r="I184" s="411" t="str">
        <x:f>IFERROR(VLOOKUP(O184,'학생용 IP'!$C$11:$H$326,5,FALSE),"")</x:f>
        <x:v>10.54.38.133</x:v>
      </x:c>
      <x:c r="J184" s="13"/>
      <x:c r="K184" s="13">
        <x:v>2020.0699999999999</x:v>
      </x:c>
      <x:c r="L184" s="130">
        <x:v>20161017</x:v>
      </x:c>
      <x:c r="M184" s="22">
        <x:v>820000</x:v>
      </x:c>
      <x:c r="N184" s="13" t="s">
        <x:v>1965</x:v>
      </x:c>
      <x:c r="O184" s="13" t="s">
        <x:v>755</x:v>
      </x:c>
      <x:c r="P184" s="202">
        <x:v>727</x:v>
      </x:c>
      <x:c r="Q184" s="13" t="s">
        <x:v>693</x:v>
      </x:c>
      <x:c r="R184" s="13" t="s">
        <x:v>1643</x:v>
      </x:c>
      <x:c r="S184" s="13" t="s">
        <x:v>1525</x:v>
      </x:c>
      <x:c r="T184" s="13" t="s">
        <x:v>1980</x:v>
      </x:c>
      <x:c r="U184" s="13"/>
      <x:c r="V184" s="13" t="s">
        <x:v>739</x:v>
      </x:c>
      <x:c r="W184" s="14"/>
      <x:c r="X184" s="14"/>
      <x:c r="Y184" s="14"/>
      <x:c r="Z184" s="14"/>
    </x:row>
    <x:row r="185" spans="1:26" customHeight="1">
      <x:c r="A185" s="25" t="str">
        <x:f>O185</x:f>
        <x:v>5층 실습용 31</x:v>
      </x:c>
      <x:c r="B185" s="25" t="str">
        <x:f>L185&amp;"-"&amp;TEXT(P185,"0000")</x:f>
        <x:v>20161017-0726</x:v>
      </x:c>
      <x:c r="C185" s="13" t="s">
        <x:v>1978</x:v>
      </x:c>
      <x:c r="D185" s="13" t="s">
        <x:v>1581</x:v>
      </x:c>
      <x:c r="E185" s="13" t="s">
        <x:v>1568</x:v>
      </x:c>
      <x:c r="F185" s="13" t="s">
        <x:v>2181</x:v>
      </x:c>
      <x:c r="G185" s="13" t="s">
        <x:v>2002</x:v>
      </x:c>
      <x:c r="H185" s="202" t="s">
        <x:v>1999</x:v>
      </x:c>
      <x:c r="I185" s="411" t="str">
        <x:f>IFERROR(VLOOKUP(O185,'학생용 IP'!$C$11:$H$326,5,FALSE),"")</x:f>
        <x:v>10.54.38.132</x:v>
      </x:c>
      <x:c r="J185" s="13"/>
      <x:c r="K185" s="13">
        <x:v>2020.0699999999999</x:v>
      </x:c>
      <x:c r="L185" s="130">
        <x:v>20161017</x:v>
      </x:c>
      <x:c r="M185" s="22">
        <x:v>820000</x:v>
      </x:c>
      <x:c r="N185" s="13" t="s">
        <x:v>1965</x:v>
      </x:c>
      <x:c r="O185" s="13" t="s">
        <x:v>769</x:v>
      </x:c>
      <x:c r="P185" s="202">
        <x:v>726</x:v>
      </x:c>
      <x:c r="Q185" s="13" t="s">
        <x:v>693</x:v>
      </x:c>
      <x:c r="R185" s="13" t="s">
        <x:v>1643</x:v>
      </x:c>
      <x:c r="S185" s="13" t="s">
        <x:v>1525</x:v>
      </x:c>
      <x:c r="T185" s="13" t="s">
        <x:v>1980</x:v>
      </x:c>
      <x:c r="U185" s="13"/>
      <x:c r="V185" s="13" t="s">
        <x:v>739</x:v>
      </x:c>
      <x:c r="W185" s="14"/>
      <x:c r="X185" s="14"/>
      <x:c r="Y185" s="14"/>
      <x:c r="Z185" s="14"/>
    </x:row>
    <x:row r="186" spans="1:26" customHeight="1">
      <x:c r="A186" s="25" t="str">
        <x:f>O186</x:f>
        <x:v>5층 실습용 30</x:v>
      </x:c>
      <x:c r="B186" s="25" t="str">
        <x:f>L186&amp;"-"&amp;TEXT(P186,"0000")</x:f>
        <x:v>20161017-0725</x:v>
      </x:c>
      <x:c r="C186" s="13" t="s">
        <x:v>1978</x:v>
      </x:c>
      <x:c r="D186" s="13" t="s">
        <x:v>1581</x:v>
      </x:c>
      <x:c r="E186" s="13" t="s">
        <x:v>1568</x:v>
      </x:c>
      <x:c r="F186" s="13" t="s">
        <x:v>2181</x:v>
      </x:c>
      <x:c r="G186" s="13" t="s">
        <x:v>2002</x:v>
      </x:c>
      <x:c r="H186" s="202" t="s">
        <x:v>1999</x:v>
      </x:c>
      <x:c r="I186" s="411" t="str">
        <x:f>IFERROR(VLOOKUP(O186,'학생용 IP'!$C$11:$H$326,5,FALSE),"")</x:f>
        <x:v>10.54.38.131</x:v>
      </x:c>
      <x:c r="J186" s="13"/>
      <x:c r="K186" s="13">
        <x:v>2020.0699999999999</x:v>
      </x:c>
      <x:c r="L186" s="130">
        <x:v>20161017</x:v>
      </x:c>
      <x:c r="M186" s="22">
        <x:v>820000</x:v>
      </x:c>
      <x:c r="N186" s="13" t="s">
        <x:v>1965</x:v>
      </x:c>
      <x:c r="O186" s="13" t="s">
        <x:v>781</x:v>
      </x:c>
      <x:c r="P186" s="202">
        <x:v>725</x:v>
      </x:c>
      <x:c r="Q186" s="13" t="s">
        <x:v>693</x:v>
      </x:c>
      <x:c r="R186" s="13" t="s">
        <x:v>1643</x:v>
      </x:c>
      <x:c r="S186" s="13" t="s">
        <x:v>1525</x:v>
      </x:c>
      <x:c r="T186" s="13" t="s">
        <x:v>1980</x:v>
      </x:c>
      <x:c r="U186" s="13"/>
      <x:c r="V186" s="13" t="s">
        <x:v>739</x:v>
      </x:c>
      <x:c r="W186" s="14"/>
      <x:c r="X186" s="14"/>
      <x:c r="Y186" s="14"/>
      <x:c r="Z186" s="14"/>
    </x:row>
    <x:row r="187" spans="1:26" customHeight="1">
      <x:c r="A187" s="25" t="str">
        <x:f>O187</x:f>
        <x:v>5층 실습용 29</x:v>
      </x:c>
      <x:c r="B187" s="25" t="str">
        <x:f>L187&amp;"-"&amp;TEXT(P187,"0000")</x:f>
        <x:v>20161017-0724</x:v>
      </x:c>
      <x:c r="C187" s="13" t="s">
        <x:v>1978</x:v>
      </x:c>
      <x:c r="D187" s="13" t="s">
        <x:v>1581</x:v>
      </x:c>
      <x:c r="E187" s="13" t="s">
        <x:v>1568</x:v>
      </x:c>
      <x:c r="F187" s="13" t="s">
        <x:v>2181</x:v>
      </x:c>
      <x:c r="G187" s="13" t="s">
        <x:v>2002</x:v>
      </x:c>
      <x:c r="H187" s="202" t="s">
        <x:v>1999</x:v>
      </x:c>
      <x:c r="I187" s="411" t="str">
        <x:f>IFERROR(VLOOKUP(O187,'학생용 IP'!$C$11:$H$326,5,FALSE),"")</x:f>
        <x:v>10.54.38.130</x:v>
      </x:c>
      <x:c r="J187" s="13"/>
      <x:c r="K187" s="13">
        <x:v>2020.0699999999999</x:v>
      </x:c>
      <x:c r="L187" s="130">
        <x:v>20161017</x:v>
      </x:c>
      <x:c r="M187" s="22">
        <x:v>820000</x:v>
      </x:c>
      <x:c r="N187" s="13" t="s">
        <x:v>1965</x:v>
      </x:c>
      <x:c r="O187" s="13" t="s">
        <x:v>753</x:v>
      </x:c>
      <x:c r="P187" s="202">
        <x:v>724</x:v>
      </x:c>
      <x:c r="Q187" s="13" t="s">
        <x:v>693</x:v>
      </x:c>
      <x:c r="R187" s="13" t="s">
        <x:v>1643</x:v>
      </x:c>
      <x:c r="S187" s="13" t="s">
        <x:v>1525</x:v>
      </x:c>
      <x:c r="T187" s="13" t="s">
        <x:v>1980</x:v>
      </x:c>
      <x:c r="U187" s="13"/>
      <x:c r="V187" s="13" t="s">
        <x:v>739</x:v>
      </x:c>
      <x:c r="W187" s="14"/>
      <x:c r="X187" s="14"/>
      <x:c r="Y187" s="14"/>
      <x:c r="Z187" s="14"/>
    </x:row>
    <x:row r="188" spans="1:26" customHeight="1">
      <x:c r="A188" s="25" t="str">
        <x:f>O188</x:f>
        <x:v>5층 실습용 28</x:v>
      </x:c>
      <x:c r="B188" s="25" t="str">
        <x:f>L188&amp;"-"&amp;TEXT(P188,"0000")</x:f>
        <x:v>20161017-0723</x:v>
      </x:c>
      <x:c r="C188" s="13" t="s">
        <x:v>1978</x:v>
      </x:c>
      <x:c r="D188" s="13" t="s">
        <x:v>1581</x:v>
      </x:c>
      <x:c r="E188" s="13" t="s">
        <x:v>1568</x:v>
      </x:c>
      <x:c r="F188" s="13" t="s">
        <x:v>2181</x:v>
      </x:c>
      <x:c r="G188" s="13" t="s">
        <x:v>2002</x:v>
      </x:c>
      <x:c r="H188" s="202" t="s">
        <x:v>1999</x:v>
      </x:c>
      <x:c r="I188" s="411" t="str">
        <x:f>IFERROR(VLOOKUP(O188,'학생용 IP'!$C$11:$H$326,5,FALSE),"")</x:f>
        <x:v>10.54.38.129</x:v>
      </x:c>
      <x:c r="J188" s="13"/>
      <x:c r="K188" s="13">
        <x:v>2020.0699999999999</x:v>
      </x:c>
      <x:c r="L188" s="130">
        <x:v>20161017</x:v>
      </x:c>
      <x:c r="M188" s="22">
        <x:v>820000</x:v>
      </x:c>
      <x:c r="N188" s="13" t="s">
        <x:v>1965</x:v>
      </x:c>
      <x:c r="O188" s="13" t="s">
        <x:v>783</x:v>
      </x:c>
      <x:c r="P188" s="202">
        <x:v>723</x:v>
      </x:c>
      <x:c r="Q188" s="13" t="s">
        <x:v>693</x:v>
      </x:c>
      <x:c r="R188" s="13" t="s">
        <x:v>1643</x:v>
      </x:c>
      <x:c r="S188" s="13" t="s">
        <x:v>1525</x:v>
      </x:c>
      <x:c r="T188" s="13" t="s">
        <x:v>1980</x:v>
      </x:c>
      <x:c r="U188" s="13"/>
      <x:c r="V188" s="13" t="s">
        <x:v>739</x:v>
      </x:c>
      <x:c r="W188" s="14"/>
      <x:c r="X188" s="14"/>
      <x:c r="Y188" s="14"/>
      <x:c r="Z188" s="14"/>
    </x:row>
    <x:row r="189" spans="1:26" customHeight="1">
      <x:c r="A189" s="25" t="str">
        <x:f>O189</x:f>
        <x:v>5층 실습용 27</x:v>
      </x:c>
      <x:c r="B189" s="25" t="str">
        <x:f>L189&amp;"-"&amp;TEXT(P189,"0000")</x:f>
        <x:v>20161017-0722</x:v>
      </x:c>
      <x:c r="C189" s="13" t="s">
        <x:v>1978</x:v>
      </x:c>
      <x:c r="D189" s="13" t="s">
        <x:v>1581</x:v>
      </x:c>
      <x:c r="E189" s="13" t="s">
        <x:v>1568</x:v>
      </x:c>
      <x:c r="F189" s="13" t="s">
        <x:v>2181</x:v>
      </x:c>
      <x:c r="G189" s="13" t="s">
        <x:v>2002</x:v>
      </x:c>
      <x:c r="H189" s="202" t="s">
        <x:v>1999</x:v>
      </x:c>
      <x:c r="I189" s="411" t="str">
        <x:f>IFERROR(VLOOKUP(O189,'학생용 IP'!$C$11:$H$326,5,FALSE),"")</x:f>
        <x:v>10.54.38.128</x:v>
      </x:c>
      <x:c r="J189" s="13"/>
      <x:c r="K189" s="13">
        <x:v>2020.0699999999999</x:v>
      </x:c>
      <x:c r="L189" s="130">
        <x:v>20161017</x:v>
      </x:c>
      <x:c r="M189" s="22">
        <x:v>820000</x:v>
      </x:c>
      <x:c r="N189" s="13" t="s">
        <x:v>1965</x:v>
      </x:c>
      <x:c r="O189" s="13" t="s">
        <x:v>760</x:v>
      </x:c>
      <x:c r="P189" s="202">
        <x:v>722</x:v>
      </x:c>
      <x:c r="Q189" s="13" t="s">
        <x:v>693</x:v>
      </x:c>
      <x:c r="R189" s="13" t="s">
        <x:v>1643</x:v>
      </x:c>
      <x:c r="S189" s="13" t="s">
        <x:v>1525</x:v>
      </x:c>
      <x:c r="T189" s="13" t="s">
        <x:v>1980</x:v>
      </x:c>
      <x:c r="U189" s="13"/>
      <x:c r="V189" s="13" t="s">
        <x:v>739</x:v>
      </x:c>
      <x:c r="W189" s="14"/>
      <x:c r="X189" s="14"/>
      <x:c r="Y189" s="14"/>
      <x:c r="Z189" s="14"/>
    </x:row>
    <x:row r="190" spans="1:26" customHeight="1">
      <x:c r="A190" s="25" t="str">
        <x:f>O190</x:f>
        <x:v>5층 실습용 26</x:v>
      </x:c>
      <x:c r="B190" s="25" t="str">
        <x:f>L190&amp;"-"&amp;TEXT(P190,"0000")</x:f>
        <x:v>20161017-0721</x:v>
      </x:c>
      <x:c r="C190" s="13" t="s">
        <x:v>1978</x:v>
      </x:c>
      <x:c r="D190" s="13" t="s">
        <x:v>1581</x:v>
      </x:c>
      <x:c r="E190" s="13" t="s">
        <x:v>1568</x:v>
      </x:c>
      <x:c r="F190" s="13" t="s">
        <x:v>2181</x:v>
      </x:c>
      <x:c r="G190" s="13" t="s">
        <x:v>2002</x:v>
      </x:c>
      <x:c r="H190" s="202" t="s">
        <x:v>1999</x:v>
      </x:c>
      <x:c r="I190" s="411" t="str">
        <x:f>IFERROR(VLOOKUP(O190,'학생용 IP'!$C$11:$H$326,5,FALSE),"")</x:f>
        <x:v>10.54.38.127</x:v>
      </x:c>
      <x:c r="J190" s="13"/>
      <x:c r="K190" s="13">
        <x:v>2020.0699999999999</x:v>
      </x:c>
      <x:c r="L190" s="130">
        <x:v>20161017</x:v>
      </x:c>
      <x:c r="M190" s="22">
        <x:v>820000</x:v>
      </x:c>
      <x:c r="N190" s="13" t="s">
        <x:v>1965</x:v>
      </x:c>
      <x:c r="O190" s="13" t="s">
        <x:v>788</x:v>
      </x:c>
      <x:c r="P190" s="202">
        <x:v>721</x:v>
      </x:c>
      <x:c r="Q190" s="13" t="s">
        <x:v>693</x:v>
      </x:c>
      <x:c r="R190" s="13" t="s">
        <x:v>1643</x:v>
      </x:c>
      <x:c r="S190" s="13" t="s">
        <x:v>1525</x:v>
      </x:c>
      <x:c r="T190" s="13" t="s">
        <x:v>1980</x:v>
      </x:c>
      <x:c r="U190" s="13"/>
      <x:c r="V190" s="13" t="s">
        <x:v>739</x:v>
      </x:c>
      <x:c r="W190" s="14"/>
      <x:c r="X190" s="14"/>
      <x:c r="Y190" s="14"/>
      <x:c r="Z190" s="14"/>
    </x:row>
    <x:row r="191" spans="1:26" customHeight="1">
      <x:c r="A191" s="25" t="str">
        <x:f>O191</x:f>
        <x:v>5층 실습용 25</x:v>
      </x:c>
      <x:c r="B191" s="25" t="str">
        <x:f>L191&amp;"-"&amp;TEXT(P191,"0000")</x:f>
        <x:v>20161017-0720</x:v>
      </x:c>
      <x:c r="C191" s="13" t="s">
        <x:v>1978</x:v>
      </x:c>
      <x:c r="D191" s="13" t="s">
        <x:v>1581</x:v>
      </x:c>
      <x:c r="E191" s="13" t="s">
        <x:v>1568</x:v>
      </x:c>
      <x:c r="F191" s="13" t="s">
        <x:v>2181</x:v>
      </x:c>
      <x:c r="G191" s="13" t="s">
        <x:v>2002</x:v>
      </x:c>
      <x:c r="H191" s="202" t="s">
        <x:v>1999</x:v>
      </x:c>
      <x:c r="I191" s="411" t="str">
        <x:f>IFERROR(VLOOKUP(O191,'학생용 IP'!$C$11:$H$326,5,FALSE),"")</x:f>
        <x:v>10.54.38.126</x:v>
      </x:c>
      <x:c r="J191" s="13"/>
      <x:c r="K191" s="13">
        <x:v>2020.0699999999999</x:v>
      </x:c>
      <x:c r="L191" s="130">
        <x:v>20161017</x:v>
      </x:c>
      <x:c r="M191" s="22">
        <x:v>820000</x:v>
      </x:c>
      <x:c r="N191" s="13" t="s">
        <x:v>1965</x:v>
      </x:c>
      <x:c r="O191" s="13" t="s">
        <x:v>789</x:v>
      </x:c>
      <x:c r="P191" s="202">
        <x:v>720</x:v>
      </x:c>
      <x:c r="Q191" s="13" t="s">
        <x:v>693</x:v>
      </x:c>
      <x:c r="R191" s="13" t="s">
        <x:v>1643</x:v>
      </x:c>
      <x:c r="S191" s="13" t="s">
        <x:v>1525</x:v>
      </x:c>
      <x:c r="T191" s="13" t="s">
        <x:v>1980</x:v>
      </x:c>
      <x:c r="U191" s="13"/>
      <x:c r="V191" s="13" t="s">
        <x:v>739</x:v>
      </x:c>
      <x:c r="W191" s="14"/>
      <x:c r="X191" s="14"/>
      <x:c r="Y191" s="14"/>
      <x:c r="Z191" s="14"/>
    </x:row>
    <x:row r="192" spans="1:26" customHeight="1">
      <x:c r="A192" s="25" t="str">
        <x:f>O192</x:f>
        <x:v>5층 실습용 24</x:v>
      </x:c>
      <x:c r="B192" s="25" t="str">
        <x:f>L192&amp;"-"&amp;TEXT(P192,"0000")</x:f>
        <x:v>20161017-0719</x:v>
      </x:c>
      <x:c r="C192" s="13" t="s">
        <x:v>1978</x:v>
      </x:c>
      <x:c r="D192" s="13" t="s">
        <x:v>1581</x:v>
      </x:c>
      <x:c r="E192" s="13" t="s">
        <x:v>1568</x:v>
      </x:c>
      <x:c r="F192" s="13" t="s">
        <x:v>2181</x:v>
      </x:c>
      <x:c r="G192" s="13" t="s">
        <x:v>2002</x:v>
      </x:c>
      <x:c r="H192" s="202" t="s">
        <x:v>1999</x:v>
      </x:c>
      <x:c r="I192" s="411" t="str">
        <x:f>IFERROR(VLOOKUP(O192,'학생용 IP'!$C$11:$H$326,5,FALSE),"")</x:f>
        <x:v>10.54.38.125</x:v>
      </x:c>
      <x:c r="J192" s="13"/>
      <x:c r="K192" s="13">
        <x:v>2020.0699999999999</x:v>
      </x:c>
      <x:c r="L192" s="130">
        <x:v>20161017</x:v>
      </x:c>
      <x:c r="M192" s="22">
        <x:v>820000</x:v>
      </x:c>
      <x:c r="N192" s="13" t="s">
        <x:v>1965</x:v>
      </x:c>
      <x:c r="O192" s="13" t="s">
        <x:v>761</x:v>
      </x:c>
      <x:c r="P192" s="202">
        <x:v>719</x:v>
      </x:c>
      <x:c r="Q192" s="13" t="s">
        <x:v>693</x:v>
      </x:c>
      <x:c r="R192" s="13" t="s">
        <x:v>1643</x:v>
      </x:c>
      <x:c r="S192" s="13" t="s">
        <x:v>1525</x:v>
      </x:c>
      <x:c r="T192" s="13" t="s">
        <x:v>1980</x:v>
      </x:c>
      <x:c r="U192" s="13"/>
      <x:c r="V192" s="13" t="s">
        <x:v>739</x:v>
      </x:c>
      <x:c r="W192" s="14"/>
      <x:c r="X192" s="14"/>
      <x:c r="Y192" s="14"/>
      <x:c r="Z192" s="14"/>
    </x:row>
    <x:row r="193" spans="1:26" customHeight="1">
      <x:c r="A193" s="25" t="str">
        <x:f>O193</x:f>
        <x:v>5층 실습용 23</x:v>
      </x:c>
      <x:c r="B193" s="25" t="str">
        <x:f>L193&amp;"-"&amp;TEXT(P193,"0000")</x:f>
        <x:v>20161017-0718</x:v>
      </x:c>
      <x:c r="C193" s="13" t="s">
        <x:v>1978</x:v>
      </x:c>
      <x:c r="D193" s="13" t="s">
        <x:v>1581</x:v>
      </x:c>
      <x:c r="E193" s="13" t="s">
        <x:v>1568</x:v>
      </x:c>
      <x:c r="F193" s="13" t="s">
        <x:v>2181</x:v>
      </x:c>
      <x:c r="G193" s="13" t="s">
        <x:v>2002</x:v>
      </x:c>
      <x:c r="H193" s="202" t="s">
        <x:v>1999</x:v>
      </x:c>
      <x:c r="I193" s="411" t="str">
        <x:f>IFERROR(VLOOKUP(O193,'학생용 IP'!$C$11:$H$326,5,FALSE),"")</x:f>
        <x:v>10.54.38.124</x:v>
      </x:c>
      <x:c r="J193" s="13"/>
      <x:c r="K193" s="14">
        <x:v>2020.0699999999999</x:v>
      </x:c>
      <x:c r="L193" s="130">
        <x:v>20161017</x:v>
      </x:c>
      <x:c r="M193" s="22">
        <x:v>820000</x:v>
      </x:c>
      <x:c r="N193" s="13" t="s">
        <x:v>1965</x:v>
      </x:c>
      <x:c r="O193" s="13" t="s">
        <x:v>765</x:v>
      </x:c>
      <x:c r="P193" s="202">
        <x:v>718</x:v>
      </x:c>
      <x:c r="Q193" s="13" t="s">
        <x:v>693</x:v>
      </x:c>
      <x:c r="R193" s="13" t="s">
        <x:v>1643</x:v>
      </x:c>
      <x:c r="S193" s="13" t="s">
        <x:v>1525</x:v>
      </x:c>
      <x:c r="T193" s="13" t="s">
        <x:v>1980</x:v>
      </x:c>
      <x:c r="U193" s="13"/>
      <x:c r="V193" s="13" t="s">
        <x:v>739</x:v>
      </x:c>
      <x:c r="W193" s="14"/>
      <x:c r="X193" s="14"/>
      <x:c r="Y193" s="14"/>
      <x:c r="Z193" s="14"/>
    </x:row>
    <x:row r="194" spans="1:26" customHeight="1">
      <x:c r="A194" s="25" t="str">
        <x:f>O194</x:f>
        <x:v>5층 실습용 22</x:v>
      </x:c>
      <x:c r="B194" s="25" t="str">
        <x:f>L194&amp;"-"&amp;TEXT(P194,"0000")</x:f>
        <x:v>20161017-0717</x:v>
      </x:c>
      <x:c r="C194" s="13" t="s">
        <x:v>1978</x:v>
      </x:c>
      <x:c r="D194" s="13" t="s">
        <x:v>1581</x:v>
      </x:c>
      <x:c r="E194" s="13" t="s">
        <x:v>1568</x:v>
      </x:c>
      <x:c r="F194" s="13" t="s">
        <x:v>2181</x:v>
      </x:c>
      <x:c r="G194" s="13" t="s">
        <x:v>2002</x:v>
      </x:c>
      <x:c r="H194" s="202" t="s">
        <x:v>1999</x:v>
      </x:c>
      <x:c r="I194" s="411" t="str">
        <x:f>IFERROR(VLOOKUP(O194,'학생용 IP'!$C$11:$H$326,5,FALSE),"")</x:f>
        <x:v>10.54.38.123</x:v>
      </x:c>
      <x:c r="J194" s="13"/>
      <x:c r="K194" s="13">
        <x:v>2020.0699999999999</x:v>
      </x:c>
      <x:c r="L194" s="130">
        <x:v>20161017</x:v>
      </x:c>
      <x:c r="M194" s="22">
        <x:v>820000</x:v>
      </x:c>
      <x:c r="N194" s="13" t="s">
        <x:v>1965</x:v>
      </x:c>
      <x:c r="O194" s="13" t="s">
        <x:v>786</x:v>
      </x:c>
      <x:c r="P194" s="202">
        <x:v>717</x:v>
      </x:c>
      <x:c r="Q194" s="13" t="s">
        <x:v>693</x:v>
      </x:c>
      <x:c r="R194" s="13" t="s">
        <x:v>1643</x:v>
      </x:c>
      <x:c r="S194" s="13" t="s">
        <x:v>1525</x:v>
      </x:c>
      <x:c r="T194" s="13" t="s">
        <x:v>1980</x:v>
      </x:c>
      <x:c r="U194" s="13"/>
      <x:c r="V194" s="13" t="s">
        <x:v>739</x:v>
      </x:c>
      <x:c r="W194" s="14"/>
      <x:c r="X194" s="14"/>
      <x:c r="Y194" s="14"/>
      <x:c r="Z194" s="14"/>
    </x:row>
    <x:row r="195" spans="1:26" customHeight="1">
      <x:c r="A195" s="25" t="str">
        <x:f>O195</x:f>
        <x:v>5층 실습용 21</x:v>
      </x:c>
      <x:c r="B195" s="25" t="str">
        <x:f>L195&amp;"-"&amp;TEXT(P195,"0000")</x:f>
        <x:v>20161017-0716</x:v>
      </x:c>
      <x:c r="C195" s="13" t="s">
        <x:v>1978</x:v>
      </x:c>
      <x:c r="D195" s="13" t="s">
        <x:v>1581</x:v>
      </x:c>
      <x:c r="E195" s="13" t="s">
        <x:v>1568</x:v>
      </x:c>
      <x:c r="F195" s="13" t="s">
        <x:v>2181</x:v>
      </x:c>
      <x:c r="G195" s="13" t="s">
        <x:v>2002</x:v>
      </x:c>
      <x:c r="H195" s="202" t="s">
        <x:v>1999</x:v>
      </x:c>
      <x:c r="I195" s="411" t="str">
        <x:f>IFERROR(VLOOKUP(O195,'학생용 IP'!$C$11:$H$326,5,FALSE),"")</x:f>
        <x:v>10.54.38.122</x:v>
      </x:c>
      <x:c r="J195" s="13"/>
      <x:c r="K195" s="14">
        <x:v>2020.0699999999999</x:v>
      </x:c>
      <x:c r="L195" s="130">
        <x:v>20161017</x:v>
      </x:c>
      <x:c r="M195" s="22">
        <x:v>820000</x:v>
      </x:c>
      <x:c r="N195" s="13" t="s">
        <x:v>1965</x:v>
      </x:c>
      <x:c r="O195" s="13" t="s">
        <x:v>777</x:v>
      </x:c>
      <x:c r="P195" s="202">
        <x:v>716</x:v>
      </x:c>
      <x:c r="Q195" s="13" t="s">
        <x:v>693</x:v>
      </x:c>
      <x:c r="R195" s="13" t="s">
        <x:v>1643</x:v>
      </x:c>
      <x:c r="S195" s="13" t="s">
        <x:v>1525</x:v>
      </x:c>
      <x:c r="T195" s="13" t="s">
        <x:v>1980</x:v>
      </x:c>
      <x:c r="U195" s="13"/>
      <x:c r="V195" s="13" t="s">
        <x:v>739</x:v>
      </x:c>
      <x:c r="W195" s="14"/>
      <x:c r="X195" s="14"/>
      <x:c r="Y195" s="14"/>
      <x:c r="Z195" s="14"/>
    </x:row>
    <x:row r="196" spans="1:26" customHeight="1">
      <x:c r="A196" s="25" t="str">
        <x:f>O196</x:f>
        <x:v>5층 실습용 20</x:v>
      </x:c>
      <x:c r="B196" s="25" t="str">
        <x:f>L196&amp;"-"&amp;TEXT(P196,"0000")</x:f>
        <x:v>20161017-0715</x:v>
      </x:c>
      <x:c r="C196" s="13" t="s">
        <x:v>1978</x:v>
      </x:c>
      <x:c r="D196" s="13" t="s">
        <x:v>1581</x:v>
      </x:c>
      <x:c r="E196" s="13" t="s">
        <x:v>1568</x:v>
      </x:c>
      <x:c r="F196" s="13" t="s">
        <x:v>2181</x:v>
      </x:c>
      <x:c r="G196" s="13" t="s">
        <x:v>2002</x:v>
      </x:c>
      <x:c r="H196" s="202" t="s">
        <x:v>1999</x:v>
      </x:c>
      <x:c r="I196" s="411" t="str">
        <x:f>IFERROR(VLOOKUP(O196,'학생용 IP'!$C$11:$H$326,5,FALSE),"")</x:f>
        <x:v>10.54.38.121</x:v>
      </x:c>
      <x:c r="J196" s="13"/>
      <x:c r="K196" s="14">
        <x:v>2020.0699999999999</x:v>
      </x:c>
      <x:c r="L196" s="130">
        <x:v>20161017</x:v>
      </x:c>
      <x:c r="M196" s="22">
        <x:v>820000</x:v>
      </x:c>
      <x:c r="N196" s="13" t="s">
        <x:v>1965</x:v>
      </x:c>
      <x:c r="O196" s="13" t="s">
        <x:v>791</x:v>
      </x:c>
      <x:c r="P196" s="202">
        <x:v>715</x:v>
      </x:c>
      <x:c r="Q196" s="13" t="s">
        <x:v>693</x:v>
      </x:c>
      <x:c r="R196" s="13" t="s">
        <x:v>1643</x:v>
      </x:c>
      <x:c r="S196" s="13" t="s">
        <x:v>1525</x:v>
      </x:c>
      <x:c r="T196" s="13" t="s">
        <x:v>1980</x:v>
      </x:c>
      <x:c r="U196" s="13"/>
      <x:c r="V196" s="13" t="s">
        <x:v>739</x:v>
      </x:c>
      <x:c r="W196" s="14"/>
      <x:c r="X196" s="14"/>
      <x:c r="Y196" s="14"/>
      <x:c r="Z196" s="14"/>
    </x:row>
    <x:row r="197" spans="1:26" customHeight="1">
      <x:c r="A197" s="25" t="str">
        <x:f>O197</x:f>
        <x:v>5층 실습용 19</x:v>
      </x:c>
      <x:c r="B197" s="25" t="str">
        <x:f>L197&amp;"-"&amp;TEXT(P197,"0000")</x:f>
        <x:v>20161017-0714</x:v>
      </x:c>
      <x:c r="C197" s="13" t="s">
        <x:v>1978</x:v>
      </x:c>
      <x:c r="D197" s="13" t="s">
        <x:v>1581</x:v>
      </x:c>
      <x:c r="E197" s="13" t="s">
        <x:v>1568</x:v>
      </x:c>
      <x:c r="F197" s="13" t="s">
        <x:v>2181</x:v>
      </x:c>
      <x:c r="G197" s="13" t="s">
        <x:v>2002</x:v>
      </x:c>
      <x:c r="H197" s="202" t="s">
        <x:v>1999</x:v>
      </x:c>
      <x:c r="I197" s="411" t="str">
        <x:f>IFERROR(VLOOKUP(O197,'학생용 IP'!$C$11:$H$326,5,FALSE),"")</x:f>
        <x:v>10.54.38.120</x:v>
      </x:c>
      <x:c r="J197" s="13"/>
      <x:c r="K197" s="13">
        <x:v>2020.0699999999999</x:v>
      </x:c>
      <x:c r="L197" s="130">
        <x:v>20161017</x:v>
      </x:c>
      <x:c r="M197" s="22">
        <x:v>820000</x:v>
      </x:c>
      <x:c r="N197" s="13" t="s">
        <x:v>1965</x:v>
      </x:c>
      <x:c r="O197" s="13" t="s">
        <x:v>794</x:v>
      </x:c>
      <x:c r="P197" s="202">
        <x:v>714</x:v>
      </x:c>
      <x:c r="Q197" s="13" t="s">
        <x:v>693</x:v>
      </x:c>
      <x:c r="R197" s="13" t="s">
        <x:v>1643</x:v>
      </x:c>
      <x:c r="S197" s="13" t="s">
        <x:v>1525</x:v>
      </x:c>
      <x:c r="T197" s="13" t="s">
        <x:v>1980</x:v>
      </x:c>
      <x:c r="U197" s="13"/>
      <x:c r="V197" s="13" t="s">
        <x:v>739</x:v>
      </x:c>
      <x:c r="W197" s="14"/>
      <x:c r="X197" s="14"/>
      <x:c r="Y197" s="14"/>
      <x:c r="Z197" s="14"/>
    </x:row>
    <x:row r="198" spans="1:26" customHeight="1">
      <x:c r="A198" s="25" t="str">
        <x:f>O198</x:f>
        <x:v>5층 실습용 18</x:v>
      </x:c>
      <x:c r="B198" s="25" t="str">
        <x:f>L198&amp;"-"&amp;TEXT(P198,"0000")</x:f>
        <x:v>20161017-0713</x:v>
      </x:c>
      <x:c r="C198" s="13" t="s">
        <x:v>1978</x:v>
      </x:c>
      <x:c r="D198" s="13" t="s">
        <x:v>1581</x:v>
      </x:c>
      <x:c r="E198" s="13" t="s">
        <x:v>1568</x:v>
      </x:c>
      <x:c r="F198" s="13" t="s">
        <x:v>2181</x:v>
      </x:c>
      <x:c r="G198" s="13" t="s">
        <x:v>2002</x:v>
      </x:c>
      <x:c r="H198" s="202" t="s">
        <x:v>1999</x:v>
      </x:c>
      <x:c r="I198" s="411" t="str">
        <x:f>IFERROR(VLOOKUP(O198,'학생용 IP'!$C$11:$H$326,5,FALSE),"")</x:f>
        <x:v>10.54.38.119</x:v>
      </x:c>
      <x:c r="J198" s="13"/>
      <x:c r="K198" s="13">
        <x:v>2020.0699999999999</x:v>
      </x:c>
      <x:c r="L198" s="130">
        <x:v>20161017</x:v>
      </x:c>
      <x:c r="M198" s="22">
        <x:v>820000</x:v>
      </x:c>
      <x:c r="N198" s="13" t="s">
        <x:v>1965</x:v>
      </x:c>
      <x:c r="O198" s="13" t="s">
        <x:v>787</x:v>
      </x:c>
      <x:c r="P198" s="202">
        <x:v>713</x:v>
      </x:c>
      <x:c r="Q198" s="13" t="s">
        <x:v>693</x:v>
      </x:c>
      <x:c r="R198" s="13" t="s">
        <x:v>1643</x:v>
      </x:c>
      <x:c r="S198" s="13" t="s">
        <x:v>1525</x:v>
      </x:c>
      <x:c r="T198" s="13" t="s">
        <x:v>1980</x:v>
      </x:c>
      <x:c r="U198" s="13"/>
      <x:c r="V198" s="13" t="s">
        <x:v>739</x:v>
      </x:c>
      <x:c r="W198" s="14"/>
      <x:c r="X198" s="14"/>
      <x:c r="Y198" s="14"/>
      <x:c r="Z198" s="14"/>
    </x:row>
    <x:row r="199" spans="1:26" customHeight="1">
      <x:c r="A199" s="25" t="str">
        <x:f>O199</x:f>
        <x:v>5층 실습용 17</x:v>
      </x:c>
      <x:c r="B199" s="25" t="str">
        <x:f>L199&amp;"-"&amp;TEXT(P199,"0000")</x:f>
        <x:v>20161017-0712</x:v>
      </x:c>
      <x:c r="C199" s="13" t="s">
        <x:v>1978</x:v>
      </x:c>
      <x:c r="D199" s="13" t="s">
        <x:v>1581</x:v>
      </x:c>
      <x:c r="E199" s="13" t="s">
        <x:v>1568</x:v>
      </x:c>
      <x:c r="F199" s="13" t="s">
        <x:v>2181</x:v>
      </x:c>
      <x:c r="G199" s="13" t="s">
        <x:v>2002</x:v>
      </x:c>
      <x:c r="H199" s="202" t="s">
        <x:v>1999</x:v>
      </x:c>
      <x:c r="I199" s="411" t="str">
        <x:f>IFERROR(VLOOKUP(O199,'학생용 IP'!$C$11:$H$326,5,FALSE),"")</x:f>
        <x:v>10.54.38.118</x:v>
      </x:c>
      <x:c r="J199" s="13"/>
      <x:c r="K199" s="13">
        <x:v>2020.0699999999999</x:v>
      </x:c>
      <x:c r="L199" s="130">
        <x:v>20161017</x:v>
      </x:c>
      <x:c r="M199" s="22">
        <x:v>820000</x:v>
      </x:c>
      <x:c r="N199" s="13" t="s">
        <x:v>1965</x:v>
      </x:c>
      <x:c r="O199" s="13" t="s">
        <x:v>762</x:v>
      </x:c>
      <x:c r="P199" s="202">
        <x:v>712</x:v>
      </x:c>
      <x:c r="Q199" s="13" t="s">
        <x:v>693</x:v>
      </x:c>
      <x:c r="R199" s="13" t="s">
        <x:v>1643</x:v>
      </x:c>
      <x:c r="S199" s="13" t="s">
        <x:v>1525</x:v>
      </x:c>
      <x:c r="T199" s="13" t="s">
        <x:v>1980</x:v>
      </x:c>
      <x:c r="U199" s="13"/>
      <x:c r="V199" s="13" t="s">
        <x:v>739</x:v>
      </x:c>
      <x:c r="W199" s="14"/>
      <x:c r="X199" s="14"/>
      <x:c r="Y199" s="14"/>
      <x:c r="Z199" s="14"/>
    </x:row>
    <x:row r="200" spans="1:26" customHeight="1">
      <x:c r="A200" s="25" t="str">
        <x:f>O200</x:f>
        <x:v>5층 실습용 16</x:v>
      </x:c>
      <x:c r="B200" s="25" t="str">
        <x:f>L200&amp;"-"&amp;TEXT(P200,"0000")</x:f>
        <x:v>20161017-0711</x:v>
      </x:c>
      <x:c r="C200" s="13" t="s">
        <x:v>1978</x:v>
      </x:c>
      <x:c r="D200" s="13" t="s">
        <x:v>1581</x:v>
      </x:c>
      <x:c r="E200" s="13" t="s">
        <x:v>1568</x:v>
      </x:c>
      <x:c r="F200" s="13" t="s">
        <x:v>2181</x:v>
      </x:c>
      <x:c r="G200" s="13" t="s">
        <x:v>2002</x:v>
      </x:c>
      <x:c r="H200" s="202" t="s">
        <x:v>1999</x:v>
      </x:c>
      <x:c r="I200" s="411" t="str">
        <x:f>IFERROR(VLOOKUP(O200,'학생용 IP'!$C$11:$H$326,5,FALSE),"")</x:f>
        <x:v>10.54.38.117</x:v>
      </x:c>
      <x:c r="J200" s="13"/>
      <x:c r="K200" s="13">
        <x:v>2020.0699999999999</x:v>
      </x:c>
      <x:c r="L200" s="130">
        <x:v>20161017</x:v>
      </x:c>
      <x:c r="M200" s="22">
        <x:v>820000</x:v>
      </x:c>
      <x:c r="N200" s="13" t="s">
        <x:v>1965</x:v>
      </x:c>
      <x:c r="O200" s="13" t="s">
        <x:v>779</x:v>
      </x:c>
      <x:c r="P200" s="202">
        <x:v>711</x:v>
      </x:c>
      <x:c r="Q200" s="13" t="s">
        <x:v>693</x:v>
      </x:c>
      <x:c r="R200" s="13" t="s">
        <x:v>1643</x:v>
      </x:c>
      <x:c r="S200" s="13" t="s">
        <x:v>1525</x:v>
      </x:c>
      <x:c r="T200" s="13" t="s">
        <x:v>1980</x:v>
      </x:c>
      <x:c r="U200" s="13"/>
      <x:c r="V200" s="13" t="s">
        <x:v>739</x:v>
      </x:c>
      <x:c r="W200" s="14"/>
      <x:c r="X200" s="14"/>
      <x:c r="Y200" s="14"/>
      <x:c r="Z200" s="14"/>
    </x:row>
    <x:row r="201" spans="1:26" customHeight="1">
      <x:c r="A201" s="25" t="str">
        <x:f>O201</x:f>
        <x:v>5층 실습용 15</x:v>
      </x:c>
      <x:c r="B201" s="25" t="str">
        <x:f>L201&amp;"-"&amp;TEXT(P201,"0000")</x:f>
        <x:v>20161017-0710</x:v>
      </x:c>
      <x:c r="C201" s="13" t="s">
        <x:v>1978</x:v>
      </x:c>
      <x:c r="D201" s="13" t="s">
        <x:v>1581</x:v>
      </x:c>
      <x:c r="E201" s="13" t="s">
        <x:v>1568</x:v>
      </x:c>
      <x:c r="F201" s="13" t="s">
        <x:v>2181</x:v>
      </x:c>
      <x:c r="G201" s="13" t="s">
        <x:v>2002</x:v>
      </x:c>
      <x:c r="H201" s="202" t="s">
        <x:v>1999</x:v>
      </x:c>
      <x:c r="I201" s="411" t="str">
        <x:f>IFERROR(VLOOKUP(O201,'학생용 IP'!$C$11:$H$326,5,FALSE),"")</x:f>
        <x:v>10.54.38.116</x:v>
      </x:c>
      <x:c r="J201" s="13"/>
      <x:c r="K201" s="13">
        <x:v>2020.0699999999999</x:v>
      </x:c>
      <x:c r="L201" s="130">
        <x:v>20161017</x:v>
      </x:c>
      <x:c r="M201" s="22">
        <x:v>820000</x:v>
      </x:c>
      <x:c r="N201" s="13" t="s">
        <x:v>1965</x:v>
      </x:c>
      <x:c r="O201" s="13" t="s">
        <x:v>766</x:v>
      </x:c>
      <x:c r="P201" s="202">
        <x:v>710</x:v>
      </x:c>
      <x:c r="Q201" s="13" t="s">
        <x:v>693</x:v>
      </x:c>
      <x:c r="R201" s="13" t="s">
        <x:v>1643</x:v>
      </x:c>
      <x:c r="S201" s="13" t="s">
        <x:v>1525</x:v>
      </x:c>
      <x:c r="T201" s="13" t="s">
        <x:v>1980</x:v>
      </x:c>
      <x:c r="U201" s="13"/>
      <x:c r="V201" s="13" t="s">
        <x:v>739</x:v>
      </x:c>
      <x:c r="W201" s="14"/>
      <x:c r="X201" s="14"/>
      <x:c r="Y201" s="14"/>
      <x:c r="Z201" s="14"/>
    </x:row>
    <x:row r="202" spans="1:26" customHeight="1">
      <x:c r="A202" s="25" t="str">
        <x:f>O202</x:f>
        <x:v>5층 실습용 14</x:v>
      </x:c>
      <x:c r="B202" s="25" t="str">
        <x:f>L202&amp;"-"&amp;TEXT(P202,"0000")</x:f>
        <x:v>20161017-0709</x:v>
      </x:c>
      <x:c r="C202" s="13" t="s">
        <x:v>1978</x:v>
      </x:c>
      <x:c r="D202" s="13" t="s">
        <x:v>1581</x:v>
      </x:c>
      <x:c r="E202" s="13" t="s">
        <x:v>1568</x:v>
      </x:c>
      <x:c r="F202" s="13" t="s">
        <x:v>2181</x:v>
      </x:c>
      <x:c r="G202" s="13" t="s">
        <x:v>2002</x:v>
      </x:c>
      <x:c r="H202" s="202" t="s">
        <x:v>1999</x:v>
      </x:c>
      <x:c r="I202" s="411" t="str">
        <x:f>IFERROR(VLOOKUP(O202,'학생용 IP'!$C$11:$H$326,5,FALSE),"")</x:f>
        <x:v>10.54.38.115</x:v>
      </x:c>
      <x:c r="J202" s="13"/>
      <x:c r="K202" s="13">
        <x:v>2020.0699999999999</x:v>
      </x:c>
      <x:c r="L202" s="130">
        <x:v>20161017</x:v>
      </x:c>
      <x:c r="M202" s="22">
        <x:v>820000</x:v>
      </x:c>
      <x:c r="N202" s="13" t="s">
        <x:v>1965</x:v>
      </x:c>
      <x:c r="O202" s="13" t="s">
        <x:v>763</x:v>
      </x:c>
      <x:c r="P202" s="202">
        <x:v>709</x:v>
      </x:c>
      <x:c r="Q202" s="13" t="s">
        <x:v>693</x:v>
      </x:c>
      <x:c r="R202" s="13" t="s">
        <x:v>1643</x:v>
      </x:c>
      <x:c r="S202" s="13" t="s">
        <x:v>1525</x:v>
      </x:c>
      <x:c r="T202" s="13" t="s">
        <x:v>1980</x:v>
      </x:c>
      <x:c r="U202" s="13"/>
      <x:c r="V202" s="13" t="s">
        <x:v>739</x:v>
      </x:c>
      <x:c r="W202" s="14"/>
      <x:c r="X202" s="14"/>
      <x:c r="Y202" s="14"/>
      <x:c r="Z202" s="14"/>
    </x:row>
    <x:row r="203" spans="1:26" customHeight="1">
      <x:c r="A203" s="25" t="str">
        <x:f>O203</x:f>
        <x:v>5층 실습용 13</x:v>
      </x:c>
      <x:c r="B203" s="25" t="str">
        <x:f>L203&amp;"-"&amp;TEXT(P203,"0000")</x:f>
        <x:v>20161017-0708</x:v>
      </x:c>
      <x:c r="C203" s="13" t="s">
        <x:v>1978</x:v>
      </x:c>
      <x:c r="D203" s="13" t="s">
        <x:v>1581</x:v>
      </x:c>
      <x:c r="E203" s="13" t="s">
        <x:v>1568</x:v>
      </x:c>
      <x:c r="F203" s="13" t="s">
        <x:v>2181</x:v>
      </x:c>
      <x:c r="G203" s="13" t="s">
        <x:v>2002</x:v>
      </x:c>
      <x:c r="H203" s="202" t="s">
        <x:v>1999</x:v>
      </x:c>
      <x:c r="I203" s="411" t="str">
        <x:f>IFERROR(VLOOKUP(O203,'학생용 IP'!$C$11:$H$326,5,FALSE),"")</x:f>
        <x:v>10.54.38.114</x:v>
      </x:c>
      <x:c r="J203" s="13"/>
      <x:c r="K203" s="13">
        <x:v>2020.0699999999999</x:v>
      </x:c>
      <x:c r="L203" s="130">
        <x:v>20161017</x:v>
      </x:c>
      <x:c r="M203" s="22">
        <x:v>820000</x:v>
      </x:c>
      <x:c r="N203" s="13" t="s">
        <x:v>1965</x:v>
      </x:c>
      <x:c r="O203" s="13" t="s">
        <x:v>810</x:v>
      </x:c>
      <x:c r="P203" s="202">
        <x:v>708</x:v>
      </x:c>
      <x:c r="Q203" s="13" t="s">
        <x:v>693</x:v>
      </x:c>
      <x:c r="R203" s="13" t="s">
        <x:v>1643</x:v>
      </x:c>
      <x:c r="S203" s="13" t="s">
        <x:v>1525</x:v>
      </x:c>
      <x:c r="T203" s="13" t="s">
        <x:v>1980</x:v>
      </x:c>
      <x:c r="U203" s="13"/>
      <x:c r="V203" s="13" t="s">
        <x:v>739</x:v>
      </x:c>
      <x:c r="W203" s="14"/>
      <x:c r="X203" s="14"/>
      <x:c r="Y203" s="14"/>
      <x:c r="Z203" s="14"/>
    </x:row>
    <x:row r="204" spans="1:26" customHeight="1">
      <x:c r="A204" s="25" t="str">
        <x:f>O204</x:f>
        <x:v>5층 실습용 12</x:v>
      </x:c>
      <x:c r="B204" s="25" t="str">
        <x:f>L204&amp;"-"&amp;TEXT(P204,"0000")</x:f>
        <x:v>20161017-0707</x:v>
      </x:c>
      <x:c r="C204" s="13" t="s">
        <x:v>1978</x:v>
      </x:c>
      <x:c r="D204" s="13" t="s">
        <x:v>1581</x:v>
      </x:c>
      <x:c r="E204" s="13" t="s">
        <x:v>1568</x:v>
      </x:c>
      <x:c r="F204" s="13" t="s">
        <x:v>2181</x:v>
      </x:c>
      <x:c r="G204" s="13" t="s">
        <x:v>2002</x:v>
      </x:c>
      <x:c r="H204" s="202" t="s">
        <x:v>1999</x:v>
      </x:c>
      <x:c r="I204" s="411" t="str">
        <x:f>IFERROR(VLOOKUP(O204,'학생용 IP'!$C$11:$H$326,5,FALSE),"")</x:f>
        <x:v>10.54.38.113</x:v>
      </x:c>
      <x:c r="J204" s="13"/>
      <x:c r="K204" s="13">
        <x:v>2020.0699999999999</x:v>
      </x:c>
      <x:c r="L204" s="130">
        <x:v>20161017</x:v>
      </x:c>
      <x:c r="M204" s="22">
        <x:v>820000</x:v>
      </x:c>
      <x:c r="N204" s="13" t="s">
        <x:v>1965</x:v>
      </x:c>
      <x:c r="O204" s="13" t="s">
        <x:v>778</x:v>
      </x:c>
      <x:c r="P204" s="202">
        <x:v>707</x:v>
      </x:c>
      <x:c r="Q204" s="13" t="s">
        <x:v>693</x:v>
      </x:c>
      <x:c r="R204" s="13" t="s">
        <x:v>1643</x:v>
      </x:c>
      <x:c r="S204" s="13" t="s">
        <x:v>1525</x:v>
      </x:c>
      <x:c r="T204" s="13" t="s">
        <x:v>1980</x:v>
      </x:c>
      <x:c r="U204" s="13"/>
      <x:c r="V204" s="13" t="s">
        <x:v>739</x:v>
      </x:c>
      <x:c r="W204" s="14"/>
      <x:c r="X204" s="14"/>
      <x:c r="Y204" s="14"/>
      <x:c r="Z204" s="14"/>
    </x:row>
    <x:row r="205" spans="1:26" customHeight="1">
      <x:c r="A205" s="25" t="str">
        <x:f>O205</x:f>
        <x:v>5층 실습용 11</x:v>
      </x:c>
      <x:c r="B205" s="25" t="str">
        <x:f>L205&amp;"-"&amp;TEXT(P205,"0000")</x:f>
        <x:v>20161017-0706</x:v>
      </x:c>
      <x:c r="C205" s="13" t="s">
        <x:v>1978</x:v>
      </x:c>
      <x:c r="D205" s="13" t="s">
        <x:v>1581</x:v>
      </x:c>
      <x:c r="E205" s="13" t="s">
        <x:v>1568</x:v>
      </x:c>
      <x:c r="F205" s="13" t="s">
        <x:v>2181</x:v>
      </x:c>
      <x:c r="G205" s="13" t="s">
        <x:v>2002</x:v>
      </x:c>
      <x:c r="H205" s="202" t="s">
        <x:v>1999</x:v>
      </x:c>
      <x:c r="I205" s="411" t="str">
        <x:f>IFERROR(VLOOKUP(O205,'학생용 IP'!$C$11:$H$326,5,FALSE),"")</x:f>
        <x:v>10.54.38.112</x:v>
      </x:c>
      <x:c r="J205" s="13"/>
      <x:c r="K205" s="13">
        <x:v>2020.0699999999999</x:v>
      </x:c>
      <x:c r="L205" s="130">
        <x:v>20161017</x:v>
      </x:c>
      <x:c r="M205" s="22">
        <x:v>820000</x:v>
      </x:c>
      <x:c r="N205" s="13" t="s">
        <x:v>1965</x:v>
      </x:c>
      <x:c r="O205" s="13" t="s">
        <x:v>780</x:v>
      </x:c>
      <x:c r="P205" s="202">
        <x:v>706</x:v>
      </x:c>
      <x:c r="Q205" s="13" t="s">
        <x:v>693</x:v>
      </x:c>
      <x:c r="R205" s="13" t="s">
        <x:v>1643</x:v>
      </x:c>
      <x:c r="S205" s="13" t="s">
        <x:v>1525</x:v>
      </x:c>
      <x:c r="T205" s="13" t="s">
        <x:v>1980</x:v>
      </x:c>
      <x:c r="U205" s="13"/>
      <x:c r="V205" s="13" t="s">
        <x:v>739</x:v>
      </x:c>
      <x:c r="W205" s="14"/>
      <x:c r="X205" s="14"/>
      <x:c r="Y205" s="14"/>
      <x:c r="Z205" s="14"/>
    </x:row>
    <x:row r="206" spans="1:26" customHeight="1">
      <x:c r="A206" s="25" t="str">
        <x:f>O206</x:f>
        <x:v>5층 실습용 10</x:v>
      </x:c>
      <x:c r="B206" s="25" t="str">
        <x:f>L206&amp;"-"&amp;TEXT(P206,"0000")</x:f>
        <x:v>20161017-0705</x:v>
      </x:c>
      <x:c r="C206" s="13" t="s">
        <x:v>1978</x:v>
      </x:c>
      <x:c r="D206" s="13" t="s">
        <x:v>1581</x:v>
      </x:c>
      <x:c r="E206" s="13" t="s">
        <x:v>1568</x:v>
      </x:c>
      <x:c r="F206" s="13" t="s">
        <x:v>2181</x:v>
      </x:c>
      <x:c r="G206" s="13" t="s">
        <x:v>2002</x:v>
      </x:c>
      <x:c r="H206" s="202" t="s">
        <x:v>1999</x:v>
      </x:c>
      <x:c r="I206" s="411" t="str">
        <x:f>IFERROR(VLOOKUP(O206,'학생용 IP'!$C$11:$H$326,5,FALSE),"")</x:f>
        <x:v>10.54.38.111</x:v>
      </x:c>
      <x:c r="J206" s="13"/>
      <x:c r="K206" s="13">
        <x:v>2020.0699999999999</x:v>
      </x:c>
      <x:c r="L206" s="130">
        <x:v>20161017</x:v>
      </x:c>
      <x:c r="M206" s="22">
        <x:v>820000</x:v>
      </x:c>
      <x:c r="N206" s="13" t="s">
        <x:v>1965</x:v>
      </x:c>
      <x:c r="O206" s="13" t="s">
        <x:v>799</x:v>
      </x:c>
      <x:c r="P206" s="202">
        <x:v>705</x:v>
      </x:c>
      <x:c r="Q206" s="13" t="s">
        <x:v>693</x:v>
      </x:c>
      <x:c r="R206" s="13" t="s">
        <x:v>1643</x:v>
      </x:c>
      <x:c r="S206" s="13" t="s">
        <x:v>1525</x:v>
      </x:c>
      <x:c r="T206" s="13" t="s">
        <x:v>1980</x:v>
      </x:c>
      <x:c r="U206" s="13"/>
      <x:c r="V206" s="13" t="s">
        <x:v>739</x:v>
      </x:c>
      <x:c r="W206" s="14"/>
      <x:c r="X206" s="14"/>
      <x:c r="Y206" s="14"/>
      <x:c r="Z206" s="14"/>
    </x:row>
    <x:row r="207" spans="1:26" customHeight="1">
      <x:c r="A207" s="25" t="str">
        <x:f>O207</x:f>
        <x:v>5층 실습용 9</x:v>
      </x:c>
      <x:c r="B207" s="25" t="str">
        <x:f>L207&amp;"-"&amp;TEXT(P207,"0000")</x:f>
        <x:v>20161017-0704</x:v>
      </x:c>
      <x:c r="C207" s="13" t="s">
        <x:v>1978</x:v>
      </x:c>
      <x:c r="D207" s="13" t="s">
        <x:v>1581</x:v>
      </x:c>
      <x:c r="E207" s="13" t="s">
        <x:v>1568</x:v>
      </x:c>
      <x:c r="F207" s="13" t="s">
        <x:v>2181</x:v>
      </x:c>
      <x:c r="G207" s="13" t="s">
        <x:v>2002</x:v>
      </x:c>
      <x:c r="H207" s="202" t="s">
        <x:v>1999</x:v>
      </x:c>
      <x:c r="I207" s="411" t="str">
        <x:f>IFERROR(VLOOKUP(O207,'학생용 IP'!$C$11:$H$326,5,FALSE),"")</x:f>
        <x:v>10.54.38.110</x:v>
      </x:c>
      <x:c r="J207" s="13"/>
      <x:c r="K207" s="13">
        <x:v>2020.0699999999999</x:v>
      </x:c>
      <x:c r="L207" s="130">
        <x:v>20161017</x:v>
      </x:c>
      <x:c r="M207" s="22">
        <x:v>820000</x:v>
      </x:c>
      <x:c r="N207" s="13" t="s">
        <x:v>1965</x:v>
      </x:c>
      <x:c r="O207" s="13" t="s">
        <x:v>805</x:v>
      </x:c>
      <x:c r="P207" s="202">
        <x:v>704</x:v>
      </x:c>
      <x:c r="Q207" s="13" t="s">
        <x:v>693</x:v>
      </x:c>
      <x:c r="R207" s="13" t="s">
        <x:v>1643</x:v>
      </x:c>
      <x:c r="S207" s="13" t="s">
        <x:v>1525</x:v>
      </x:c>
      <x:c r="T207" s="13" t="s">
        <x:v>1980</x:v>
      </x:c>
      <x:c r="U207" s="13"/>
      <x:c r="V207" s="13" t="s">
        <x:v>739</x:v>
      </x:c>
      <x:c r="W207" s="14"/>
      <x:c r="X207" s="14"/>
      <x:c r="Y207" s="14"/>
      <x:c r="Z207" s="14"/>
    </x:row>
    <x:row r="208" spans="1:26" customHeight="1">
      <x:c r="A208" s="25" t="str">
        <x:f>O208</x:f>
        <x:v>5층 실습용 8</x:v>
      </x:c>
      <x:c r="B208" s="25" t="str">
        <x:f>L208&amp;"-"&amp;TEXT(P208,"0000")</x:f>
        <x:v>20161017-0703</x:v>
      </x:c>
      <x:c r="C208" s="13" t="s">
        <x:v>1978</x:v>
      </x:c>
      <x:c r="D208" s="13" t="s">
        <x:v>1581</x:v>
      </x:c>
      <x:c r="E208" s="13" t="s">
        <x:v>1568</x:v>
      </x:c>
      <x:c r="F208" s="13" t="s">
        <x:v>2181</x:v>
      </x:c>
      <x:c r="G208" s="13" t="s">
        <x:v>2002</x:v>
      </x:c>
      <x:c r="H208" s="202" t="s">
        <x:v>1999</x:v>
      </x:c>
      <x:c r="I208" s="411" t="str">
        <x:f>IFERROR(VLOOKUP(O208,'학생용 IP'!$C$11:$H$326,5,FALSE),"")</x:f>
        <x:v>10.54.38.109</x:v>
      </x:c>
      <x:c r="J208" s="13"/>
      <x:c r="K208" s="13">
        <x:v>2020.0699999999999</x:v>
      </x:c>
      <x:c r="L208" s="130">
        <x:v>20161017</x:v>
      </x:c>
      <x:c r="M208" s="22">
        <x:v>820000</x:v>
      </x:c>
      <x:c r="N208" s="13" t="s">
        <x:v>1965</x:v>
      </x:c>
      <x:c r="O208" s="13" t="s">
        <x:v>796</x:v>
      </x:c>
      <x:c r="P208" s="202">
        <x:v>703</x:v>
      </x:c>
      <x:c r="Q208" s="13" t="s">
        <x:v>693</x:v>
      </x:c>
      <x:c r="R208" s="13" t="s">
        <x:v>1643</x:v>
      </x:c>
      <x:c r="S208" s="13" t="s">
        <x:v>1525</x:v>
      </x:c>
      <x:c r="T208" s="13" t="s">
        <x:v>1980</x:v>
      </x:c>
      <x:c r="U208" s="13"/>
      <x:c r="V208" s="13" t="s">
        <x:v>739</x:v>
      </x:c>
      <x:c r="W208" s="14"/>
      <x:c r="X208" s="14"/>
      <x:c r="Y208" s="14"/>
      <x:c r="Z208" s="14"/>
    </x:row>
    <x:row r="209" spans="1:26" customHeight="1">
      <x:c r="A209" s="25" t="str">
        <x:f>O209</x:f>
        <x:v>5층 실습용 7</x:v>
      </x:c>
      <x:c r="B209" s="25" t="str">
        <x:f>L209&amp;"-"&amp;TEXT(P209,"0000")</x:f>
        <x:v>20161017-0702</x:v>
      </x:c>
      <x:c r="C209" s="13" t="s">
        <x:v>1978</x:v>
      </x:c>
      <x:c r="D209" s="13" t="s">
        <x:v>1581</x:v>
      </x:c>
      <x:c r="E209" s="13" t="s">
        <x:v>1568</x:v>
      </x:c>
      <x:c r="F209" s="13" t="s">
        <x:v>2181</x:v>
      </x:c>
      <x:c r="G209" s="13" t="s">
        <x:v>2002</x:v>
      </x:c>
      <x:c r="H209" s="202" t="s">
        <x:v>1999</x:v>
      </x:c>
      <x:c r="I209" s="411" t="str">
        <x:f>IFERROR(VLOOKUP(O209,'학생용 IP'!$C$11:$H$326,5,FALSE),"")</x:f>
        <x:v>10.54.38.108</x:v>
      </x:c>
      <x:c r="J209" s="13"/>
      <x:c r="K209" s="13">
        <x:v>2020.0699999999999</x:v>
      </x:c>
      <x:c r="L209" s="130">
        <x:v>20161017</x:v>
      </x:c>
      <x:c r="M209" s="22">
        <x:v>820000</x:v>
      </x:c>
      <x:c r="N209" s="13" t="s">
        <x:v>1965</x:v>
      </x:c>
      <x:c r="O209" s="13" t="s">
        <x:v>770</x:v>
      </x:c>
      <x:c r="P209" s="202">
        <x:v>702</x:v>
      </x:c>
      <x:c r="Q209" s="13" t="s">
        <x:v>693</x:v>
      </x:c>
      <x:c r="R209" s="13" t="s">
        <x:v>1643</x:v>
      </x:c>
      <x:c r="S209" s="13" t="s">
        <x:v>1525</x:v>
      </x:c>
      <x:c r="T209" s="13" t="s">
        <x:v>1980</x:v>
      </x:c>
      <x:c r="U209" s="13"/>
      <x:c r="V209" s="13" t="s">
        <x:v>739</x:v>
      </x:c>
      <x:c r="W209" s="14"/>
      <x:c r="X209" s="14"/>
      <x:c r="Y209" s="14"/>
      <x:c r="Z209" s="14"/>
    </x:row>
    <x:row r="210" spans="1:26" customHeight="1">
      <x:c r="A210" s="25" t="str">
        <x:f>O210</x:f>
        <x:v>5층 실습용 6</x:v>
      </x:c>
      <x:c r="B210" s="25" t="str">
        <x:f>L210&amp;"-"&amp;TEXT(P210,"0000")</x:f>
        <x:v>20161017-0701</x:v>
      </x:c>
      <x:c r="C210" s="13" t="s">
        <x:v>1978</x:v>
      </x:c>
      <x:c r="D210" s="13" t="s">
        <x:v>1581</x:v>
      </x:c>
      <x:c r="E210" s="13" t="s">
        <x:v>1568</x:v>
      </x:c>
      <x:c r="F210" s="13" t="s">
        <x:v>2181</x:v>
      </x:c>
      <x:c r="G210" s="13" t="s">
        <x:v>2002</x:v>
      </x:c>
      <x:c r="H210" s="202" t="s">
        <x:v>1999</x:v>
      </x:c>
      <x:c r="I210" s="411" t="str">
        <x:f>IFERROR(VLOOKUP(O210,'학생용 IP'!$C$11:$H$326,5,FALSE),"")</x:f>
        <x:v>10.54.38.107</x:v>
      </x:c>
      <x:c r="J210" s="13"/>
      <x:c r="K210" s="13">
        <x:v>2020.0699999999999</x:v>
      </x:c>
      <x:c r="L210" s="130">
        <x:v>20161017</x:v>
      </x:c>
      <x:c r="M210" s="22">
        <x:v>820000</x:v>
      </x:c>
      <x:c r="N210" s="13" t="s">
        <x:v>1965</x:v>
      </x:c>
      <x:c r="O210" s="13" t="s">
        <x:v>764</x:v>
      </x:c>
      <x:c r="P210" s="202">
        <x:v>701</x:v>
      </x:c>
      <x:c r="Q210" s="13" t="s">
        <x:v>693</x:v>
      </x:c>
      <x:c r="R210" s="13" t="s">
        <x:v>1643</x:v>
      </x:c>
      <x:c r="S210" s="13" t="s">
        <x:v>1525</x:v>
      </x:c>
      <x:c r="T210" s="13" t="s">
        <x:v>1980</x:v>
      </x:c>
      <x:c r="U210" s="13"/>
      <x:c r="V210" s="13" t="s">
        <x:v>739</x:v>
      </x:c>
      <x:c r="W210" s="14"/>
      <x:c r="X210" s="14"/>
      <x:c r="Y210" s="14"/>
      <x:c r="Z210" s="14"/>
    </x:row>
    <x:row r="211" spans="1:26" customHeight="1">
      <x:c r="A211" s="25" t="str">
        <x:f>O211</x:f>
        <x:v>5층 실습용 5</x:v>
      </x:c>
      <x:c r="B211" s="25" t="str">
        <x:f>L211&amp;"-"&amp;TEXT(P211,"0000")</x:f>
        <x:v>20161017-0700</x:v>
      </x:c>
      <x:c r="C211" s="13" t="s">
        <x:v>1978</x:v>
      </x:c>
      <x:c r="D211" s="13" t="s">
        <x:v>1581</x:v>
      </x:c>
      <x:c r="E211" s="13" t="s">
        <x:v>1568</x:v>
      </x:c>
      <x:c r="F211" s="13" t="s">
        <x:v>2181</x:v>
      </x:c>
      <x:c r="G211" s="13" t="s">
        <x:v>2002</x:v>
      </x:c>
      <x:c r="H211" s="202" t="s">
        <x:v>1999</x:v>
      </x:c>
      <x:c r="I211" s="411" t="str">
        <x:f>IFERROR(VLOOKUP(O211,'학생용 IP'!$C$11:$H$326,5,FALSE),"")</x:f>
        <x:v>10.54.38.106</x:v>
      </x:c>
      <x:c r="J211" s="13"/>
      <x:c r="K211" s="13">
        <x:v>2020.0699999999999</x:v>
      </x:c>
      <x:c r="L211" s="130">
        <x:v>20161017</x:v>
      </x:c>
      <x:c r="M211" s="22">
        <x:v>820000</x:v>
      </x:c>
      <x:c r="N211" s="13" t="s">
        <x:v>1965</x:v>
      </x:c>
      <x:c r="O211" s="13" t="s">
        <x:v>802</x:v>
      </x:c>
      <x:c r="P211" s="202">
        <x:v>700</x:v>
      </x:c>
      <x:c r="Q211" s="13" t="s">
        <x:v>693</x:v>
      </x:c>
      <x:c r="R211" s="13" t="s">
        <x:v>1643</x:v>
      </x:c>
      <x:c r="S211" s="13" t="s">
        <x:v>1525</x:v>
      </x:c>
      <x:c r="T211" s="13" t="s">
        <x:v>1980</x:v>
      </x:c>
      <x:c r="U211" s="13"/>
      <x:c r="V211" s="13" t="s">
        <x:v>739</x:v>
      </x:c>
      <x:c r="W211" s="14"/>
      <x:c r="X211" s="14"/>
      <x:c r="Y211" s="14"/>
      <x:c r="Z211" s="14"/>
    </x:row>
    <x:row r="212" spans="1:26" customHeight="1">
      <x:c r="A212" s="25" t="str">
        <x:f>O212</x:f>
        <x:v>5층 실습용 4</x:v>
      </x:c>
      <x:c r="B212" s="25" t="str">
        <x:f>L212&amp;"-"&amp;TEXT(P212,"0000")</x:f>
        <x:v>20161017-0699</x:v>
      </x:c>
      <x:c r="C212" s="13" t="s">
        <x:v>1978</x:v>
      </x:c>
      <x:c r="D212" s="13" t="s">
        <x:v>1581</x:v>
      </x:c>
      <x:c r="E212" s="13" t="s">
        <x:v>1568</x:v>
      </x:c>
      <x:c r="F212" s="13" t="s">
        <x:v>2181</x:v>
      </x:c>
      <x:c r="G212" s="13" t="s">
        <x:v>2002</x:v>
      </x:c>
      <x:c r="H212" s="202" t="s">
        <x:v>1999</x:v>
      </x:c>
      <x:c r="I212" s="411" t="str">
        <x:f>IFERROR(VLOOKUP(O212,'학생용 IP'!$C$11:$H$326,5,FALSE),"")</x:f>
        <x:v>10.54.38.105</x:v>
      </x:c>
      <x:c r="J212" s="13"/>
      <x:c r="K212" s="13">
        <x:v>2020.0699999999999</x:v>
      </x:c>
      <x:c r="L212" s="130">
        <x:v>20161017</x:v>
      </x:c>
      <x:c r="M212" s="22">
        <x:v>820000</x:v>
      </x:c>
      <x:c r="N212" s="13" t="s">
        <x:v>1965</x:v>
      </x:c>
      <x:c r="O212" s="13" t="s">
        <x:v>776</x:v>
      </x:c>
      <x:c r="P212" s="202">
        <x:v>699</x:v>
      </x:c>
      <x:c r="Q212" s="13" t="s">
        <x:v>693</x:v>
      </x:c>
      <x:c r="R212" s="13" t="s">
        <x:v>1643</x:v>
      </x:c>
      <x:c r="S212" s="13" t="s">
        <x:v>1525</x:v>
      </x:c>
      <x:c r="T212" s="13" t="s">
        <x:v>1980</x:v>
      </x:c>
      <x:c r="U212" s="13"/>
      <x:c r="V212" s="13" t="s">
        <x:v>739</x:v>
      </x:c>
      <x:c r="W212" s="14"/>
      <x:c r="X212" s="14"/>
      <x:c r="Y212" s="14"/>
      <x:c r="Z212" s="14"/>
    </x:row>
    <x:row r="213" spans="1:26" customHeight="1">
      <x:c r="A213" s="25" t="str">
        <x:f>O213</x:f>
        <x:v>5층 실습용 3</x:v>
      </x:c>
      <x:c r="B213" s="25" t="str">
        <x:f>L213&amp;"-"&amp;TEXT(P213,"0000")</x:f>
        <x:v>20161017-0698</x:v>
      </x:c>
      <x:c r="C213" s="13" t="s">
        <x:v>1978</x:v>
      </x:c>
      <x:c r="D213" s="13" t="s">
        <x:v>1581</x:v>
      </x:c>
      <x:c r="E213" s="13" t="s">
        <x:v>1568</x:v>
      </x:c>
      <x:c r="F213" s="13" t="s">
        <x:v>2181</x:v>
      </x:c>
      <x:c r="G213" s="13" t="s">
        <x:v>2002</x:v>
      </x:c>
      <x:c r="H213" s="202" t="s">
        <x:v>1999</x:v>
      </x:c>
      <x:c r="I213" s="411" t="str">
        <x:f>IFERROR(VLOOKUP(O213,'학생용 IP'!$C$11:$H$326,5,FALSE),"")</x:f>
        <x:v>10.54.38.104</x:v>
      </x:c>
      <x:c r="J213" s="13"/>
      <x:c r="K213" s="13">
        <x:v>2020.0699999999999</x:v>
      </x:c>
      <x:c r="L213" s="130">
        <x:v>20161017</x:v>
      </x:c>
      <x:c r="M213" s="22">
        <x:v>820000</x:v>
      </x:c>
      <x:c r="N213" s="13" t="s">
        <x:v>1965</x:v>
      </x:c>
      <x:c r="O213" s="13" t="s">
        <x:v>798</x:v>
      </x:c>
      <x:c r="P213" s="202">
        <x:v>698</x:v>
      </x:c>
      <x:c r="Q213" s="13" t="s">
        <x:v>693</x:v>
      </x:c>
      <x:c r="R213" s="13" t="s">
        <x:v>1643</x:v>
      </x:c>
      <x:c r="S213" s="13" t="s">
        <x:v>1525</x:v>
      </x:c>
      <x:c r="T213" s="13" t="s">
        <x:v>1980</x:v>
      </x:c>
      <x:c r="U213" s="13"/>
      <x:c r="V213" s="13" t="s">
        <x:v>739</x:v>
      </x:c>
      <x:c r="W213" s="14"/>
      <x:c r="X213" s="14"/>
      <x:c r="Y213" s="14"/>
      <x:c r="Z213" s="14"/>
    </x:row>
    <x:row r="214" spans="1:26" customHeight="1">
      <x:c r="A214" s="25" t="str">
        <x:f>O214</x:f>
        <x:v>5층 실습용 2</x:v>
      </x:c>
      <x:c r="B214" s="25" t="str">
        <x:f>L214&amp;"-"&amp;TEXT(P214,"0000")</x:f>
        <x:v>20161017-0697</x:v>
      </x:c>
      <x:c r="C214" s="13" t="s">
        <x:v>1978</x:v>
      </x:c>
      <x:c r="D214" s="13" t="s">
        <x:v>1581</x:v>
      </x:c>
      <x:c r="E214" s="13" t="s">
        <x:v>1568</x:v>
      </x:c>
      <x:c r="F214" s="13" t="s">
        <x:v>2181</x:v>
      </x:c>
      <x:c r="G214" s="13" t="s">
        <x:v>2002</x:v>
      </x:c>
      <x:c r="H214" s="202" t="s">
        <x:v>1999</x:v>
      </x:c>
      <x:c r="I214" s="411" t="str">
        <x:f>IFERROR(VLOOKUP(O214,'학생용 IP'!$C$11:$H$326,5,FALSE),"")</x:f>
        <x:v>10.54.38.103</x:v>
      </x:c>
      <x:c r="J214" s="13"/>
      <x:c r="K214" s="13">
        <x:v>2020.0699999999999</x:v>
      </x:c>
      <x:c r="L214" s="130">
        <x:v>20161017</x:v>
      </x:c>
      <x:c r="M214" s="22">
        <x:v>820000</x:v>
      </x:c>
      <x:c r="N214" s="13" t="s">
        <x:v>1965</x:v>
      </x:c>
      <x:c r="O214" s="13" t="s">
        <x:v>800</x:v>
      </x:c>
      <x:c r="P214" s="202">
        <x:v>697</x:v>
      </x:c>
      <x:c r="Q214" s="13" t="s">
        <x:v>693</x:v>
      </x:c>
      <x:c r="R214" s="13" t="s">
        <x:v>1643</x:v>
      </x:c>
      <x:c r="S214" s="13" t="s">
        <x:v>1525</x:v>
      </x:c>
      <x:c r="T214" s="13" t="s">
        <x:v>1980</x:v>
      </x:c>
      <x:c r="U214" s="13"/>
      <x:c r="V214" s="13" t="s">
        <x:v>739</x:v>
      </x:c>
      <x:c r="W214" s="14"/>
      <x:c r="X214" s="14"/>
      <x:c r="Y214" s="14"/>
      <x:c r="Z214" s="14"/>
    </x:row>
    <x:row r="215" spans="1:26" customHeight="1">
      <x:c r="A215" s="25" t="str">
        <x:f>O215</x:f>
        <x:v>5층 실습용 1</x:v>
      </x:c>
      <x:c r="B215" s="25" t="str">
        <x:f>L215&amp;"-"&amp;TEXT(P215,"0000")</x:f>
        <x:v>20161017-0696</x:v>
      </x:c>
      <x:c r="C215" s="13" t="s">
        <x:v>1978</x:v>
      </x:c>
      <x:c r="D215" s="13" t="s">
        <x:v>1581</x:v>
      </x:c>
      <x:c r="E215" s="13" t="s">
        <x:v>1568</x:v>
      </x:c>
      <x:c r="F215" s="13" t="s">
        <x:v>2181</x:v>
      </x:c>
      <x:c r="G215" s="13" t="s">
        <x:v>2002</x:v>
      </x:c>
      <x:c r="H215" s="202" t="s">
        <x:v>1999</x:v>
      </x:c>
      <x:c r="I215" s="411" t="str">
        <x:f>IFERROR(VLOOKUP(O215,'학생용 IP'!$C$11:$H$326,5,FALSE),"")</x:f>
        <x:v>10.54.38.102</x:v>
      </x:c>
      <x:c r="J215" s="13"/>
      <x:c r="K215" s="13">
        <x:v>2020.0699999999999</x:v>
      </x:c>
      <x:c r="L215" s="130">
        <x:v>20161017</x:v>
      </x:c>
      <x:c r="M215" s="22">
        <x:v>820000</x:v>
      </x:c>
      <x:c r="N215" s="13" t="s">
        <x:v>1965</x:v>
      </x:c>
      <x:c r="O215" s="13" t="s">
        <x:v>829</x:v>
      </x:c>
      <x:c r="P215" s="202">
        <x:v>696</x:v>
      </x:c>
      <x:c r="Q215" s="13" t="s">
        <x:v>693</x:v>
      </x:c>
      <x:c r="R215" s="13" t="s">
        <x:v>1643</x:v>
      </x:c>
      <x:c r="S215" s="13" t="s">
        <x:v>1525</x:v>
      </x:c>
      <x:c r="T215" s="13" t="s">
        <x:v>1980</x:v>
      </x:c>
      <x:c r="U215" s="13"/>
      <x:c r="V215" s="13" t="s">
        <x:v>739</x:v>
      </x:c>
      <x:c r="W215" s="14"/>
      <x:c r="X215" s="14"/>
      <x:c r="Y215" s="14"/>
      <x:c r="Z215" s="14"/>
    </x:row>
    <x:row r="216" spans="1:22" customHeight="1">
      <x:c r="A216" s="25" t="str">
        <x:f>O216</x:f>
        <x:v>구 소해준(공익)</x:v>
      </x:c>
      <x:c r="B216" s="25" t="str">
        <x:f>L216&amp;"-"&amp;TEXT(P216,"0000")</x:f>
        <x:v>20160323-0685</x:v>
      </x:c>
      <x:c r="C216" s="25" t="s">
        <x:v>1564</x:v>
      </x:c>
      <x:c r="D216" s="25" t="s">
        <x:v>1533</x:v>
      </x:c>
      <x:c r="E216" s="25" t="s">
        <x:v>3145</x:v>
      </x:c>
      <x:c r="F216" s="25" t="s">
        <x:v>2173</x:v>
      </x:c>
      <x:c r="G216" s="25" t="s">
        <x:v>1289</x:v>
      </x:c>
      <x:c r="H216" s="157" t="str">
        <x:f>IFERROR(VLOOKUP(O216,'정보화기기 명부'!A$2:B$187,2,FALSE),"")</x:f>
        <x:v/>
      </x:c>
      <x:c r="I216" s="124" t="str">
        <x:f>IFERROR(VLOOKUP(A216,'교직원용 IP'!$C$2:$H$230,6,FALSE),"")</x:f>
        <x:v/>
      </x:c>
      <x:c r="J216" s="25"/>
      <x:c r="K216" s="116">
        <x:v>2022.0799999999999</x:v>
      </x:c>
      <x:c r="L216" s="127">
        <x:v>20160323</x:v>
      </x:c>
      <x:c r="M216" s="123">
        <x:v>1060000</x:v>
      </x:c>
      <x:c r="N216" s="25" t="s">
        <x:v>2034</x:v>
      </x:c>
      <x:c r="O216" s="25" t="s">
        <x:v>721</x:v>
      </x:c>
      <x:c r="P216" s="157">
        <x:v>685</x:v>
      </x:c>
      <x:c r="Q216" s="25" t="s">
        <x:v>1122</x:v>
      </x:c>
      <x:c r="R216" s="25" t="s">
        <x:v>1690</x:v>
      </x:c>
      <x:c r="S216" s="25" t="s">
        <x:v>1628</x:v>
      </x:c>
      <x:c r="T216" s="25" t="s">
        <x:v>2037</x:v>
      </x:c>
      <x:c r="U216" s="25"/>
      <x:c r="V216" s="25" t="s">
        <x:v>2030</x:v>
      </x:c>
    </x:row>
    <x:row r="217" spans="1:22" customHeight="1">
      <x:c r="A217" s="25" t="str">
        <x:f>O217</x:f>
        <x:v>구 윤국선</x:v>
      </x:c>
      <x:c r="B217" s="25" t="str">
        <x:f>L217&amp;"-"&amp;TEXT(P217,"0000")</x:f>
        <x:v>20160323-0686</x:v>
      </x:c>
      <x:c r="C217" s="25" t="s">
        <x:v>1564</x:v>
      </x:c>
      <x:c r="D217" s="25" t="s">
        <x:v>1533</x:v>
      </x:c>
      <x:c r="E217" s="25" t="s">
        <x:v>1251</x:v>
      </x:c>
      <x:c r="F217" s="25" t="s">
        <x:v>2173</x:v>
      </x:c>
      <x:c r="G217" s="25" t="s">
        <x:v>1289</x:v>
      </x:c>
      <x:c r="H217" s="157" t="str">
        <x:f>IFERROR(VLOOKUP(O217,'정보화기기 명부'!A$2:B$187,2,FALSE),"")</x:f>
        <x:v/>
      </x:c>
      <x:c r="I217" s="124" t="str">
        <x:f>IFERROR(VLOOKUP(A217,'교직원용 IP'!$C$2:$H$230,6,FALSE),"")</x:f>
        <x:v/>
      </x:c>
      <x:c r="J217" s="25"/>
      <x:c r="K217" s="116">
        <x:v>2022.0799999999999</x:v>
      </x:c>
      <x:c r="L217" s="128">
        <x:v>20160323</x:v>
      </x:c>
      <x:c r="M217" s="123">
        <x:v>1060000</x:v>
      </x:c>
      <x:c r="N217" s="25" t="s">
        <x:v>2034</x:v>
      </x:c>
      <x:c r="O217" s="25" t="s">
        <x:v>1625</x:v>
      </x:c>
      <x:c r="P217" s="157">
        <x:v>686</x:v>
      </x:c>
      <x:c r="Q217" s="25" t="s">
        <x:v>1122</x:v>
      </x:c>
      <x:c r="R217" s="25" t="s">
        <x:v>1690</x:v>
      </x:c>
      <x:c r="S217" s="25" t="s">
        <x:v>1628</x:v>
      </x:c>
      <x:c r="T217" s="25" t="s">
        <x:v>2037</x:v>
      </x:c>
      <x:c r="U217" s="25"/>
      <x:c r="V217" s="25" t="s">
        <x:v>2030</x:v>
      </x:c>
    </x:row>
    <x:row r="218" spans="1:22" customHeight="1">
      <x:c r="A218" s="25" t="str">
        <x:f>O218</x:f>
        <x:v>구 순회교사</x:v>
      </x:c>
      <x:c r="B218" s="25" t="str">
        <x:f>L218&amp;"-"&amp;TEXT(P218,"0000")</x:f>
        <x:v>20160323-0687</x:v>
      </x:c>
      <x:c r="C218" s="25" t="s">
        <x:v>1564</x:v>
      </x:c>
      <x:c r="D218" s="25" t="s">
        <x:v>1533</x:v>
      </x:c>
      <x:c r="E218" s="25" t="s">
        <x:v>1251</x:v>
      </x:c>
      <x:c r="F218" s="25" t="s">
        <x:v>2173</x:v>
      </x:c>
      <x:c r="G218" s="25" t="s">
        <x:v>1289</x:v>
      </x:c>
      <x:c r="H218" s="157" t="str">
        <x:f>IFERROR(VLOOKUP(O218,'정보화기기 명부'!A$2:B$187,2,FALSE),"")</x:f>
        <x:v/>
      </x:c>
      <x:c r="I218" s="124" t="str">
        <x:f>IFERROR(VLOOKUP(A218,'교직원용 IP'!$C$2:$H$230,6,FALSE),"")</x:f>
        <x:v/>
      </x:c>
      <x:c r="J218" s="25" t="s">
        <x:v>1558</x:v>
      </x:c>
      <x:c r="K218" s="116">
        <x:v>2022.0799999999999</x:v>
      </x:c>
      <x:c r="L218" s="127">
        <x:v>20160323</x:v>
      </x:c>
      <x:c r="M218" s="123">
        <x:v>1060000</x:v>
      </x:c>
      <x:c r="N218" s="25" t="s">
        <x:v>2034</x:v>
      </x:c>
      <x:c r="O218" s="25" t="s">
        <x:v>1665</x:v>
      </x:c>
      <x:c r="P218" s="157">
        <x:v>687</x:v>
      </x:c>
      <x:c r="Q218" s="25" t="s">
        <x:v>1122</x:v>
      </x:c>
      <x:c r="R218" s="25" t="s">
        <x:v>1690</x:v>
      </x:c>
      <x:c r="S218" s="25" t="s">
        <x:v>1628</x:v>
      </x:c>
      <x:c r="T218" s="25" t="s">
        <x:v>2037</x:v>
      </x:c>
      <x:c r="U218" s="25"/>
      <x:c r="V218" s="25" t="s">
        <x:v>2030</x:v>
      </x:c>
    </x:row>
    <x:row r="219" spans="1:22" customHeight="1">
      <x:c r="A219" s="25" t="str">
        <x:f>O219</x:f>
        <x:v>구 탁지완</x:v>
      </x:c>
      <x:c r="B219" s="25" t="str">
        <x:f>L219&amp;"-"&amp;TEXT(P219,"0000")</x:f>
        <x:v>20160323-0688</x:v>
      </x:c>
      <x:c r="C219" s="25" t="s">
        <x:v>1564</x:v>
      </x:c>
      <x:c r="D219" s="25" t="s">
        <x:v>1533</x:v>
      </x:c>
      <x:c r="E219" s="25" t="s">
        <x:v>1552</x:v>
      </x:c>
      <x:c r="F219" s="25" t="s">
        <x:v>2173</x:v>
      </x:c>
      <x:c r="G219" s="25" t="s">
        <x:v>1289</x:v>
      </x:c>
      <x:c r="H219" s="124" t="str">
        <x:f>IFERROR(VLOOKUP(O219,'정보화기기 명부'!A$2:B$187,2,FALSE),"")</x:f>
        <x:v/>
      </x:c>
      <x:c r="I219" s="124" t="str">
        <x:f>IFERROR(VLOOKUP(A219,'교직원용 IP'!$C$2:$H$230,6,FALSE),"")</x:f>
        <x:v/>
      </x:c>
      <x:c r="J219" s="25"/>
      <x:c r="K219" s="116">
        <x:v>2022.0799999999999</x:v>
      </x:c>
      <x:c r="L219" s="127">
        <x:v>20160323</x:v>
      </x:c>
      <x:c r="M219" s="123">
        <x:v>1060000</x:v>
      </x:c>
      <x:c r="N219" s="25" t="s">
        <x:v>2034</x:v>
      </x:c>
      <x:c r="O219" s="25" t="s">
        <x:v>2113</x:v>
      </x:c>
      <x:c r="P219" s="157">
        <x:v>688</x:v>
      </x:c>
      <x:c r="Q219" s="25" t="s">
        <x:v>1122</x:v>
      </x:c>
      <x:c r="R219" s="25" t="s">
        <x:v>1690</x:v>
      </x:c>
      <x:c r="S219" s="25" t="s">
        <x:v>1628</x:v>
      </x:c>
      <x:c r="T219" s="25" t="s">
        <x:v>2037</x:v>
      </x:c>
      <x:c r="U219" s="25"/>
      <x:c r="V219" s="25" t="s">
        <x:v>2030</x:v>
      </x:c>
    </x:row>
    <x:row r="220" spans="1:22" customHeight="1">
      <x:c r="A220" s="25" t="str">
        <x:f>O220</x:f>
        <x:v>구 최재희</x:v>
      </x:c>
      <x:c r="B220" s="25" t="str">
        <x:f>L220&amp;"-"&amp;TEXT(P220,"0000")</x:f>
        <x:v>20160323-0689</x:v>
      </x:c>
      <x:c r="C220" s="25" t="s">
        <x:v>1564</x:v>
      </x:c>
      <x:c r="D220" s="25" t="s">
        <x:v>1533</x:v>
      </x:c>
      <x:c r="E220" s="25" t="s">
        <x:v>1251</x:v>
      </x:c>
      <x:c r="F220" s="25" t="s">
        <x:v>2173</x:v>
      </x:c>
      <x:c r="G220" s="25" t="s">
        <x:v>1289</x:v>
      </x:c>
      <x:c r="H220" s="25" t="str">
        <x:f>IFERROR(VLOOKUP(O220,'정보화기기 명부'!A$2:B$187,2,FALSE),"")</x:f>
        <x:v/>
      </x:c>
      <x:c r="I220" s="124" t="str">
        <x:f>IFERROR(VLOOKUP(A220,'교직원용 IP'!$C$2:$H$230,6,FALSE),"")</x:f>
        <x:v/>
      </x:c>
      <x:c r="J220" s="25"/>
      <x:c r="K220" s="116">
        <x:v>2022.0799999999999</x:v>
      </x:c>
      <x:c r="L220" s="127">
        <x:v>20160323</x:v>
      </x:c>
      <x:c r="M220" s="123">
        <x:v>1060000</x:v>
      </x:c>
      <x:c r="N220" s="25" t="s">
        <x:v>2034</x:v>
      </x:c>
      <x:c r="O220" s="25" t="s">
        <x:v>1685</x:v>
      </x:c>
      <x:c r="P220" s="157">
        <x:v>689</x:v>
      </x:c>
      <x:c r="Q220" s="25" t="s">
        <x:v>1122</x:v>
      </x:c>
      <x:c r="R220" s="25" t="s">
        <x:v>1690</x:v>
      </x:c>
      <x:c r="S220" s="25" t="s">
        <x:v>1628</x:v>
      </x:c>
      <x:c r="T220" s="25" t="s">
        <x:v>2037</x:v>
      </x:c>
      <x:c r="U220" s="25"/>
      <x:c r="V220" s="25" t="s">
        <x:v>2030</x:v>
      </x:c>
    </x:row>
    <x:row r="221" spans="1:22" customHeight="1">
      <x:c r="A221" s="25" t="str">
        <x:f>O221</x:f>
        <x:v>구 김강일</x:v>
      </x:c>
      <x:c r="B221" s="25" t="str">
        <x:f>L221&amp;"-"&amp;TEXT(P221,"0000")</x:f>
        <x:v>20160323-0690</x:v>
      </x:c>
      <x:c r="C221" s="25" t="s">
        <x:v>1564</x:v>
      </x:c>
      <x:c r="D221" s="25" t="s">
        <x:v>1533</x:v>
      </x:c>
      <x:c r="E221" s="25" t="s">
        <x:v>1251</x:v>
      </x:c>
      <x:c r="F221" s="25" t="s">
        <x:v>2173</x:v>
      </x:c>
      <x:c r="G221" s="25" t="s">
        <x:v>1529</x:v>
      </x:c>
      <x:c r="H221" s="157" t="str">
        <x:f>IFERROR(VLOOKUP(O221,'정보화기기 명부'!A$2:B$187,2,FALSE),"")</x:f>
        <x:v/>
      </x:c>
      <x:c r="I221" s="124" t="str">
        <x:f>IFERROR(VLOOKUP(A221,'교직원용 IP'!$C$2:$H$230,6,FALSE),"")</x:f>
        <x:v/>
      </x:c>
      <x:c r="J221" s="25"/>
      <x:c r="K221" s="116">
        <x:v>2022.0799999999999</x:v>
      </x:c>
      <x:c r="L221" s="127">
        <x:v>20160323</x:v>
      </x:c>
      <x:c r="M221" s="123">
        <x:v>1060000</x:v>
      </x:c>
      <x:c r="N221" s="25" t="s">
        <x:v>2034</x:v>
      </x:c>
      <x:c r="O221" s="25" t="s">
        <x:v>1638</x:v>
      </x:c>
      <x:c r="P221" s="157">
        <x:v>690</x:v>
      </x:c>
      <x:c r="Q221" s="25" t="s">
        <x:v>1122</x:v>
      </x:c>
      <x:c r="R221" s="25" t="s">
        <x:v>1690</x:v>
      </x:c>
      <x:c r="S221" s="25" t="s">
        <x:v>1628</x:v>
      </x:c>
      <x:c r="T221" s="25" t="s">
        <x:v>2037</x:v>
      </x:c>
      <x:c r="U221" s="25"/>
      <x:c r="V221" s="25" t="s">
        <x:v>2030</x:v>
      </x:c>
    </x:row>
    <x:row r="222" spans="1:22" customHeight="1">
      <x:c r="A222" s="25" t="str">
        <x:f>O222</x:f>
        <x:v>주문형 강좌</x:v>
      </x:c>
      <x:c r="B222" s="25" t="str">
        <x:f>L222&amp;"-"&amp;TEXT(P222,"0000")</x:f>
        <x:v>20160323-0691</x:v>
      </x:c>
      <x:c r="C222" s="25" t="s">
        <x:v>1564</x:v>
      </x:c>
      <x:c r="D222" s="25" t="s">
        <x:v>1533</x:v>
      </x:c>
      <x:c r="E222" s="25" t="s">
        <x:v>1251</x:v>
      </x:c>
      <x:c r="F222" s="25" t="s">
        <x:v>2173</x:v>
      </x:c>
      <x:c r="G222" s="25" t="s">
        <x:v>1289</x:v>
      </x:c>
      <x:c r="H222" s="157" t="str">
        <x:f>IFERROR(VLOOKUP(O222,'정보화기기 명부'!A$2:B$187,2,FALSE),"")</x:f>
        <x:v/>
      </x:c>
      <x:c r="I222" s="124" t="str">
        <x:f>IFERROR(VLOOKUP(A222,'교직원용 IP'!$C$2:$H$230,6,FALSE),"")</x:f>
        <x:v/>
      </x:c>
      <x:c r="J222" s="25"/>
      <x:c r="K222" s="116">
        <x:v>2022.0799999999999</x:v>
      </x:c>
      <x:c r="L222" s="127">
        <x:v>20160323</x:v>
      </x:c>
      <x:c r="M222" s="123">
        <x:v>1060000</x:v>
      </x:c>
      <x:c r="N222" s="25" t="s">
        <x:v>2034</x:v>
      </x:c>
      <x:c r="O222" s="25" t="s">
        <x:v>2106</x:v>
      </x:c>
      <x:c r="P222" s="157">
        <x:v>691</x:v>
      </x:c>
      <x:c r="Q222" s="25" t="s">
        <x:v>1122</x:v>
      </x:c>
      <x:c r="R222" s="25" t="s">
        <x:v>1690</x:v>
      </x:c>
      <x:c r="S222" s="25" t="s">
        <x:v>1628</x:v>
      </x:c>
      <x:c r="T222" s="25" t="s">
        <x:v>2037</x:v>
      </x:c>
      <x:c r="U222" s="25"/>
      <x:c r="V222" s="25" t="s">
        <x:v>2030</x:v>
      </x:c>
    </x:row>
    <x:row r="223" spans="1:26" s="14" customFormat="1" customHeight="1">
      <x:c r="A223" s="25" t="str">
        <x:f>O223</x:f>
        <x:v>구 박혜리</x:v>
      </x:c>
      <x:c r="B223" s="25" t="str">
        <x:f>L223&amp;"-"&amp;TEXT(P223,"0000")</x:f>
        <x:v>20160323-0692</x:v>
      </x:c>
      <x:c r="C223" s="25" t="s">
        <x:v>1564</x:v>
      </x:c>
      <x:c r="D223" s="25" t="s">
        <x:v>1637</x:v>
      </x:c>
      <x:c r="E223" s="25" t="s">
        <x:v>1251</x:v>
      </x:c>
      <x:c r="F223" s="25" t="s">
        <x:v>2173</x:v>
      </x:c>
      <x:c r="G223" s="25" t="s">
        <x:v>1289</x:v>
      </x:c>
      <x:c r="H223" s="25" t="s">
        <x:v>858</x:v>
      </x:c>
      <x:c r="I223" s="124" t="str">
        <x:f>IFERROR(VLOOKUP(A223,'교직원용 IP'!$C$2:$H$230,6,FALSE),"")</x:f>
        <x:v/>
      </x:c>
      <x:c r="J223" s="25" t="s">
        <x:v>1630</x:v>
      </x:c>
      <x:c r="K223" s="116">
        <x:v>2022.0799999999999</x:v>
      </x:c>
      <x:c r="L223" s="127">
        <x:v>20160323</x:v>
      </x:c>
      <x:c r="M223" s="123">
        <x:v>1060000</x:v>
      </x:c>
      <x:c r="N223" s="25" t="s">
        <x:v>2034</x:v>
      </x:c>
      <x:c r="O223" s="25" t="s">
        <x:v>1629</x:v>
      </x:c>
      <x:c r="P223" s="157">
        <x:v>692</x:v>
      </x:c>
      <x:c r="Q223" s="25" t="s">
        <x:v>1122</x:v>
      </x:c>
      <x:c r="R223" s="25" t="s">
        <x:v>1690</x:v>
      </x:c>
      <x:c r="S223" s="25" t="s">
        <x:v>1628</x:v>
      </x:c>
      <x:c r="T223" s="25" t="s">
        <x:v>2037</x:v>
      </x:c>
      <x:c r="U223" s="25"/>
      <x:c r="V223" s="25" t="s">
        <x:v>2030</x:v>
      </x:c>
      <x:c r="W223" s="91"/>
      <x:c r="X223" s="91"/>
      <x:c r="Y223" s="91"/>
      <x:c r="Z223" s="91"/>
    </x:row>
    <x:row r="224" spans="1:26" s="14" customFormat="1" customHeight="1">
      <x:c r="A224" s="25" t="str">
        <x:f>O224</x:f>
        <x:v>무선망 AP 관리용</x:v>
      </x:c>
      <x:c r="B224" s="25" t="str">
        <x:f>L224&amp;"-"&amp;TEXT(P224,"0000")</x:f>
        <x:v>20160323-0693</x:v>
      </x:c>
      <x:c r="C224" s="25" t="s">
        <x:v>1564</x:v>
      </x:c>
      <x:c r="D224" s="25" t="s">
        <x:v>1637</x:v>
      </x:c>
      <x:c r="E224" s="25" t="s">
        <x:v>1251</x:v>
      </x:c>
      <x:c r="F224" s="25" t="s">
        <x:v>2173</x:v>
      </x:c>
      <x:c r="G224" s="25" t="s">
        <x:v>1289</x:v>
      </x:c>
      <x:c r="H224" s="89" t="str">
        <x:f>IFERROR(VLOOKUP(O224,'정보화기기 명부'!A$2:B$187,2,FALSE),"")</x:f>
        <x:v>정보교육부</x:v>
      </x:c>
      <x:c r="I224" s="124" t="str">
        <x:f>IFERROR(VLOOKUP(A224,'교직원용 IP'!$C$2:$H$230,6,FALSE),"")</x:f>
        <x:v/>
      </x:c>
      <x:c r="J224" s="25"/>
      <x:c r="K224" s="116">
        <x:v>2022.0799999999999</x:v>
      </x:c>
      <x:c r="L224" s="127">
        <x:v>20160323</x:v>
      </x:c>
      <x:c r="M224" s="123">
        <x:v>1060000</x:v>
      </x:c>
      <x:c r="N224" s="25" t="s">
        <x:v>2034</x:v>
      </x:c>
      <x:c r="O224" s="25" t="s">
        <x:v>804</x:v>
      </x:c>
      <x:c r="P224" s="157">
        <x:v>693</x:v>
      </x:c>
      <x:c r="Q224" s="25" t="s">
        <x:v>1122</x:v>
      </x:c>
      <x:c r="R224" s="25" t="s">
        <x:v>1690</x:v>
      </x:c>
      <x:c r="S224" s="25" t="s">
        <x:v>1628</x:v>
      </x:c>
      <x:c r="T224" s="25" t="s">
        <x:v>2037</x:v>
      </x:c>
      <x:c r="U224" s="25"/>
      <x:c r="V224" s="25" t="s">
        <x:v>2030</x:v>
      </x:c>
      <x:c r="W224" s="91"/>
      <x:c r="X224" s="91"/>
      <x:c r="Y224" s="91"/>
      <x:c r="Z224" s="91"/>
    </x:row>
    <x:row r="225" spans="1:26" s="14" customFormat="1" customHeight="1">
      <x:c r="A225" s="25" t="str">
        <x:f>O225</x:f>
        <x:v>구 유영복</x:v>
      </x:c>
      <x:c r="B225" s="25" t="str">
        <x:f>L225&amp;"-"&amp;TEXT(P225,"0000")</x:f>
        <x:v>20160323-0694</x:v>
      </x:c>
      <x:c r="C225" s="25" t="s">
        <x:v>1564</x:v>
      </x:c>
      <x:c r="D225" s="25" t="s">
        <x:v>1637</x:v>
      </x:c>
      <x:c r="E225" s="25" t="s">
        <x:v>1251</x:v>
      </x:c>
      <x:c r="F225" s="25" t="s">
        <x:v>2173</x:v>
      </x:c>
      <x:c r="G225" s="25" t="s">
        <x:v>1289</x:v>
      </x:c>
      <x:c r="H225" s="25" t="str">
        <x:f>IFERROR(VLOOKUP(O225,'정보화기기 명부'!A$2:B$187,2,FALSE),"")</x:f>
        <x:v/>
      </x:c>
      <x:c r="I225" s="207" t="str">
        <x:f>IFERROR(VLOOKUP(A225,'교직원용 IP'!$C$2:$H$230,6,FALSE),"")</x:f>
        <x:v/>
      </x:c>
      <x:c r="J225" s="89" t="s">
        <x:v>756</x:v>
      </x:c>
      <x:c r="K225" s="116">
        <x:v>2022.0799999999999</x:v>
      </x:c>
      <x:c r="L225" s="127">
        <x:v>20160323</x:v>
      </x:c>
      <x:c r="M225" s="123">
        <x:v>1060000</x:v>
      </x:c>
      <x:c r="N225" s="25" t="s">
        <x:v>2034</x:v>
      </x:c>
      <x:c r="O225" s="25" t="s">
        <x:v>1619</x:v>
      </x:c>
      <x:c r="P225" s="157">
        <x:v>694</x:v>
      </x:c>
      <x:c r="Q225" s="25" t="s">
        <x:v>1122</x:v>
      </x:c>
      <x:c r="R225" s="25" t="s">
        <x:v>1690</x:v>
      </x:c>
      <x:c r="S225" s="25" t="s">
        <x:v>1628</x:v>
      </x:c>
      <x:c r="T225" s="25" t="s">
        <x:v>2037</x:v>
      </x:c>
      <x:c r="U225" s="25"/>
      <x:c r="V225" s="25" t="s">
        <x:v>2030</x:v>
      </x:c>
      <x:c r="W225" s="91"/>
      <x:c r="X225" s="91"/>
      <x:c r="Y225" s="91"/>
      <x:c r="Z225" s="91"/>
    </x:row>
    <x:row r="226" spans="1:26" s="14" customFormat="1" customHeight="1">
      <x:c r="A226" s="25" t="str">
        <x:f>O226</x:f>
        <x:v>진로탐색용</x:v>
      </x:c>
      <x:c r="B226" s="25" t="str">
        <x:f>L226&amp;"-"&amp;TEXT(P226,"0000")</x:f>
        <x:v>20160323-0695</x:v>
      </x:c>
      <x:c r="C226" s="25" t="s">
        <x:v>1564</x:v>
      </x:c>
      <x:c r="D226" s="25" t="s">
        <x:v>1581</x:v>
      </x:c>
      <x:c r="E226" s="25" t="s">
        <x:v>1568</x:v>
      </x:c>
      <x:c r="F226" s="25" t="s">
        <x:v>2128</x:v>
      </x:c>
      <x:c r="G226" s="25" t="s">
        <x:v>1289</x:v>
      </x:c>
      <x:c r="H226" s="25" t="str">
        <x:f>IFERROR(VLOOKUP(O226,'정보화기기 명부'!A$2:B$187,2,FALSE),"")</x:f>
        <x:v>진로진학상담부</x:v>
      </x:c>
      <x:c r="I226" s="196" t="str">
        <x:f>IFERROR(VLOOKUP(O226,'학생용 IP'!$C$11:$H$326,5,FALSE),"")</x:f>
        <x:v>10.54.36.100</x:v>
      </x:c>
      <x:c r="J226" s="25"/>
      <x:c r="K226" s="260"/>
      <x:c r="L226" s="127">
        <x:v>20160323</x:v>
      </x:c>
      <x:c r="M226" s="123">
        <x:v>1060000</x:v>
      </x:c>
      <x:c r="N226" s="25" t="s">
        <x:v>2034</x:v>
      </x:c>
      <x:c r="O226" s="25" t="s">
        <x:v>1642</x:v>
      </x:c>
      <x:c r="P226" s="157">
        <x:v>695</x:v>
      </x:c>
      <x:c r="Q226" s="25" t="s">
        <x:v>1122</x:v>
      </x:c>
      <x:c r="R226" s="25" t="s">
        <x:v>1690</x:v>
      </x:c>
      <x:c r="S226" s="25" t="s">
        <x:v>3156</x:v>
      </x:c>
      <x:c r="T226" s="25" t="s">
        <x:v>1980</x:v>
      </x:c>
      <x:c r="U226" s="25"/>
      <x:c r="V226" s="25" t="s">
        <x:v>2030</x:v>
      </x:c>
      <x:c r="W226" s="91"/>
      <x:c r="X226" s="91"/>
      <x:c r="Y226" s="91"/>
      <x:c r="Z226" s="91"/>
    </x:row>
    <x:row r="227" spans="1:26" s="14" customFormat="1" customHeight="1">
      <x:c r="A227" s="25" t="str">
        <x:f>O227</x:f>
        <x:v>구 김영훈</x:v>
      </x:c>
      <x:c r="B227" s="25" t="str">
        <x:f>L227&amp;"-"&amp;TEXT(P227,"0000")</x:f>
        <x:v>20160115-0765</x:v>
      </x:c>
      <x:c r="C227" s="25" t="s">
        <x:v>1978</x:v>
      </x:c>
      <x:c r="D227" s="25" t="s">
        <x:v>1533</x:v>
      </x:c>
      <x:c r="E227" s="25" t="s">
        <x:v>1552</x:v>
      </x:c>
      <x:c r="F227" s="25" t="s">
        <x:v>1649</x:v>
      </x:c>
      <x:c r="G227" s="25" t="s">
        <x:v>1536</x:v>
      </x:c>
      <x:c r="H227" s="25" t="str">
        <x:f>IFERROR(VLOOKUP(O227,'정보화기기 명부'!A$2:B$187,2,FALSE),"")</x:f>
        <x:v/>
      </x:c>
      <x:c r="I227" s="207" t="str">
        <x:f>IFERROR(VLOOKUP(A227,'교직원용 IP'!$C$2:$H$230,6,FALSE),"")</x:f>
        <x:v/>
      </x:c>
      <x:c r="J227" s="25"/>
      <x:c r="K227" s="25">
        <x:v>2020.1099999999999</x:v>
      </x:c>
      <x:c r="L227" s="131">
        <x:v>20160115</x:v>
      </x:c>
      <x:c r="M227" s="123">
        <x:v>669090</x:v>
      </x:c>
      <x:c r="N227" s="25" t="s">
        <x:v>2034</x:v>
      </x:c>
      <x:c r="O227" s="25" t="s">
        <x:v>1633</x:v>
      </x:c>
      <x:c r="P227" s="157">
        <x:v>765</x:v>
      </x:c>
      <x:c r="Q227" s="25" t="s">
        <x:v>693</x:v>
      </x:c>
      <x:c r="R227" s="25" t="s">
        <x:v>2107</x:v>
      </x:c>
      <x:c r="S227" s="25" t="s">
        <x:v>1525</x:v>
      </x:c>
      <x:c r="T227" s="25" t="s">
        <x:v>1644</x:v>
      </x:c>
      <x:c r="U227" s="25"/>
      <x:c r="V227" s="25" t="s">
        <x:v>739</x:v>
      </x:c>
      <x:c r="W227" s="91" t="s">
        <x:v>1673</x:v>
      </x:c>
      <x:c r="X227" s="91" t="s">
        <x:v>742</x:v>
      </x:c>
      <x:c r="Y227" s="91"/>
      <x:c r="Z227" s="91"/>
    </x:row>
    <x:row r="228" spans="1:26" s="14" customFormat="1" customHeight="1">
      <x:c r="A228" s="25" t="str">
        <x:f>O228</x:f>
        <x:v>구 서해니</x:v>
      </x:c>
      <x:c r="B228" s="25" t="str">
        <x:f>L228&amp;"-"&amp;TEXT(P228,"0000")</x:f>
        <x:v>20160115-0764</x:v>
      </x:c>
      <x:c r="C228" s="25" t="s">
        <x:v>1978</x:v>
      </x:c>
      <x:c r="D228" s="25" t="s">
        <x:v>1533</x:v>
      </x:c>
      <x:c r="E228" s="25" t="s">
        <x:v>1552</x:v>
      </x:c>
      <x:c r="F228" s="25" t="s">
        <x:v>1649</x:v>
      </x:c>
      <x:c r="G228" s="25" t="s">
        <x:v>1536</x:v>
      </x:c>
      <x:c r="H228" s="207" t="str">
        <x:f>IFERROR(VLOOKUP(O228,'정보화기기 명부'!A$2:B$187,2,FALSE),"")</x:f>
        <x:v/>
      </x:c>
      <x:c r="I228" s="207" t="str">
        <x:f>IFERROR(VLOOKUP(A228,'교직원용 IP'!$C$2:$H$230,6,FALSE),"")</x:f>
        <x:v/>
      </x:c>
      <x:c r="J228" s="25"/>
      <x:c r="K228" s="116">
        <x:v>2022.0799999999999</x:v>
      </x:c>
      <x:c r="L228" s="127">
        <x:v>20160115</x:v>
      </x:c>
      <x:c r="M228" s="123">
        <x:v>1055385</x:v>
      </x:c>
      <x:c r="N228" s="25" t="s">
        <x:v>2034</x:v>
      </x:c>
      <x:c r="O228" s="25" t="s">
        <x:v>1698</x:v>
      </x:c>
      <x:c r="P228" s="157">
        <x:v>764</x:v>
      </x:c>
      <x:c r="Q228" s="25" t="s">
        <x:v>693</x:v>
      </x:c>
      <x:c r="R228" s="25" t="s">
        <x:v>2107</x:v>
      </x:c>
      <x:c r="S228" s="25" t="s">
        <x:v>1525</x:v>
      </x:c>
      <x:c r="T228" s="25" t="s">
        <x:v>1682</x:v>
      </x:c>
      <x:c r="U228" s="25"/>
      <x:c r="V228" s="25" t="s">
        <x:v>739</x:v>
      </x:c>
      <x:c r="W228" s="91" t="s">
        <x:v>1673</x:v>
      </x:c>
      <x:c r="X228" s="91" t="s">
        <x:v>742</x:v>
      </x:c>
      <x:c r="Y228" s="91"/>
      <x:c r="Z228" s="91"/>
    </x:row>
    <x:row r="229" spans="1:26" s="14" customFormat="1" customHeight="1">
      <x:c r="A229" s="117" t="str">
        <x:f>O229</x:f>
        <x:v>황종수</x:v>
      </x:c>
      <x:c r="B229" s="25" t="str">
        <x:f>L229&amp;"-"&amp;TEXT(P229,"0000")</x:f>
        <x:v>20160107-0774</x:v>
      </x:c>
      <x:c r="C229" s="25" t="s">
        <x:v>1978</x:v>
      </x:c>
      <x:c r="D229" s="25" t="s">
        <x:v>1581</x:v>
      </x:c>
      <x:c r="E229" s="25" t="s">
        <x:v>3145</x:v>
      </x:c>
      <x:c r="F229" s="25" t="s">
        <x:v>790</x:v>
      </x:c>
      <x:c r="G229" s="25" t="s">
        <x:v>2038</x:v>
      </x:c>
      <x:c r="H229" s="207" t="str">
        <x:f>IFERROR(VLOOKUP(O229,'정보화기기 명부'!A$2:B$187,2,FALSE),"")</x:f>
        <x:v>야구부합숙소</x:v>
      </x:c>
      <x:c r="I229" s="207" t="str">
        <x:f>IFERROR(VLOOKUP(O229,'교직원용 IP'!$C$2:$H$230,6,FALSE),"")</x:f>
        <x:v>10.51.90.147</x:v>
      </x:c>
      <x:c r="J229" s="25"/>
      <x:c r="K229" s="25"/>
      <x:c r="L229" s="127">
        <x:v>20160107</x:v>
      </x:c>
      <x:c r="M229" s="123">
        <x:v>1085540</x:v>
      </x:c>
      <x:c r="N229" s="25" t="s">
        <x:v>2034</x:v>
      </x:c>
      <x:c r="O229" s="25" t="s">
        <x:v>1566</x:v>
      </x:c>
      <x:c r="P229" s="157">
        <x:v>774</x:v>
      </x:c>
      <x:c r="Q229" s="25" t="s">
        <x:v>1122</x:v>
      </x:c>
      <x:c r="R229" s="25" t="s">
        <x:v>2107</x:v>
      </x:c>
      <x:c r="S229" s="25" t="s">
        <x:v>1525</x:v>
      </x:c>
      <x:c r="T229" s="25" t="s">
        <x:v>2031</x:v>
      </x:c>
      <x:c r="U229" s="25"/>
      <x:c r="V229" s="25" t="s">
        <x:v>739</x:v>
      </x:c>
      <x:c r="W229" s="91" t="s">
        <x:v>1667</x:v>
      </x:c>
      <x:c r="X229" s="91" t="s">
        <x:v>742</x:v>
      </x:c>
      <x:c r="Y229" s="91"/>
      <x:c r="Z229" s="91"/>
    </x:row>
    <x:row r="230" spans="1:26" s="14" customFormat="1" customHeight="1">
      <x:c r="A230" s="25" t="str">
        <x:f>O230</x:f>
        <x:v>동영상 편집용</x:v>
      </x:c>
      <x:c r="B230" s="25" t="str">
        <x:f>L230&amp;"-"&amp;TEXT(P230,"0000")</x:f>
        <x:v>20151218-0771</x:v>
      </x:c>
      <x:c r="C230" s="25" t="s">
        <x:v>1978</x:v>
      </x:c>
      <x:c r="D230" s="25" t="s">
        <x:v>1533</x:v>
      </x:c>
      <x:c r="E230" s="25" t="s">
        <x:v>1568</x:v>
      </x:c>
      <x:c r="F230" s="25" t="s">
        <x:v>795</x:v>
      </x:c>
      <x:c r="G230" s="25" t="s">
        <x:v>1517</x:v>
      </x:c>
      <x:c r="H230" s="25" t="str">
        <x:f>IFERROR(VLOOKUP(O230,'정보화기기 명부'!A$2:B$187,2,FALSE),"")</x:f>
        <x:v>방송실</x:v>
      </x:c>
      <x:c r="I230" s="207" t="str">
        <x:f>IFERROR(VLOOKUP(O230,'교직원용 IP'!$C$2:$H$230,6,FALSE),"")</x:f>
        <x:v/>
      </x:c>
      <x:c r="J230" s="25" t="s">
        <x:v>1640</x:v>
      </x:c>
      <x:c r="K230" s="25">
        <x:v>2021.0999999999999</x:v>
      </x:c>
      <x:c r="L230" s="25">
        <x:v>20151218</x:v>
      </x:c>
      <x:c r="M230" s="123">
        <x:v>818000</x:v>
      </x:c>
      <x:c r="N230" s="25" t="s">
        <x:v>1965</x:v>
      </x:c>
      <x:c r="O230" s="25" t="s">
        <x:v>1692</x:v>
      </x:c>
      <x:c r="P230" s="157">
        <x:v>771</x:v>
      </x:c>
      <x:c r="Q230" s="25" t="s">
        <x:v>1122</x:v>
      </x:c>
      <x:c r="R230" s="25" t="s">
        <x:v>2107</x:v>
      </x:c>
      <x:c r="S230" s="25" t="s">
        <x:v>1572</x:v>
      </x:c>
      <x:c r="T230" s="25" t="s">
        <x:v>1663</x:v>
      </x:c>
      <x:c r="U230" s="25"/>
      <x:c r="V230" s="25" t="s">
        <x:v>739</x:v>
      </x:c>
      <x:c r="W230" s="91" t="s">
        <x:v>1667</x:v>
      </x:c>
      <x:c r="X230" s="91" t="s">
        <x:v>742</x:v>
      </x:c>
      <x:c r="Y230" s="91"/>
      <x:c r="Z230" s="91"/>
    </x:row>
    <x:row r="231" spans="1:26" s="14" customFormat="1" customHeight="1">
      <x:c r="A231" s="25" t="str">
        <x:f>O231</x:f>
        <x:v>김은민</x:v>
      </x:c>
      <x:c r="B231" s="25" t="str">
        <x:f>L231&amp;"-"&amp;TEXT(P231,"0000")</x:f>
        <x:v>20150916-0772</x:v>
      </x:c>
      <x:c r="C231" s="25" t="s">
        <x:v>1564</x:v>
      </x:c>
      <x:c r="D231" s="25" t="s">
        <x:v>1637</x:v>
      </x:c>
      <x:c r="E231" s="25" t="s">
        <x:v>3145</x:v>
      </x:c>
      <x:c r="F231" s="25" t="s">
        <x:v>3286</x:v>
      </x:c>
      <x:c r="G231" s="25" t="s">
        <x:v>1537</x:v>
      </x:c>
      <x:c r="H231" s="207" t="str">
        <x:f>IFERROR(VLOOKUP(O231,'정보화기기 명부'!A$2:B$187,2,FALSE),"")</x:f>
        <x:v/>
      </x:c>
      <x:c r="I231" s="207" t="str">
        <x:f>IFERROR(VLOOKUP(O231,'교직원용 IP'!$C$2:$H$230,6,FALSE),"")</x:f>
        <x:v/>
      </x:c>
      <x:c r="J231" s="25"/>
      <x:c r="K231" s="116">
        <x:v>2022.0799999999999</x:v>
      </x:c>
      <x:c r="L231" s="131">
        <x:v>20150916</x:v>
      </x:c>
      <x:c r="M231" s="123">
        <x:v>1216530</x:v>
      </x:c>
      <x:c r="N231" s="25" t="s">
        <x:v>2034</x:v>
      </x:c>
      <x:c r="O231" s="25" t="s">
        <x:v>1545</x:v>
      </x:c>
      <x:c r="P231" s="157">
        <x:v>772</x:v>
      </x:c>
      <x:c r="Q231" s="25" t="s">
        <x:v>1122</x:v>
      </x:c>
      <x:c r="R231" s="25" t="s">
        <x:v>2049</x:v>
      </x:c>
      <x:c r="S231" s="25" t="s">
        <x:v>1525</x:v>
      </x:c>
      <x:c r="T231" s="25" t="s">
        <x:v>1544</x:v>
      </x:c>
      <x:c r="U231" s="25"/>
      <x:c r="V231" s="25" t="s">
        <x:v>1561</x:v>
      </x:c>
      <x:c r="W231" s="91"/>
      <x:c r="X231" s="91" t="s">
        <x:v>742</x:v>
      </x:c>
      <x:c r="Y231" s="91"/>
      <x:c r="Z231" s="91"/>
    </x:row>
    <x:row r="232" spans="1:26" s="14" customFormat="1" customHeight="1">
      <x:c r="A232" s="25" t="str">
        <x:f>O232</x:f>
        <x:v>검색용4</x:v>
      </x:c>
      <x:c r="B232" s="25" t="str">
        <x:f>L232&amp;"-"&amp;TEXT(P232,"0000")</x:f>
        <x:v>20150825-0769</x:v>
      </x:c>
      <x:c r="C232" s="25" t="s">
        <x:v>1978</x:v>
      </x:c>
      <x:c r="D232" s="25" t="s">
        <x:v>1533</x:v>
      </x:c>
      <x:c r="E232" s="25" t="s">
        <x:v>1568</x:v>
      </x:c>
      <x:c r="F232" s="25" t="s">
        <x:v>2217</x:v>
      </x:c>
      <x:c r="G232" s="25" t="s">
        <x:v>1646</x:v>
      </x:c>
      <x:c r="H232" s="25" t="str">
        <x:f>IFERROR(VLOOKUP(O232,'정보화기기 명부'!A$2:B$187,2,FALSE),"")</x:f>
        <x:v/>
      </x:c>
      <x:c r="I232" s="207" t="str">
        <x:f>IFERROR(VLOOKUP(O232,'교직원용 IP'!$C$2:$H$230,6,FALSE),"")</x:f>
        <x:v/>
      </x:c>
      <x:c r="J232" s="25" t="s">
        <x:v>1640</x:v>
      </x:c>
      <x:c r="K232" s="25">
        <x:v>2022.03</x:v>
      </x:c>
      <x:c r="L232" s="131">
        <x:v>20150825</x:v>
      </x:c>
      <x:c r="M232" s="123">
        <x:v>723693</x:v>
      </x:c>
      <x:c r="N232" s="25" t="s">
        <x:v>2045</x:v>
      </x:c>
      <x:c r="O232" s="25" t="s">
        <x:v>1695</x:v>
      </x:c>
      <x:c r="P232" s="157">
        <x:v>769</x:v>
      </x:c>
      <x:c r="Q232" s="25" t="s">
        <x:v>1122</x:v>
      </x:c>
      <x:c r="R232" s="25" t="s">
        <x:v>2107</x:v>
      </x:c>
      <x:c r="S232" s="25" t="s">
        <x:v>1525</x:v>
      </x:c>
      <x:c r="T232" s="25" t="s">
        <x:v>2037</x:v>
      </x:c>
      <x:c r="U232" s="25"/>
      <x:c r="V232" s="25" t="s">
        <x:v>739</x:v>
      </x:c>
      <x:c r="W232" s="91" t="s">
        <x:v>1667</x:v>
      </x:c>
      <x:c r="X232" s="91" t="s">
        <x:v>742</x:v>
      </x:c>
      <x:c r="Y232" s="91"/>
      <x:c r="Z232" s="91"/>
    </x:row>
    <x:row r="233" spans="1:26" s="14" customFormat="1" customHeight="1">
      <x:c r="A233" s="25" t="str">
        <x:f>O233</x:f>
        <x:v>검색용3</x:v>
      </x:c>
      <x:c r="B233" s="25" t="str">
        <x:f>L233&amp;"-"&amp;TEXT(P233,"0000")</x:f>
        <x:v>20150825-0768</x:v>
      </x:c>
      <x:c r="C233" s="25" t="s">
        <x:v>1978</x:v>
      </x:c>
      <x:c r="D233" s="25" t="s">
        <x:v>1533</x:v>
      </x:c>
      <x:c r="E233" s="25" t="s">
        <x:v>1568</x:v>
      </x:c>
      <x:c r="F233" s="25" t="s">
        <x:v>2217</x:v>
      </x:c>
      <x:c r="G233" s="25" t="s">
        <x:v>1646</x:v>
      </x:c>
      <x:c r="H233" s="25" t="str">
        <x:f>IFERROR(VLOOKUP(O233,'정보화기기 명부'!A$2:B$187,2,FALSE),"")</x:f>
        <x:v/>
      </x:c>
      <x:c r="I233" s="207" t="str">
        <x:f>IFERROR(VLOOKUP(O233,'교직원용 IP'!$C$2:$H$230,6,FALSE),"")</x:f>
        <x:v/>
      </x:c>
      <x:c r="J233" s="25" t="s">
        <x:v>1640</x:v>
      </x:c>
      <x:c r="K233" s="25">
        <x:v>2022.03</x:v>
      </x:c>
      <x:c r="L233" s="131">
        <x:v>20150825</x:v>
      </x:c>
      <x:c r="M233" s="123">
        <x:v>723693</x:v>
      </x:c>
      <x:c r="N233" s="25" t="s">
        <x:v>2045</x:v>
      </x:c>
      <x:c r="O233" s="25" t="s">
        <x:v>1679</x:v>
      </x:c>
      <x:c r="P233" s="157">
        <x:v>768</x:v>
      </x:c>
      <x:c r="Q233" s="25" t="s">
        <x:v>1122</x:v>
      </x:c>
      <x:c r="R233" s="25" t="s">
        <x:v>2107</x:v>
      </x:c>
      <x:c r="S233" s="25" t="s">
        <x:v>1525</x:v>
      </x:c>
      <x:c r="T233" s="25" t="s">
        <x:v>2037</x:v>
      </x:c>
      <x:c r="U233" s="25"/>
      <x:c r="V233" s="25" t="s">
        <x:v>739</x:v>
      </x:c>
      <x:c r="W233" s="91" t="s">
        <x:v>1667</x:v>
      </x:c>
      <x:c r="X233" s="91" t="s">
        <x:v>742</x:v>
      </x:c>
      <x:c r="Y233" s="91"/>
      <x:c r="Z233" s="91"/>
    </x:row>
    <x:row r="234" spans="1:26" s="14" customFormat="1" customHeight="1">
      <x:c r="A234" s="25" t="str">
        <x:f>O234</x:f>
        <x:v>검색용2</x:v>
      </x:c>
      <x:c r="B234" s="25" t="str">
        <x:f>L234&amp;"-"&amp;TEXT(P234,"0000")</x:f>
        <x:v>20150825-0767</x:v>
      </x:c>
      <x:c r="C234" s="25" t="s">
        <x:v>1978</x:v>
      </x:c>
      <x:c r="D234" s="25" t="s">
        <x:v>1533</x:v>
      </x:c>
      <x:c r="E234" s="25" t="s">
        <x:v>1568</x:v>
      </x:c>
      <x:c r="F234" s="25" t="s">
        <x:v>2217</x:v>
      </x:c>
      <x:c r="G234" s="25" t="s">
        <x:v>1646</x:v>
      </x:c>
      <x:c r="H234" s="25" t="str">
        <x:f>IFERROR(VLOOKUP(O234,'정보화기기 명부'!A$2:B$187,2,FALSE),"")</x:f>
        <x:v>도서실</x:v>
      </x:c>
      <x:c r="I234" s="207" t="str">
        <x:f>IFERROR(VLOOKUP(O234,'교직원용 IP'!$C$2:$H$230,6,FALSE),"")</x:f>
        <x:v/>
      </x:c>
      <x:c r="J234" s="25" t="s">
        <x:v>1640</x:v>
      </x:c>
      <x:c r="K234" s="25">
        <x:v>2022.03</x:v>
      </x:c>
      <x:c r="L234" s="131">
        <x:v>20150825</x:v>
      </x:c>
      <x:c r="M234" s="123">
        <x:v>723693</x:v>
      </x:c>
      <x:c r="N234" s="25" t="s">
        <x:v>2045</x:v>
      </x:c>
      <x:c r="O234" s="25" t="s">
        <x:v>2032</x:v>
      </x:c>
      <x:c r="P234" s="157">
        <x:v>767</x:v>
      </x:c>
      <x:c r="Q234" s="25" t="s">
        <x:v>1122</x:v>
      </x:c>
      <x:c r="R234" s="25" t="s">
        <x:v>2107</x:v>
      </x:c>
      <x:c r="S234" s="25" t="s">
        <x:v>1525</x:v>
      </x:c>
      <x:c r="T234" s="25" t="s">
        <x:v>2037</x:v>
      </x:c>
      <x:c r="U234" s="25"/>
      <x:c r="V234" s="25" t="s">
        <x:v>739</x:v>
      </x:c>
      <x:c r="W234" s="91" t="s">
        <x:v>1667</x:v>
      </x:c>
      <x:c r="X234" s="91" t="s">
        <x:v>742</x:v>
      </x:c>
      <x:c r="Y234" s="91"/>
      <x:c r="Z234" s="91"/>
    </x:row>
    <x:row r="235" spans="1:26" s="14" customFormat="1" customHeight="1">
      <x:c r="A235" s="25" t="str">
        <x:f>O235</x:f>
        <x:v>검색용1</x:v>
      </x:c>
      <x:c r="B235" s="25" t="str">
        <x:f>L235&amp;"-"&amp;TEXT(P235,"0000")</x:f>
        <x:v>20150825-0766</x:v>
      </x:c>
      <x:c r="C235" s="25" t="s">
        <x:v>1978</x:v>
      </x:c>
      <x:c r="D235" s="25" t="s">
        <x:v>1533</x:v>
      </x:c>
      <x:c r="E235" s="25" t="s">
        <x:v>1568</x:v>
      </x:c>
      <x:c r="F235" s="25" t="s">
        <x:v>2217</x:v>
      </x:c>
      <x:c r="G235" s="25" t="s">
        <x:v>1646</x:v>
      </x:c>
      <x:c r="H235" s="25" t="str">
        <x:f>IFERROR(VLOOKUP(O235,'정보화기기 명부'!A$2:B$187,2,FALSE),"")</x:f>
        <x:v>도서실</x:v>
      </x:c>
      <x:c r="I235" s="207" t="str">
        <x:f>IFERROR(VLOOKUP(O235,'교직원용 IP'!$C$2:$H$230,6,FALSE),"")</x:f>
        <x:v/>
      </x:c>
      <x:c r="J235" s="25" t="s">
        <x:v>1640</x:v>
      </x:c>
      <x:c r="K235" s="25">
        <x:v>2022.03</x:v>
      </x:c>
      <x:c r="L235" s="131">
        <x:v>20150825</x:v>
      </x:c>
      <x:c r="M235" s="123">
        <x:v>723693</x:v>
      </x:c>
      <x:c r="N235" s="25" t="s">
        <x:v>2045</x:v>
      </x:c>
      <x:c r="O235" s="25" t="s">
        <x:v>1620</x:v>
      </x:c>
      <x:c r="P235" s="157">
        <x:v>766</x:v>
      </x:c>
      <x:c r="Q235" s="25" t="s">
        <x:v>1122</x:v>
      </x:c>
      <x:c r="R235" s="25" t="s">
        <x:v>2107</x:v>
      </x:c>
      <x:c r="S235" s="25" t="s">
        <x:v>1525</x:v>
      </x:c>
      <x:c r="T235" s="25" t="s">
        <x:v>2037</x:v>
      </x:c>
      <x:c r="U235" s="25"/>
      <x:c r="V235" s="25" t="s">
        <x:v>739</x:v>
      </x:c>
      <x:c r="W235" s="91" t="s">
        <x:v>1667</x:v>
      </x:c>
      <x:c r="X235" s="91" t="s">
        <x:v>742</x:v>
      </x:c>
      <x:c r="Y235" s="91"/>
      <x:c r="Z235" s="91"/>
    </x:row>
    <x:row r="236" spans="1:26" s="14" customFormat="1" customHeight="1">
      <x:c r="A236" s="25" t="str">
        <x:f>O236</x:f>
        <x:v>MBL용8</x:v>
      </x:c>
      <x:c r="B236" s="25" t="str">
        <x:f>L236&amp;"-"&amp;TEXT(P236,"0000")</x:f>
        <x:v>20150511-0673</x:v>
      </x:c>
      <x:c r="C236" s="25" t="s">
        <x:v>1564</x:v>
      </x:c>
      <x:c r="D236" s="25" t="s">
        <x:v>1655</x:v>
      </x:c>
      <x:c r="E236" s="25" t="s">
        <x:v>1251</x:v>
      </x:c>
      <x:c r="F236" s="25" t="s">
        <x:v>2205</x:v>
      </x:c>
      <x:c r="G236" s="25" t="s">
        <x:v>1289</x:v>
      </x:c>
      <x:c r="H236" s="25" t="str">
        <x:f>IFERROR(VLOOKUP(O236,'정보화기기 명부'!A$2:B$187,2,FALSE),"")</x:f>
        <x:v>수리과학부</x:v>
      </x:c>
      <x:c r="I236" s="207" t="str">
        <x:f>IFERROR(VLOOKUP(O236,'교직원용 IP'!$C$2:$H$230,6,FALSE),"")</x:f>
        <x:v/>
      </x:c>
      <x:c r="J236" s="25"/>
      <x:c r="K236" s="25">
        <x:v>2021.01</x:v>
      </x:c>
      <x:c r="L236" s="25">
        <x:v>20150511</x:v>
      </x:c>
      <x:c r="M236" s="123">
        <x:v>770000</x:v>
      </x:c>
      <x:c r="N236" s="25" t="s">
        <x:v>1965</x:v>
      </x:c>
      <x:c r="O236" s="25" t="s">
        <x:v>1657</x:v>
      </x:c>
      <x:c r="P236" s="157">
        <x:v>673</x:v>
      </x:c>
      <x:c r="Q236" s="25" t="s">
        <x:v>1122</x:v>
      </x:c>
      <x:c r="R236" s="25" t="s">
        <x:v>1690</x:v>
      </x:c>
      <x:c r="S236" s="25" t="s">
        <x:v>1628</x:v>
      </x:c>
      <x:c r="T236" s="25" t="s">
        <x:v>1658</x:v>
      </x:c>
      <x:c r="U236" s="25"/>
      <x:c r="V236" s="25" t="s">
        <x:v>797</x:v>
      </x:c>
      <x:c r="W236" s="91"/>
      <x:c r="X236" s="91"/>
      <x:c r="Y236" s="91"/>
      <x:c r="Z236" s="91"/>
    </x:row>
    <x:row r="237" spans="1:26" s="14" customFormat="1" customHeight="1">
      <x:c r="A237" s="25" t="str">
        <x:f>O237</x:f>
        <x:v>MBL용7</x:v>
      </x:c>
      <x:c r="B237" s="25" t="str">
        <x:f>L237&amp;"-"&amp;TEXT(P237,"0000")</x:f>
        <x:v>20150511-0674</x:v>
      </x:c>
      <x:c r="C237" s="25" t="s">
        <x:v>1564</x:v>
      </x:c>
      <x:c r="D237" s="25" t="s">
        <x:v>1655</x:v>
      </x:c>
      <x:c r="E237" s="25" t="s">
        <x:v>1251</x:v>
      </x:c>
      <x:c r="F237" s="25" t="s">
        <x:v>2161</x:v>
      </x:c>
      <x:c r="G237" s="25" t="s">
        <x:v>1289</x:v>
      </x:c>
      <x:c r="H237" s="25" t="str">
        <x:f>IFERROR(VLOOKUP(O237,'정보화기기 명부'!A$2:B$187,2,FALSE),"")</x:f>
        <x:v>수리과학부</x:v>
      </x:c>
      <x:c r="I237" s="207" t="str">
        <x:f>IFERROR(VLOOKUP(O237,'교직원용 IP'!$C$2:$H$230,6,FALSE),"")</x:f>
        <x:v/>
      </x:c>
      <x:c r="J237" s="25"/>
      <x:c r="K237" s="25">
        <x:v>2021.01</x:v>
      </x:c>
      <x:c r="L237" s="25">
        <x:v>20150511</x:v>
      </x:c>
      <x:c r="M237" s="123">
        <x:v>770000</x:v>
      </x:c>
      <x:c r="N237" s="25" t="s">
        <x:v>1965</x:v>
      </x:c>
      <x:c r="O237" s="25" t="s">
        <x:v>1668</x:v>
      </x:c>
      <x:c r="P237" s="157">
        <x:v>674</x:v>
      </x:c>
      <x:c r="Q237" s="25" t="s">
        <x:v>1122</x:v>
      </x:c>
      <x:c r="R237" s="25" t="s">
        <x:v>1690</x:v>
      </x:c>
      <x:c r="S237" s="25" t="s">
        <x:v>1628</x:v>
      </x:c>
      <x:c r="T237" s="25" t="s">
        <x:v>1658</x:v>
      </x:c>
      <x:c r="U237" s="25"/>
      <x:c r="V237" s="25" t="s">
        <x:v>797</x:v>
      </x:c>
      <x:c r="W237" s="91"/>
      <x:c r="X237" s="91"/>
      <x:c r="Y237" s="91"/>
      <x:c r="Z237" s="91"/>
    </x:row>
    <x:row r="238" spans="1:26" s="14" customFormat="1" customHeight="1">
      <x:c r="A238" s="25" t="str">
        <x:f>O238</x:f>
        <x:v>MBL용6</x:v>
      </x:c>
      <x:c r="B238" s="25" t="str">
        <x:f>L238&amp;"-"&amp;TEXT(P238,"0000")</x:f>
        <x:v>20150511-0675</x:v>
      </x:c>
      <x:c r="C238" s="25" t="s">
        <x:v>1564</x:v>
      </x:c>
      <x:c r="D238" s="25" t="s">
        <x:v>1655</x:v>
      </x:c>
      <x:c r="E238" s="25" t="s">
        <x:v>1251</x:v>
      </x:c>
      <x:c r="F238" s="25" t="s">
        <x:v>2161</x:v>
      </x:c>
      <x:c r="G238" s="25" t="s">
        <x:v>1289</x:v>
      </x:c>
      <x:c r="H238" s="25" t="str">
        <x:f>IFERROR(VLOOKUP(O238,'정보화기기 명부'!A$2:B$187,2,FALSE),"")</x:f>
        <x:v>수리과학부</x:v>
      </x:c>
      <x:c r="I238" s="207" t="str">
        <x:f>IFERROR(VLOOKUP(O238,'교직원용 IP'!$C$2:$H$230,6,FALSE),"")</x:f>
        <x:v/>
      </x:c>
      <x:c r="J238" s="25"/>
      <x:c r="K238" s="25">
        <x:v>2021.01</x:v>
      </x:c>
      <x:c r="L238" s="25">
        <x:v>20150511</x:v>
      </x:c>
      <x:c r="M238" s="123">
        <x:v>770000</x:v>
      </x:c>
      <x:c r="N238" s="25" t="s">
        <x:v>1965</x:v>
      </x:c>
      <x:c r="O238" s="25" t="s">
        <x:v>1627</x:v>
      </x:c>
      <x:c r="P238" s="157">
        <x:v>675</x:v>
      </x:c>
      <x:c r="Q238" s="25" t="s">
        <x:v>1122</x:v>
      </x:c>
      <x:c r="R238" s="25" t="s">
        <x:v>1690</x:v>
      </x:c>
      <x:c r="S238" s="25" t="s">
        <x:v>1628</x:v>
      </x:c>
      <x:c r="T238" s="25" t="s">
        <x:v>1658</x:v>
      </x:c>
      <x:c r="U238" s="25"/>
      <x:c r="V238" s="25" t="s">
        <x:v>797</x:v>
      </x:c>
      <x:c r="W238" s="91"/>
      <x:c r="X238" s="91"/>
      <x:c r="Y238" s="91"/>
      <x:c r="Z238" s="91"/>
    </x:row>
    <x:row r="239" spans="1:26" s="14" customFormat="1" customHeight="1">
      <x:c r="A239" s="25" t="str">
        <x:f>O239</x:f>
        <x:v>조리사</x:v>
      </x:c>
      <x:c r="B239" s="25" t="str">
        <x:f>L239&amp;"-"&amp;TEXT(P239,"0000")</x:f>
        <x:v>20150511-0676</x:v>
      </x:c>
      <x:c r="C239" s="25" t="s">
        <x:v>1564</x:v>
      </x:c>
      <x:c r="D239" s="25" t="s">
        <x:v>1655</x:v>
      </x:c>
      <x:c r="E239" s="25" t="s">
        <x:v>1552</x:v>
      </x:c>
      <x:c r="F239" s="25" t="s">
        <x:v>2161</x:v>
      </x:c>
      <x:c r="G239" s="25" t="s">
        <x:v>1289</x:v>
      </x:c>
      <x:c r="H239" s="25" t="str">
        <x:f>IFERROR(VLOOKUP(O239,'정보화기기 명부'!A$2:B$187,2,FALSE),"")</x:f>
        <x:v>급식실</x:v>
      </x:c>
      <x:c r="I239" s="207" t="str">
        <x:f>IFERROR(VLOOKUP(O239,'교직원용 IP'!$C$2:$H$230,6,FALSE),"")</x:f>
        <x:v>10.51.91.15</x:v>
      </x:c>
      <x:c r="J239" s="25"/>
      <x:c r="K239" s="25">
        <x:v>2021.01</x:v>
      </x:c>
      <x:c r="L239" s="131">
        <x:v>20150511</x:v>
      </x:c>
      <x:c r="M239" s="123">
        <x:v>770000</x:v>
      </x:c>
      <x:c r="N239" s="25" t="s">
        <x:v>1965</x:v>
      </x:c>
      <x:c r="O239" s="25" t="s">
        <x:v>1488</x:v>
      </x:c>
      <x:c r="P239" s="157">
        <x:v>676</x:v>
      </x:c>
      <x:c r="Q239" s="25" t="s">
        <x:v>1122</x:v>
      </x:c>
      <x:c r="R239" s="25" t="s">
        <x:v>1690</x:v>
      </x:c>
      <x:c r="S239" s="25" t="s">
        <x:v>1628</x:v>
      </x:c>
      <x:c r="T239" s="25" t="s">
        <x:v>1658</x:v>
      </x:c>
      <x:c r="U239" s="25"/>
      <x:c r="V239" s="25" t="s">
        <x:v>797</x:v>
      </x:c>
      <x:c r="W239" s="91"/>
      <x:c r="X239" s="91"/>
      <x:c r="Y239" s="91"/>
      <x:c r="Z239" s="91"/>
    </x:row>
    <x:row r="240" spans="1:26" s="14" customFormat="1" customHeight="1">
      <x:c r="A240" s="25" t="str">
        <x:f>O240</x:f>
        <x:v>조리사2</x:v>
      </x:c>
      <x:c r="B240" s="25" t="str">
        <x:f>L240&amp;"-"&amp;TEXT(P240,"0000")</x:f>
        <x:v>20150511-0677</x:v>
      </x:c>
      <x:c r="C240" s="25" t="s">
        <x:v>1564</x:v>
      </x:c>
      <x:c r="D240" s="25" t="s">
        <x:v>1655</x:v>
      </x:c>
      <x:c r="E240" s="25" t="s">
        <x:v>1552</x:v>
      </x:c>
      <x:c r="F240" s="25" t="s">
        <x:v>2161</x:v>
      </x:c>
      <x:c r="G240" s="25" t="s">
        <x:v>1289</x:v>
      </x:c>
      <x:c r="H240" s="25" t="str">
        <x:f>IFERROR(VLOOKUP(O240,'정보화기기 명부'!A$2:B$187,2,FALSE),"")</x:f>
        <x:v>급식실</x:v>
      </x:c>
      <x:c r="I240" s="207" t="str">
        <x:f>IFERROR(VLOOKUP(O240,'교직원용 IP'!$C$2:$H$230,6,FALSE),"")</x:f>
        <x:v>10.51.91.16</x:v>
      </x:c>
      <x:c r="J240" s="25"/>
      <x:c r="K240" s="25">
        <x:v>2021.01</x:v>
      </x:c>
      <x:c r="L240" s="131">
        <x:v>20150511</x:v>
      </x:c>
      <x:c r="M240" s="123">
        <x:v>770000</x:v>
      </x:c>
      <x:c r="N240" s="25" t="s">
        <x:v>1965</x:v>
      </x:c>
      <x:c r="O240" s="25" t="s">
        <x:v>1664</x:v>
      </x:c>
      <x:c r="P240" s="157">
        <x:v>677</x:v>
      </x:c>
      <x:c r="Q240" s="25" t="s">
        <x:v>1122</x:v>
      </x:c>
      <x:c r="R240" s="25" t="s">
        <x:v>1690</x:v>
      </x:c>
      <x:c r="S240" s="25" t="s">
        <x:v>1628</x:v>
      </x:c>
      <x:c r="T240" s="25" t="s">
        <x:v>1658</x:v>
      </x:c>
      <x:c r="U240" s="25"/>
      <x:c r="V240" s="25" t="s">
        <x:v>797</x:v>
      </x:c>
      <x:c r="W240" s="91"/>
      <x:c r="X240" s="91"/>
      <x:c r="Y240" s="91"/>
      <x:c r="Z240" s="91"/>
    </x:row>
    <x:row r="241" spans="1:26" s="14" customFormat="1" customHeight="1">
      <x:c r="A241" s="25" t="str">
        <x:f>O241</x:f>
        <x:v>인창고6(구 권은주)</x:v>
      </x:c>
      <x:c r="B241" s="25" t="str">
        <x:f>L241&amp;"-"&amp;TEXT(P241,"0000")</x:f>
        <x:v>20150511-0678</x:v>
      </x:c>
      <x:c r="C241" s="25" t="s">
        <x:v>1564</x:v>
      </x:c>
      <x:c r="D241" s="25" t="s">
        <x:v>1533</x:v>
      </x:c>
      <x:c r="E241" s="25" t="s">
        <x:v>1251</x:v>
      </x:c>
      <x:c r="F241" s="25" t="s">
        <x:v>2161</x:v>
      </x:c>
      <x:c r="G241" s="25" t="s">
        <x:v>1289</x:v>
      </x:c>
      <x:c r="H241" s="25" t="str">
        <x:f>IFERROR(VLOOKUP(O241,'정보화기기 명부'!A$2:B$187,2,FALSE),"")</x:f>
        <x:v/>
      </x:c>
      <x:c r="I241" s="207" t="str">
        <x:f>IFERROR(VLOOKUP(O241,'교직원용 IP'!$C$2:$H$230,6,FALSE),"")</x:f>
        <x:v/>
      </x:c>
      <x:c r="J241" s="25"/>
      <x:c r="K241" s="25">
        <x:v>2021.01</x:v>
      </x:c>
      <x:c r="L241" s="25">
        <x:v>20150511</x:v>
      </x:c>
      <x:c r="M241" s="123">
        <x:v>770000</x:v>
      </x:c>
      <x:c r="N241" s="25" t="s">
        <x:v>1965</x:v>
      </x:c>
      <x:c r="O241" s="25" t="s">
        <x:v>784</x:v>
      </x:c>
      <x:c r="P241" s="157">
        <x:v>678</x:v>
      </x:c>
      <x:c r="Q241" s="25" t="s">
        <x:v>1122</x:v>
      </x:c>
      <x:c r="R241" s="25" t="s">
        <x:v>1690</x:v>
      </x:c>
      <x:c r="S241" s="25" t="s">
        <x:v>1628</x:v>
      </x:c>
      <x:c r="T241" s="25" t="s">
        <x:v>1658</x:v>
      </x:c>
      <x:c r="U241" s="25"/>
      <x:c r="V241" s="25" t="s">
        <x:v>797</x:v>
      </x:c>
      <x:c r="W241" s="91"/>
      <x:c r="X241" s="91"/>
      <x:c r="Y241" s="91"/>
      <x:c r="Z241" s="91"/>
    </x:row>
    <x:row r="242" spans="1:26" s="14" customFormat="1" customHeight="1">
      <x:c r="A242" s="25" t="str">
        <x:f>O242</x:f>
        <x:v>인창고7(구 김광숙)</x:v>
      </x:c>
      <x:c r="B242" s="25" t="str">
        <x:f>L242&amp;"-"&amp;TEXT(P242,"0000")</x:f>
        <x:v>20150511-0679</x:v>
      </x:c>
      <x:c r="C242" s="25" t="s">
        <x:v>1564</x:v>
      </x:c>
      <x:c r="D242" s="25" t="s">
        <x:v>1533</x:v>
      </x:c>
      <x:c r="E242" s="25" t="s">
        <x:v>1251</x:v>
      </x:c>
      <x:c r="F242" s="25" t="s">
        <x:v>2161</x:v>
      </x:c>
      <x:c r="G242" s="25" t="s">
        <x:v>1289</x:v>
      </x:c>
      <x:c r="H242" s="25" t="str">
        <x:f>IFERROR(VLOOKUP(O242,'정보화기기 명부'!A$2:B$187,2,FALSE),"")</x:f>
        <x:v/>
      </x:c>
      <x:c r="I242" s="207" t="str">
        <x:f>IFERROR(VLOOKUP(O242,'교직원용 IP'!$C$2:$H$230,6,FALSE),"")</x:f>
        <x:v/>
      </x:c>
      <x:c r="J242" s="25"/>
      <x:c r="K242" s="25">
        <x:v>2021.01</x:v>
      </x:c>
      <x:c r="L242" s="25">
        <x:v>20150511</x:v>
      </x:c>
      <x:c r="M242" s="123">
        <x:v>770000</x:v>
      </x:c>
      <x:c r="N242" s="25" t="s">
        <x:v>1965</x:v>
      </x:c>
      <x:c r="O242" s="25" t="s">
        <x:v>816</x:v>
      </x:c>
      <x:c r="P242" s="157">
        <x:v>679</x:v>
      </x:c>
      <x:c r="Q242" s="25" t="s">
        <x:v>1122</x:v>
      </x:c>
      <x:c r="R242" s="25" t="s">
        <x:v>1690</x:v>
      </x:c>
      <x:c r="S242" s="25" t="s">
        <x:v>1628</x:v>
      </x:c>
      <x:c r="T242" s="25" t="s">
        <x:v>1658</x:v>
      </x:c>
      <x:c r="U242" s="25"/>
      <x:c r="V242" s="25" t="s">
        <x:v>797</x:v>
      </x:c>
      <x:c r="W242" s="91"/>
      <x:c r="X242" s="91"/>
      <x:c r="Y242" s="91"/>
      <x:c r="Z242" s="91"/>
    </x:row>
    <x:row r="243" spans="1:26" s="14" customFormat="1" customHeight="1">
      <x:c r="A243" s="25" t="str">
        <x:f>O243</x:f>
        <x:v>MBL용5</x:v>
      </x:c>
      <x:c r="B243" s="25" t="str">
        <x:f>L243&amp;"-"&amp;TEXT(P243,"0000")</x:f>
        <x:v>20150511-0680</x:v>
      </x:c>
      <x:c r="C243" s="25" t="s">
        <x:v>1564</x:v>
      </x:c>
      <x:c r="D243" s="25" t="s">
        <x:v>1655</x:v>
      </x:c>
      <x:c r="E243" s="25" t="s">
        <x:v>1251</x:v>
      </x:c>
      <x:c r="F243" s="25" t="s">
        <x:v>2161</x:v>
      </x:c>
      <x:c r="G243" s="25" t="s">
        <x:v>1289</x:v>
      </x:c>
      <x:c r="H243" s="207" t="str">
        <x:f>IFERROR(VLOOKUP(O243,'정보화기기 명부'!A$2:B$187,2,FALSE),"")</x:f>
        <x:v>수리과학부</x:v>
      </x:c>
      <x:c r="I243" s="207" t="str">
        <x:f>IFERROR(VLOOKUP(O243,'교직원용 IP'!$C$2:$H$230,6,FALSE),"")</x:f>
        <x:v/>
      </x:c>
      <x:c r="J243" s="25"/>
      <x:c r="K243" s="25">
        <x:v>2021.01</x:v>
      </x:c>
      <x:c r="L243" s="131">
        <x:v>20150511</x:v>
      </x:c>
      <x:c r="M243" s="123">
        <x:v>770000</x:v>
      </x:c>
      <x:c r="N243" s="25" t="s">
        <x:v>1965</x:v>
      </x:c>
      <x:c r="O243" s="25" t="s">
        <x:v>1636</x:v>
      </x:c>
      <x:c r="P243" s="157">
        <x:v>680</x:v>
      </x:c>
      <x:c r="Q243" s="25" t="s">
        <x:v>1122</x:v>
      </x:c>
      <x:c r="R243" s="25" t="s">
        <x:v>1690</x:v>
      </x:c>
      <x:c r="S243" s="25" t="s">
        <x:v>1628</x:v>
      </x:c>
      <x:c r="T243" s="25" t="s">
        <x:v>1658</x:v>
      </x:c>
      <x:c r="U243" s="25"/>
      <x:c r="V243" s="25" t="s">
        <x:v>797</x:v>
      </x:c>
      <x:c r="W243" s="91"/>
      <x:c r="X243" s="91"/>
      <x:c r="Y243" s="91"/>
      <x:c r="Z243" s="91"/>
    </x:row>
    <x:row r="244" spans="1:26" s="14" customFormat="1" customHeight="1">
      <x:c r="A244" s="25" t="str">
        <x:f>O244</x:f>
        <x:v>MBL용4</x:v>
      </x:c>
      <x:c r="B244" s="25" t="str">
        <x:f>L244&amp;"-"&amp;TEXT(P244,"0000")</x:f>
        <x:v>20150511-0681</x:v>
      </x:c>
      <x:c r="C244" s="25" t="s">
        <x:v>1564</x:v>
      </x:c>
      <x:c r="D244" s="25" t="s">
        <x:v>1655</x:v>
      </x:c>
      <x:c r="E244" s="25" t="s">
        <x:v>1251</x:v>
      </x:c>
      <x:c r="F244" s="25" t="s">
        <x:v>2161</x:v>
      </x:c>
      <x:c r="G244" s="25" t="s">
        <x:v>1529</x:v>
      </x:c>
      <x:c r="H244" s="207" t="str">
        <x:f>IFERROR(VLOOKUP(O244,'정보화기기 명부'!A$2:B$187,2,FALSE),"")</x:f>
        <x:v>수리과학부</x:v>
      </x:c>
      <x:c r="I244" s="207" t="str">
        <x:f>IFERROR(VLOOKUP(O244,'교직원용 IP'!$C$2:$H$230,6,FALSE),"")</x:f>
        <x:v/>
      </x:c>
      <x:c r="J244" s="25"/>
      <x:c r="K244" s="25">
        <x:v>2021.01</x:v>
      </x:c>
      <x:c r="L244" s="25">
        <x:v>20150511</x:v>
      </x:c>
      <x:c r="M244" s="123">
        <x:v>770000</x:v>
      </x:c>
      <x:c r="N244" s="25" t="s">
        <x:v>1965</x:v>
      </x:c>
      <x:c r="O244" s="25" t="s">
        <x:v>1676</x:v>
      </x:c>
      <x:c r="P244" s="157">
        <x:v>681</x:v>
      </x:c>
      <x:c r="Q244" s="25" t="s">
        <x:v>1122</x:v>
      </x:c>
      <x:c r="R244" s="25" t="s">
        <x:v>1690</x:v>
      </x:c>
      <x:c r="S244" s="25" t="s">
        <x:v>1628</x:v>
      </x:c>
      <x:c r="T244" s="25" t="s">
        <x:v>1658</x:v>
      </x:c>
      <x:c r="U244" s="25"/>
      <x:c r="V244" s="25" t="s">
        <x:v>2030</x:v>
      </x:c>
      <x:c r="W244" s="91"/>
      <x:c r="X244" s="91"/>
      <x:c r="Y244" s="91"/>
      <x:c r="Z244" s="91"/>
    </x:row>
    <x:row r="245" spans="1:26" s="14" customFormat="1" customHeight="1">
      <x:c r="A245" s="25" t="str">
        <x:f>O245</x:f>
        <x:v>MBL용3</x:v>
      </x:c>
      <x:c r="B245" s="25" t="str">
        <x:f>L245&amp;"-"&amp;TEXT(P245,"0000")</x:f>
        <x:v>20150511-0682</x:v>
      </x:c>
      <x:c r="C245" s="25" t="s">
        <x:v>1564</x:v>
      </x:c>
      <x:c r="D245" s="25" t="s">
        <x:v>1655</x:v>
      </x:c>
      <x:c r="E245" s="25" t="s">
        <x:v>1251</x:v>
      </x:c>
      <x:c r="F245" s="25" t="s">
        <x:v>2161</x:v>
      </x:c>
      <x:c r="G245" s="25" t="s">
        <x:v>1289</x:v>
      </x:c>
      <x:c r="H245" s="207" t="str">
        <x:f>IFERROR(VLOOKUP(O245,'정보화기기 명부'!A$2:B$187,2,FALSE),"")</x:f>
        <x:v>수리과학부</x:v>
      </x:c>
      <x:c r="I245" s="207" t="str">
        <x:f>IFERROR(VLOOKUP(O245,'교직원용 IP'!$C$2:$H$230,6,FALSE),"")</x:f>
        <x:v/>
      </x:c>
      <x:c r="J245" s="25"/>
      <x:c r="K245" s="25">
        <x:v>2021.01</x:v>
      </x:c>
      <x:c r="L245" s="25">
        <x:v>20150511</x:v>
      </x:c>
      <x:c r="M245" s="123">
        <x:v>770000</x:v>
      </x:c>
      <x:c r="N245" s="25" t="s">
        <x:v>1965</x:v>
      </x:c>
      <x:c r="O245" s="25" t="s">
        <x:v>1670</x:v>
      </x:c>
      <x:c r="P245" s="157">
        <x:v>682</x:v>
      </x:c>
      <x:c r="Q245" s="25" t="s">
        <x:v>1122</x:v>
      </x:c>
      <x:c r="R245" s="25" t="s">
        <x:v>1690</x:v>
      </x:c>
      <x:c r="S245" s="25" t="s">
        <x:v>1628</x:v>
      </x:c>
      <x:c r="T245" s="25" t="s">
        <x:v>1658</x:v>
      </x:c>
      <x:c r="U245" s="25"/>
      <x:c r="V245" s="25" t="s">
        <x:v>2030</x:v>
      </x:c>
      <x:c r="W245" s="91"/>
      <x:c r="X245" s="91"/>
      <x:c r="Y245" s="91"/>
      <x:c r="Z245" s="91"/>
    </x:row>
    <x:row r="246" spans="1:26" s="14" customFormat="1" customHeight="1">
      <x:c r="A246" s="25" t="str">
        <x:f>O246</x:f>
        <x:v>MBL용2</x:v>
      </x:c>
      <x:c r="B246" s="25" t="str">
        <x:f>L246&amp;"-"&amp;TEXT(P246,"0000")</x:f>
        <x:v>20150511-0683</x:v>
      </x:c>
      <x:c r="C246" s="25" t="s">
        <x:v>1564</x:v>
      </x:c>
      <x:c r="D246" s="25" t="s">
        <x:v>1655</x:v>
      </x:c>
      <x:c r="E246" s="25" t="s">
        <x:v>1251</x:v>
      </x:c>
      <x:c r="F246" s="25" t="s">
        <x:v>2161</x:v>
      </x:c>
      <x:c r="G246" s="25" t="s">
        <x:v>1289</x:v>
      </x:c>
      <x:c r="H246" s="207" t="str">
        <x:f>IFERROR(VLOOKUP(O246,'정보화기기 명부'!A$2:B$187,2,FALSE),"")</x:f>
        <x:v>수리과학부</x:v>
      </x:c>
      <x:c r="I246" s="207" t="str">
        <x:f>IFERROR(VLOOKUP(O246,'교직원용 IP'!$C$2:$H$230,6,FALSE),"")</x:f>
        <x:v/>
      </x:c>
      <x:c r="J246" s="25"/>
      <x:c r="K246" s="25">
        <x:v>2021.01</x:v>
      </x:c>
      <x:c r="L246" s="25">
        <x:v>20150511</x:v>
      </x:c>
      <x:c r="M246" s="123">
        <x:v>770000</x:v>
      </x:c>
      <x:c r="N246" s="25" t="s">
        <x:v>1965</x:v>
      </x:c>
      <x:c r="O246" s="25" t="s">
        <x:v>1700</x:v>
      </x:c>
      <x:c r="P246" s="157">
        <x:v>683</x:v>
      </x:c>
      <x:c r="Q246" s="25" t="s">
        <x:v>1122</x:v>
      </x:c>
      <x:c r="R246" s="25" t="s">
        <x:v>1690</x:v>
      </x:c>
      <x:c r="S246" s="25" t="s">
        <x:v>1628</x:v>
      </x:c>
      <x:c r="T246" s="25" t="s">
        <x:v>1658</x:v>
      </x:c>
      <x:c r="U246" s="25"/>
      <x:c r="V246" s="25" t="s">
        <x:v>797</x:v>
      </x:c>
      <x:c r="W246" s="91"/>
      <x:c r="X246" s="91"/>
      <x:c r="Y246" s="91"/>
      <x:c r="Z246" s="91"/>
    </x:row>
    <x:row r="247" spans="1:26" s="14" customFormat="1" customHeight="1">
      <x:c r="A247" s="25" t="str">
        <x:f>O247</x:f>
        <x:v>MBL용1</x:v>
      </x:c>
      <x:c r="B247" s="25" t="str">
        <x:f>L247&amp;"-"&amp;TEXT(P247,"0000")</x:f>
        <x:v>20150511-0684</x:v>
      </x:c>
      <x:c r="C247" s="25" t="s">
        <x:v>1564</x:v>
      </x:c>
      <x:c r="D247" s="25" t="s">
        <x:v>1655</x:v>
      </x:c>
      <x:c r="E247" s="25" t="s">
        <x:v>1251</x:v>
      </x:c>
      <x:c r="F247" s="25" t="s">
        <x:v>2161</x:v>
      </x:c>
      <x:c r="G247" s="25" t="s">
        <x:v>1289</x:v>
      </x:c>
      <x:c r="H247" s="207" t="str">
        <x:f>IFERROR(VLOOKUP(O247,'정보화기기 명부'!A$2:B$187,2,FALSE),"")</x:f>
        <x:v>수리과학부</x:v>
      </x:c>
      <x:c r="I247" s="207" t="str">
        <x:f>IFERROR(VLOOKUP(O247,'교직원용 IP'!$C$2:$H$230,6,FALSE),"")</x:f>
        <x:v/>
      </x:c>
      <x:c r="J247" s="25"/>
      <x:c r="K247" s="25">
        <x:v>2021.01</x:v>
      </x:c>
      <x:c r="L247" s="25">
        <x:v>20150511</x:v>
      </x:c>
      <x:c r="M247" s="123">
        <x:v>770000</x:v>
      </x:c>
      <x:c r="N247" s="25" t="s">
        <x:v>1965</x:v>
      </x:c>
      <x:c r="O247" s="25" t="s">
        <x:v>1634</x:v>
      </x:c>
      <x:c r="P247" s="157">
        <x:v>684</x:v>
      </x:c>
      <x:c r="Q247" s="25" t="s">
        <x:v>1122</x:v>
      </x:c>
      <x:c r="R247" s="25" t="s">
        <x:v>1690</x:v>
      </x:c>
      <x:c r="S247" s="25" t="s">
        <x:v>1628</x:v>
      </x:c>
      <x:c r="T247" s="25" t="s">
        <x:v>1658</x:v>
      </x:c>
      <x:c r="U247" s="25"/>
      <x:c r="V247" s="25" t="s">
        <x:v>797</x:v>
      </x:c>
      <x:c r="W247" s="91"/>
      <x:c r="X247" s="91"/>
      <x:c r="Y247" s="91"/>
      <x:c r="Z247" s="91"/>
    </x:row>
    <x:row r="248" spans="1:26" s="14" customFormat="1" customHeight="1">
      <x:c r="A248" s="25" t="str">
        <x:f>O248</x:f>
        <x:v>이남혁</x:v>
      </x:c>
      <x:c r="B248" s="25" t="str">
        <x:f>L248&amp;"-"&amp;TEXT(P248,"0000")</x:f>
        <x:v>20150223-0672</x:v>
      </x:c>
      <x:c r="C248" s="25" t="s">
        <x:v>1978</x:v>
      </x:c>
      <x:c r="D248" s="25" t="s">
        <x:v>1533</x:v>
      </x:c>
      <x:c r="E248" s="25" t="s">
        <x:v>1251</x:v>
      </x:c>
      <x:c r="F248" s="25" t="s">
        <x:v>2165</x:v>
      </x:c>
      <x:c r="G248" s="25" t="s">
        <x:v>1656</x:v>
      </x:c>
      <x:c r="H248" s="25" t="str">
        <x:f>IFERROR(VLOOKUP(O248,'정보화기기 명부'!A$2:B$187,2,FALSE),"")</x:f>
        <x:v/>
      </x:c>
      <x:c r="I248" s="207"/>
      <x:c r="J248" s="25"/>
      <x:c r="K248" s="25">
        <x:v>2021.01</x:v>
      </x:c>
      <x:c r="L248" s="25">
        <x:v>20150223</x:v>
      </x:c>
      <x:c r="M248" s="123">
        <x:v>792000</x:v>
      </x:c>
      <x:c r="N248" s="25" t="s">
        <x:v>2034</x:v>
      </x:c>
      <x:c r="O248" s="25" t="s">
        <x:v>1483</x:v>
      </x:c>
      <x:c r="P248" s="157">
        <x:v>672</x:v>
      </x:c>
      <x:c r="Q248" s="25" t="s">
        <x:v>1122</x:v>
      </x:c>
      <x:c r="R248" s="25" t="s">
        <x:v>2107</x:v>
      </x:c>
      <x:c r="S248" s="25" t="s">
        <x:v>1628</x:v>
      </x:c>
      <x:c r="T248" s="25" t="s">
        <x:v>1647</x:v>
      </x:c>
      <x:c r="U248" s="25"/>
      <x:c r="V248" s="25" t="s">
        <x:v>2030</x:v>
      </x:c>
      <x:c r="W248" s="91"/>
      <x:c r="X248" s="91"/>
      <x:c r="Y248" s="91"/>
      <x:c r="Z248" s="91"/>
    </x:row>
    <x:row r="249" spans="1:26" s="14" customFormat="1" customHeight="1">
      <x:c r="A249" s="25" t="str">
        <x:f>O249</x:f>
        <x:v>구 길양배</x:v>
      </x:c>
      <x:c r="B249" s="25" t="str">
        <x:f>L249&amp;"-"&amp;TEXT(P249,"0000")</x:f>
        <x:v>20150223-0660</x:v>
      </x:c>
      <x:c r="C249" s="25" t="s">
        <x:v>1564</x:v>
      </x:c>
      <x:c r="D249" s="25" t="s">
        <x:v>1533</x:v>
      </x:c>
      <x:c r="E249" s="25" t="s">
        <x:v>1251</x:v>
      </x:c>
      <x:c r="F249" s="25" t="s">
        <x:v>2205</x:v>
      </x:c>
      <x:c r="G249" s="25" t="s">
        <x:v>1289</x:v>
      </x:c>
      <x:c r="H249" s="25" t="str">
        <x:f>IFERROR(VLOOKUP(O249,'정보화기기 명부'!A$2:B$187,2,FALSE),"")</x:f>
        <x:v/>
      </x:c>
      <x:c r="I249" s="207" t="str">
        <x:f>IFERROR(VLOOKUP(O249,'교직원용 IP'!$C$2:$H$230,6,FALSE),"")</x:f>
        <x:v/>
      </x:c>
      <x:c r="J249" s="25"/>
      <x:c r="K249" s="25">
        <x:v>2020.1099999999999</x:v>
      </x:c>
      <x:c r="L249" s="25">
        <x:v>20150223</x:v>
      </x:c>
      <x:c r="M249" s="123">
        <x:v>799000</x:v>
      </x:c>
      <x:c r="N249" s="25" t="s">
        <x:v>2034</x:v>
      </x:c>
      <x:c r="O249" s="25" t="s">
        <x:v>1662</x:v>
      </x:c>
      <x:c r="P249" s="157">
        <x:v>660</x:v>
      </x:c>
      <x:c r="Q249" s="25" t="s">
        <x:v>1122</x:v>
      </x:c>
      <x:c r="R249" s="25" t="s">
        <x:v>1690</x:v>
      </x:c>
      <x:c r="S249" s="25" t="s">
        <x:v>1628</x:v>
      </x:c>
      <x:c r="T249" s="25" t="s">
        <x:v>1658</x:v>
      </x:c>
      <x:c r="U249" s="25"/>
      <x:c r="V249" s="25" t="s">
        <x:v>797</x:v>
      </x:c>
      <x:c r="W249" s="91"/>
      <x:c r="X249" s="91"/>
      <x:c r="Y249" s="91"/>
      <x:c r="Z249" s="91"/>
    </x:row>
    <x:row r="250" spans="1:26" s="14" customFormat="1" customHeight="1">
      <x:c r="A250" s="25" t="str">
        <x:f>O250</x:f>
        <x:v>WEE 클래스 학생용</x:v>
      </x:c>
      <x:c r="B250" s="25" t="str">
        <x:f>L250&amp;"-"&amp;TEXT(P250,"0000")</x:f>
        <x:v>20150223-0661</x:v>
      </x:c>
      <x:c r="C250" s="25" t="s">
        <x:v>1564</x:v>
      </x:c>
      <x:c r="D250" s="25" t="s">
        <x:v>1655</x:v>
      </x:c>
      <x:c r="E250" s="25" t="s">
        <x:v>1568</x:v>
      </x:c>
      <x:c r="F250" s="25" t="s">
        <x:v>2205</x:v>
      </x:c>
      <x:c r="G250" s="25" t="s">
        <x:v>1289</x:v>
      </x:c>
      <x:c r="H250" s="25" t="str">
        <x:f>IFERROR(VLOOKUP(O250,'정보화기기 명부'!A$2:B$187,2,FALSE),"")</x:f>
        <x:v>Wee클래스</x:v>
      </x:c>
      <x:c r="I250" s="207" t="str">
        <x:f>IFERROR(VLOOKUP(O250,'교직원용 IP'!$C$2:$H$230,6,FALSE),"")</x:f>
        <x:v/>
      </x:c>
      <x:c r="J250" s="25" t="s">
        <x:v>1653</x:v>
      </x:c>
      <x:c r="K250" s="25">
        <x:v>2021.01</x:v>
      </x:c>
      <x:c r="L250" s="132">
        <x:v>20150223</x:v>
      </x:c>
      <x:c r="M250" s="123">
        <x:v>799000</x:v>
      </x:c>
      <x:c r="N250" s="25" t="s">
        <x:v>2034</x:v>
      </x:c>
      <x:c r="O250" s="25" t="s">
        <x:v>808</x:v>
      </x:c>
      <x:c r="P250" s="157">
        <x:v>661</x:v>
      </x:c>
      <x:c r="Q250" s="25" t="s">
        <x:v>1122</x:v>
      </x:c>
      <x:c r="R250" s="25" t="s">
        <x:v>1690</x:v>
      </x:c>
      <x:c r="S250" s="25" t="s">
        <x:v>1628</x:v>
      </x:c>
      <x:c r="T250" s="25" t="s">
        <x:v>1658</x:v>
      </x:c>
      <x:c r="U250" s="25"/>
      <x:c r="V250" s="25" t="s">
        <x:v>797</x:v>
      </x:c>
      <x:c r="W250" s="91"/>
      <x:c r="X250" s="91"/>
      <x:c r="Y250" s="91"/>
      <x:c r="Z250" s="91"/>
    </x:row>
    <x:row r="251" spans="1:26" s="14" customFormat="1" customHeight="1">
      <x:c r="A251" s="260" t="str">
        <x:f>O251</x:f>
        <x:v>대교협 서버</x:v>
      </x:c>
      <x:c r="B251" s="25" t="str">
        <x:f>L251&amp;"-"&amp;TEXT(P251,"0000")</x:f>
        <x:v>20150223-0662</x:v>
      </x:c>
      <x:c r="C251" s="25" t="s">
        <x:v>1564</x:v>
      </x:c>
      <x:c r="D251" s="25" t="s">
        <x:v>1655</x:v>
      </x:c>
      <x:c r="E251" s="25" t="s">
        <x:v>3145</x:v>
      </x:c>
      <x:c r="F251" s="25" t="s">
        <x:v>2205</x:v>
      </x:c>
      <x:c r="G251" s="25" t="s">
        <x:v>1289</x:v>
      </x:c>
      <x:c r="H251" s="25" t="str">
        <x:f>IFERROR(VLOOKUP(O251,'정보화기기 명부'!A$2:B$187,2,FALSE),"")</x:f>
        <x:v>3학년부</x:v>
      </x:c>
      <x:c r="I251" s="207" t="str">
        <x:f>IFERROR(VLOOKUP(O251,'교직원용 IP'!$C$2:$H$230,6,FALSE),"")</x:f>
        <x:v>10.51.90.155</x:v>
      </x:c>
      <x:c r="J251" s="25"/>
      <x:c r="K251" s="25">
        <x:v>2021.01</x:v>
      </x:c>
      <x:c r="L251" s="132">
        <x:v>20150223</x:v>
      </x:c>
      <x:c r="M251" s="123">
        <x:v>799000</x:v>
      </x:c>
      <x:c r="N251" s="25" t="s">
        <x:v>2034</x:v>
      </x:c>
      <x:c r="O251" s="25" t="s">
        <x:v>1648</x:v>
      </x:c>
      <x:c r="P251" s="157">
        <x:v>662</x:v>
      </x:c>
      <x:c r="Q251" s="25" t="s">
        <x:v>1122</x:v>
      </x:c>
      <x:c r="R251" s="25" t="s">
        <x:v>1690</x:v>
      </x:c>
      <x:c r="S251" s="25" t="s">
        <x:v>1628</x:v>
      </x:c>
      <x:c r="T251" s="25" t="s">
        <x:v>1658</x:v>
      </x:c>
      <x:c r="U251" s="25"/>
      <x:c r="V251" s="25" t="s">
        <x:v>797</x:v>
      </x:c>
      <x:c r="W251" s="91"/>
      <x:c r="X251" s="91"/>
      <x:c r="Y251" s="91"/>
      <x:c r="Z251" s="91"/>
    </x:row>
    <x:row r="252" spans="1:26" s="14" customFormat="1" customHeight="1">
      <x:c r="A252" s="25" t="str">
        <x:f>O252</x:f>
        <x:v>구 무선망 AP 관리용</x:v>
      </x:c>
      <x:c r="B252" s="25" t="str">
        <x:f>L252&amp;"-"&amp;TEXT(P252,"0000")</x:f>
        <x:v>20150223-0663</x:v>
      </x:c>
      <x:c r="C252" s="25" t="s">
        <x:v>1564</x:v>
      </x:c>
      <x:c r="D252" s="25" t="s">
        <x:v>1533</x:v>
      </x:c>
      <x:c r="E252" s="25" t="s">
        <x:v>3145</x:v>
      </x:c>
      <x:c r="F252" s="25" t="s">
        <x:v>2205</x:v>
      </x:c>
      <x:c r="G252" s="25" t="s">
        <x:v>1289</x:v>
      </x:c>
      <x:c r="H252" s="25" t="str">
        <x:f>IFERROR(VLOOKUP(O252,'정보화기기 명부'!A$2:B$187,2,FALSE),"")</x:f>
        <x:v/>
      </x:c>
      <x:c r="I252" s="288" t="s">
        <x:v>775</x:v>
      </x:c>
      <x:c r="J252" s="25"/>
      <x:c r="K252" s="25">
        <x:v>2021.01</x:v>
      </x:c>
      <x:c r="L252" s="132">
        <x:v>20150223</x:v>
      </x:c>
      <x:c r="M252" s="123">
        <x:v>799000</x:v>
      </x:c>
      <x:c r="N252" s="25" t="s">
        <x:v>2034</x:v>
      </x:c>
      <x:c r="O252" s="25" t="s">
        <x:v>2163</x:v>
      </x:c>
      <x:c r="P252" s="157">
        <x:v>663</x:v>
      </x:c>
      <x:c r="Q252" s="25" t="s">
        <x:v>1122</x:v>
      </x:c>
      <x:c r="R252" s="25" t="s">
        <x:v>1690</x:v>
      </x:c>
      <x:c r="S252" s="25" t="s">
        <x:v>1628</x:v>
      </x:c>
      <x:c r="T252" s="25" t="s">
        <x:v>1658</x:v>
      </x:c>
      <x:c r="U252" s="25"/>
      <x:c r="V252" s="25" t="s">
        <x:v>797</x:v>
      </x:c>
      <x:c r="W252" s="91"/>
      <x:c r="X252" s="91"/>
      <x:c r="Y252" s="91"/>
      <x:c r="Z252" s="91"/>
    </x:row>
    <x:row r="253" spans="1:26" s="14" customFormat="1" customHeight="1">
      <x:c r="A253" s="25" t="str">
        <x:f>O253</x:f>
        <x:v>인창고1(구 황정인)</x:v>
      </x:c>
      <x:c r="B253" s="25" t="str">
        <x:f>L253&amp;"-"&amp;TEXT(P253,"0000")</x:f>
        <x:v>20150223-0664</x:v>
      </x:c>
      <x:c r="C253" s="25" t="s">
        <x:v>1564</x:v>
      </x:c>
      <x:c r="D253" s="25" t="s">
        <x:v>1533</x:v>
      </x:c>
      <x:c r="E253" s="25" t="s">
        <x:v>1251</x:v>
      </x:c>
      <x:c r="F253" s="25" t="s">
        <x:v>2205</x:v>
      </x:c>
      <x:c r="G253" s="25" t="s">
        <x:v>1289</x:v>
      </x:c>
      <x:c r="H253" s="25" t="str">
        <x:f>IFERROR(VLOOKUP(O253,'정보화기기 명부'!A$2:B$187,2,FALSE),"")</x:f>
        <x:v/>
      </x:c>
      <x:c r="I253" s="207" t="str">
        <x:f>IFERROR(VLOOKUP(O253,'교직원용 IP'!$C$2:$H$230,6,FALSE),"")</x:f>
        <x:v/>
      </x:c>
      <x:c r="J253" s="25"/>
      <x:c r="K253" s="25">
        <x:v>2021.01</x:v>
      </x:c>
      <x:c r="L253" s="25">
        <x:v>20150223</x:v>
      </x:c>
      <x:c r="M253" s="123">
        <x:v>799000</x:v>
      </x:c>
      <x:c r="N253" s="25" t="s">
        <x:v>2034</x:v>
      </x:c>
      <x:c r="O253" s="25" t="s">
        <x:v>813</x:v>
      </x:c>
      <x:c r="P253" s="157">
        <x:v>664</x:v>
      </x:c>
      <x:c r="Q253" s="25" t="s">
        <x:v>1122</x:v>
      </x:c>
      <x:c r="R253" s="25" t="s">
        <x:v>1690</x:v>
      </x:c>
      <x:c r="S253" s="25" t="s">
        <x:v>1628</x:v>
      </x:c>
      <x:c r="T253" s="25" t="s">
        <x:v>1658</x:v>
      </x:c>
      <x:c r="U253" s="25"/>
      <x:c r="V253" s="25" t="s">
        <x:v>797</x:v>
      </x:c>
      <x:c r="W253" s="91"/>
      <x:c r="X253" s="91"/>
      <x:c r="Y253" s="91"/>
      <x:c r="Z253" s="91"/>
    </x:row>
    <x:row r="254" spans="1:26" s="14" customFormat="1" customHeight="1">
      <x:c r="A254" s="25" t="str">
        <x:f>O254</x:f>
        <x:v>진국현</x:v>
      </x:c>
      <x:c r="B254" s="25" t="str">
        <x:f>L254&amp;"-"&amp;TEXT(P254,"0000")</x:f>
        <x:v>20150223-0665</x:v>
      </x:c>
      <x:c r="C254" s="25" t="s">
        <x:v>1564</x:v>
      </x:c>
      <x:c r="D254" s="25" t="s">
        <x:v>1533</x:v>
      </x:c>
      <x:c r="E254" s="25" t="s">
        <x:v>1251</x:v>
      </x:c>
      <x:c r="F254" s="25" t="s">
        <x:v>2205</x:v>
      </x:c>
      <x:c r="G254" s="25" t="s">
        <x:v>1289</x:v>
      </x:c>
      <x:c r="H254" s="25" t="str">
        <x:f>IFERROR(VLOOKUP(O254,'정보화기기 명부'!A$2:B$187,2,FALSE),"")</x:f>
        <x:v/>
      </x:c>
      <x:c r="I254" s="207"/>
      <x:c r="J254" s="25"/>
      <x:c r="K254" s="25">
        <x:v>2021.01</x:v>
      </x:c>
      <x:c r="L254" s="132">
        <x:v>20150223</x:v>
      </x:c>
      <x:c r="M254" s="123">
        <x:v>799000</x:v>
      </x:c>
      <x:c r="N254" s="25" t="s">
        <x:v>2034</x:v>
      </x:c>
      <x:c r="O254" s="25" t="s">
        <x:v>1482</x:v>
      </x:c>
      <x:c r="P254" s="157">
        <x:v>665</x:v>
      </x:c>
      <x:c r="Q254" s="25" t="s">
        <x:v>1122</x:v>
      </x:c>
      <x:c r="R254" s="25" t="s">
        <x:v>1690</x:v>
      </x:c>
      <x:c r="S254" s="25" t="s">
        <x:v>1628</x:v>
      </x:c>
      <x:c r="T254" s="25" t="s">
        <x:v>1658</x:v>
      </x:c>
      <x:c r="U254" s="25"/>
      <x:c r="V254" s="25" t="s">
        <x:v>797</x:v>
      </x:c>
      <x:c r="W254" s="91"/>
      <x:c r="X254" s="91"/>
      <x:c r="Y254" s="91"/>
      <x:c r="Z254" s="91"/>
    </x:row>
    <x:row r="255" spans="1:26" s="14" customFormat="1" customHeight="1">
      <x:c r="A255" s="260" t="str">
        <x:f>O255</x:f>
        <x:v>황근우</x:v>
      </x:c>
      <x:c r="B255" s="25" t="str">
        <x:f>L255&amp;"-"&amp;TEXT(P255,"0000")</x:f>
        <x:v>20150223-0666</x:v>
      </x:c>
      <x:c r="C255" s="25" t="s">
        <x:v>1564</x:v>
      </x:c>
      <x:c r="D255" s="25" t="s">
        <x:v>1655</x:v>
      </x:c>
      <x:c r="E255" s="25" t="s">
        <x:v>1251</x:v>
      </x:c>
      <x:c r="F255" s="25" t="s">
        <x:v>2205</x:v>
      </x:c>
      <x:c r="G255" s="25" t="s">
        <x:v>1289</x:v>
      </x:c>
      <x:c r="H255" s="25" t="str">
        <x:f>IFERROR(VLOOKUP(O255,'정보화기기 명부'!A$2:B$187,2,FALSE),"")</x:f>
        <x:v>특수교육부</x:v>
      </x:c>
      <x:c r="I255" s="207" t="str">
        <x:f>IFERROR(VLOOKUP(O255,'교직원용 IP'!$C$2:$H$230,6,FALSE),"")</x:f>
        <x:v>10.51.90.161</x:v>
      </x:c>
      <x:c r="J255" s="25"/>
      <x:c r="K255" s="25">
        <x:v>2021.01</x:v>
      </x:c>
      <x:c r="L255" s="132">
        <x:v>20150223</x:v>
      </x:c>
      <x:c r="M255" s="123">
        <x:v>799000</x:v>
      </x:c>
      <x:c r="N255" s="25" t="s">
        <x:v>2034</x:v>
      </x:c>
      <x:c r="O255" s="25" t="s">
        <x:v>1233</x:v>
      </x:c>
      <x:c r="P255" s="157">
        <x:v>666</x:v>
      </x:c>
      <x:c r="Q255" s="25" t="s">
        <x:v>1122</x:v>
      </x:c>
      <x:c r="R255" s="25" t="s">
        <x:v>1690</x:v>
      </x:c>
      <x:c r="S255" s="25" t="s">
        <x:v>1628</x:v>
      </x:c>
      <x:c r="T255" s="25" t="s">
        <x:v>1658</x:v>
      </x:c>
      <x:c r="U255" s="25"/>
      <x:c r="V255" s="25" t="s">
        <x:v>797</x:v>
      </x:c>
      <x:c r="W255" s="91"/>
      <x:c r="X255" s="91"/>
      <x:c r="Y255" s="91"/>
      <x:c r="Z255" s="91"/>
    </x:row>
    <x:row r="256" spans="1:26" s="14" customFormat="1" customHeight="1">
      <x:c r="A256" s="25" t="str">
        <x:f>O256</x:f>
        <x:v>조리사3</x:v>
      </x:c>
      <x:c r="B256" s="25" t="str">
        <x:f>L256&amp;"-"&amp;TEXT(P256,"0000")</x:f>
        <x:v>20150223-0667</x:v>
      </x:c>
      <x:c r="C256" s="25" t="s">
        <x:v>1564</x:v>
      </x:c>
      <x:c r="D256" s="25" t="s">
        <x:v>1655</x:v>
      </x:c>
      <x:c r="E256" s="25" t="s">
        <x:v>1552</x:v>
      </x:c>
      <x:c r="F256" s="25" t="s">
        <x:v>2205</x:v>
      </x:c>
      <x:c r="G256" s="25" t="s">
        <x:v>1289</x:v>
      </x:c>
      <x:c r="H256" s="25" t="str">
        <x:f>IFERROR(VLOOKUP(O256,'정보화기기 명부'!A$2:B$187,2,FALSE),"")</x:f>
        <x:v>급식실</x:v>
      </x:c>
      <x:c r="I256" s="207" t="str">
        <x:f>IFERROR(VLOOKUP(O256,'교직원용 IP'!$C$2:$H$230,6,FALSE),"")</x:f>
        <x:v>10.51.91.17</x:v>
      </x:c>
      <x:c r="J256" s="25"/>
      <x:c r="K256" s="25">
        <x:v>2021.01</x:v>
      </x:c>
      <x:c r="L256" s="132">
        <x:v>20150223</x:v>
      </x:c>
      <x:c r="M256" s="123">
        <x:v>799000</x:v>
      </x:c>
      <x:c r="N256" s="25" t="s">
        <x:v>2034</x:v>
      </x:c>
      <x:c r="O256" s="25" t="s">
        <x:v>1652</x:v>
      </x:c>
      <x:c r="P256" s="157">
        <x:v>667</x:v>
      </x:c>
      <x:c r="Q256" s="25" t="s">
        <x:v>1122</x:v>
      </x:c>
      <x:c r="R256" s="25" t="s">
        <x:v>1690</x:v>
      </x:c>
      <x:c r="S256" s="25" t="s">
        <x:v>1628</x:v>
      </x:c>
      <x:c r="T256" s="25" t="s">
        <x:v>1658</x:v>
      </x:c>
      <x:c r="U256" s="25"/>
      <x:c r="V256" s="25" t="s">
        <x:v>797</x:v>
      </x:c>
      <x:c r="W256" s="91"/>
      <x:c r="X256" s="91"/>
      <x:c r="Y256" s="91"/>
      <x:c r="Z256" s="91"/>
    </x:row>
    <x:row r="257" spans="1:26" s="14" customFormat="1" customHeight="1">
      <x:c r="A257" s="25" t="str">
        <x:f>O257</x:f>
        <x:v>구 조성기</x:v>
      </x:c>
      <x:c r="B257" s="25" t="str">
        <x:f>L257&amp;"-"&amp;TEXT(P257,"0000")</x:f>
        <x:v>20150223-0668</x:v>
      </x:c>
      <x:c r="C257" s="25" t="s">
        <x:v>1564</x:v>
      </x:c>
      <x:c r="D257" s="25" t="s">
        <x:v>1533</x:v>
      </x:c>
      <x:c r="E257" s="25" t="s">
        <x:v>1251</x:v>
      </x:c>
      <x:c r="F257" s="25" t="s">
        <x:v>2205</x:v>
      </x:c>
      <x:c r="G257" s="25" t="s">
        <x:v>1289</x:v>
      </x:c>
      <x:c r="H257" s="25" t="str">
        <x:f>IFERROR(VLOOKUP(O257,'정보화기기 명부'!A$2:B$187,2,FALSE),"")</x:f>
        <x:v/>
      </x:c>
      <x:c r="I257" s="207" t="str">
        <x:f>IFERROR(VLOOKUP(O257,'교직원용 IP'!$C$2:$H$230,6,FALSE),"")</x:f>
        <x:v/>
      </x:c>
      <x:c r="J257" s="25"/>
      <x:c r="K257" s="25">
        <x:v>2020.1099999999999</x:v>
      </x:c>
      <x:c r="L257" s="25">
        <x:v>20150223</x:v>
      </x:c>
      <x:c r="M257" s="123">
        <x:v>799000</x:v>
      </x:c>
      <x:c r="N257" s="25" t="s">
        <x:v>2034</x:v>
      </x:c>
      <x:c r="O257" s="25" t="s">
        <x:v>1701</x:v>
      </x:c>
      <x:c r="P257" s="157">
        <x:v>668</x:v>
      </x:c>
      <x:c r="Q257" s="25" t="s">
        <x:v>1122</x:v>
      </x:c>
      <x:c r="R257" s="25" t="s">
        <x:v>1690</x:v>
      </x:c>
      <x:c r="S257" s="25" t="s">
        <x:v>1628</x:v>
      </x:c>
      <x:c r="T257" s="25" t="s">
        <x:v>1658</x:v>
      </x:c>
      <x:c r="U257" s="25"/>
      <x:c r="V257" s="25" t="s">
        <x:v>797</x:v>
      </x:c>
      <x:c r="W257" s="91"/>
      <x:c r="X257" s="91"/>
      <x:c r="Y257" s="91"/>
      <x:c r="Z257" s="91"/>
    </x:row>
    <x:row r="258" spans="1:26" s="14" customFormat="1" customHeight="1">
      <x:c r="A258" s="25" t="str">
        <x:f>O258</x:f>
        <x:v>이원영</x:v>
      </x:c>
      <x:c r="B258" s="25" t="str">
        <x:f>L258&amp;"-"&amp;TEXT(P258,"0000")</x:f>
        <x:v>20150223-0669</x:v>
      </x:c>
      <x:c r="C258" s="25" t="s">
        <x:v>1564</x:v>
      </x:c>
      <x:c r="D258" s="25" t="s">
        <x:v>1533</x:v>
      </x:c>
      <x:c r="E258" s="25" t="s">
        <x:v>1251</x:v>
      </x:c>
      <x:c r="F258" s="25" t="s">
        <x:v>2205</x:v>
      </x:c>
      <x:c r="G258" s="25" t="s">
        <x:v>1289</x:v>
      </x:c>
      <x:c r="H258" s="25" t="str">
        <x:f>IFERROR(VLOOKUP(O258,'정보화기기 명부'!A$2:B$187,2,FALSE),"")</x:f>
        <x:v/>
      </x:c>
      <x:c r="I258" s="207" t="str">
        <x:f>IFERROR(VLOOKUP(O258,'교직원용 IP'!$C$2:$H$230,6,FALSE),"")</x:f>
        <x:v/>
      </x:c>
      <x:c r="J258" s="25"/>
      <x:c r="K258" s="25">
        <x:v>2021.01</x:v>
      </x:c>
      <x:c r="L258" s="132">
        <x:v>20150223</x:v>
      </x:c>
      <x:c r="M258" s="123">
        <x:v>799000</x:v>
      </x:c>
      <x:c r="N258" s="25" t="s">
        <x:v>2034</x:v>
      </x:c>
      <x:c r="O258" s="25" t="s">
        <x:v>1535</x:v>
      </x:c>
      <x:c r="P258" s="157">
        <x:v>669</x:v>
      </x:c>
      <x:c r="Q258" s="25" t="s">
        <x:v>1122</x:v>
      </x:c>
      <x:c r="R258" s="25" t="s">
        <x:v>1690</x:v>
      </x:c>
      <x:c r="S258" s="25" t="s">
        <x:v>1628</x:v>
      </x:c>
      <x:c r="T258" s="25" t="s">
        <x:v>1658</x:v>
      </x:c>
      <x:c r="U258" s="25"/>
      <x:c r="V258" s="25" t="s">
        <x:v>797</x:v>
      </x:c>
      <x:c r="W258" s="91"/>
      <x:c r="X258" s="91"/>
      <x:c r="Y258" s="91"/>
      <x:c r="Z258" s="91"/>
    </x:row>
    <x:row r="259" spans="1:26" s="14" customFormat="1" customHeight="1">
      <x:c r="A259" s="25" t="str">
        <x:f>O259</x:f>
        <x:v>인창고2(구 안준상)</x:v>
      </x:c>
      <x:c r="B259" s="25" t="str">
        <x:f>L259&amp;"-"&amp;TEXT(P259,"0000")</x:f>
        <x:v>20150223-0670</x:v>
      </x:c>
      <x:c r="C259" s="25" t="s">
        <x:v>1564</x:v>
      </x:c>
      <x:c r="D259" s="25" t="s">
        <x:v>1533</x:v>
      </x:c>
      <x:c r="E259" s="25" t="s">
        <x:v>1251</x:v>
      </x:c>
      <x:c r="F259" s="25" t="s">
        <x:v>2205</x:v>
      </x:c>
      <x:c r="G259" s="25" t="s">
        <x:v>1289</x:v>
      </x:c>
      <x:c r="H259" s="25" t="str">
        <x:f>IFERROR(VLOOKUP(O259,'정보화기기 명부'!A$2:B$187,2,FALSE),"")</x:f>
        <x:v/>
      </x:c>
      <x:c r="I259" s="207" t="str">
        <x:f>IFERROR(VLOOKUP(O259,'교직원용 IP'!$C$2:$H$230,6,FALSE),"")</x:f>
        <x:v/>
      </x:c>
      <x:c r="J259" s="25"/>
      <x:c r="K259" s="25">
        <x:v>2021.01</x:v>
      </x:c>
      <x:c r="L259" s="25">
        <x:v>20150223</x:v>
      </x:c>
      <x:c r="M259" s="123">
        <x:v>799000</x:v>
      </x:c>
      <x:c r="N259" s="25" t="s">
        <x:v>2034</x:v>
      </x:c>
      <x:c r="O259" s="25" t="s">
        <x:v>803</x:v>
      </x:c>
      <x:c r="P259" s="157">
        <x:v>670</x:v>
      </x:c>
      <x:c r="Q259" s="25" t="s">
        <x:v>1122</x:v>
      </x:c>
      <x:c r="R259" s="25" t="s">
        <x:v>1690</x:v>
      </x:c>
      <x:c r="S259" s="25" t="s">
        <x:v>1628</x:v>
      </x:c>
      <x:c r="T259" s="25" t="s">
        <x:v>1658</x:v>
      </x:c>
      <x:c r="U259" s="25"/>
      <x:c r="V259" s="25" t="s">
        <x:v>797</x:v>
      </x:c>
      <x:c r="W259" s="91"/>
      <x:c r="X259" s="91"/>
      <x:c r="Y259" s="91"/>
      <x:c r="Z259" s="91"/>
    </x:row>
    <x:row r="260" spans="1:22" customHeight="1">
      <x:c r="A260" s="25" t="str">
        <x:f>O260</x:f>
        <x:v>파워 알리미용</x:v>
      </x:c>
      <x:c r="B260" s="25" t="str">
        <x:f>L260&amp;"-"&amp;TEXT(P260,"0000")</x:f>
        <x:v>20150223-0671</x:v>
      </x:c>
      <x:c r="C260" s="25" t="s">
        <x:v>1564</x:v>
      </x:c>
      <x:c r="D260" s="25" t="s">
        <x:v>1655</x:v>
      </x:c>
      <x:c r="E260" s="25" t="s">
        <x:v>1251</x:v>
      </x:c>
      <x:c r="F260" s="25" t="s">
        <x:v>2205</x:v>
      </x:c>
      <x:c r="G260" s="25" t="s">
        <x:v>1289</x:v>
      </x:c>
      <x:c r="H260" s="25" t="str">
        <x:f>IFERROR(VLOOKUP(O260,'정보화기기 명부'!A$2:B$187,2,FALSE),"")</x:f>
        <x:v/>
      </x:c>
      <x:c r="I260" s="207" t="str">
        <x:f>IFERROR(VLOOKUP(O260,'교직원용 IP'!$C$2:$H$230,6,FALSE),"")</x:f>
        <x:v/>
      </x:c>
      <x:c r="J260" s="25"/>
      <x:c r="K260" s="25">
        <x:v>2021.01</x:v>
      </x:c>
      <x:c r="L260" s="25">
        <x:v>20150223</x:v>
      </x:c>
      <x:c r="M260" s="123">
        <x:v>799000</x:v>
      </x:c>
      <x:c r="N260" s="25" t="s">
        <x:v>2034</x:v>
      </x:c>
      <x:c r="O260" s="126" t="s">
        <x:v>1659</x:v>
      </x:c>
      <x:c r="P260" s="157">
        <x:v>671</x:v>
      </x:c>
      <x:c r="Q260" s="25" t="s">
        <x:v>1122</x:v>
      </x:c>
      <x:c r="R260" s="25" t="s">
        <x:v>1690</x:v>
      </x:c>
      <x:c r="S260" s="25" t="s">
        <x:v>1628</x:v>
      </x:c>
      <x:c r="T260" s="25" t="s">
        <x:v>1658</x:v>
      </x:c>
      <x:c r="U260" s="25"/>
      <x:c r="V260" s="25" t="s">
        <x:v>797</x:v>
      </x:c>
    </x:row>
    <x:row r="261" spans="1:22" customHeight="1">
      <x:c r="A261" s="25" t="str">
        <x:f>O261</x:f>
        <x:v>김은민3</x:v>
      </x:c>
      <x:c r="B261" s="25" t="str">
        <x:f>L261&amp;"-"&amp;TEXT(P261,"0000")</x:f>
        <x:v>20140810-0658</x:v>
      </x:c>
      <x:c r="C261" s="25" t="s">
        <x:v>1978</x:v>
      </x:c>
      <x:c r="D261" s="25" t="s">
        <x:v>1533</x:v>
      </x:c>
      <x:c r="E261" s="25" t="s">
        <x:v>1251</x:v>
      </x:c>
      <x:c r="F261" s="25" t="s">
        <x:v>3228</x:v>
      </x:c>
      <x:c r="G261" s="25" t="s">
        <x:v>1289</x:v>
      </x:c>
      <x:c r="H261" s="25" t="str">
        <x:f>IFERROR(VLOOKUP(O261,'정보화기기 명부'!A$2:B$187,2,FALSE),"")</x:f>
        <x:v>도서실</x:v>
      </x:c>
      <x:c r="I261" s="124"/>
      <x:c r="J261" s="25"/>
      <x:c r="K261" s="25">
        <x:v>2021.01</x:v>
      </x:c>
      <x:c r="L261" s="132">
        <x:v>20140810</x:v>
      </x:c>
      <x:c r="M261" s="123">
        <x:v>542260</x:v>
      </x:c>
      <x:c r="N261" s="25" t="s">
        <x:v>2034</x:v>
      </x:c>
      <x:c r="O261" s="25" t="s">
        <x:v>1671</x:v>
      </x:c>
      <x:c r="P261" s="157">
        <x:v>658</x:v>
      </x:c>
      <x:c r="Q261" s="25" t="s">
        <x:v>1122</x:v>
      </x:c>
      <x:c r="R261" s="25" t="s">
        <x:v>1643</x:v>
      </x:c>
      <x:c r="S261" s="25" t="s">
        <x:v>1654</x:v>
      </x:c>
      <x:c r="T261" s="25" t="s">
        <x:v>2037</x:v>
      </x:c>
      <x:c r="U261" s="25"/>
      <x:c r="V261" s="25" t="s">
        <x:v>797</x:v>
      </x:c>
    </x:row>
    <x:row r="262" spans="1:22" customHeight="1">
      <x:c r="A262" s="25" t="str">
        <x:f>O262</x:f>
        <x:v>구 정민우</x:v>
      </x:c>
      <x:c r="B262" s="25" t="str">
        <x:f>L262&amp;"-"&amp;TEXT(P262,"0000")</x:f>
        <x:v>20140810-0657</x:v>
      </x:c>
      <x:c r="C262" s="25" t="s">
        <x:v>1978</x:v>
      </x:c>
      <x:c r="D262" s="25" t="s">
        <x:v>1533</x:v>
      </x:c>
      <x:c r="E262" s="25" t="s">
        <x:v>1543</x:v>
      </x:c>
      <x:c r="F262" s="25" t="s">
        <x:v>3228</x:v>
      </x:c>
      <x:c r="G262" s="25" t="s">
        <x:v>1289</x:v>
      </x:c>
      <x:c r="H262" s="25" t="str">
        <x:f>IFERROR(VLOOKUP(O262,'정보화기기 명부'!A$2:B$187,2,FALSE),"")</x:f>
        <x:v/>
      </x:c>
      <x:c r="I262" s="124" t="str">
        <x:f>IFERROR(VLOOKUP(O262,'교직원용 IP'!$C$2:$H$230,6,FALSE),"")</x:f>
        <x:v/>
      </x:c>
      <x:c r="J262" s="25"/>
      <x:c r="K262" s="25">
        <x:v>2020.0699999999999</x:v>
      </x:c>
      <x:c r="L262" s="25">
        <x:v>20140810</x:v>
      </x:c>
      <x:c r="M262" s="123">
        <x:v>542260</x:v>
      </x:c>
      <x:c r="N262" s="25" t="s">
        <x:v>2034</x:v>
      </x:c>
      <x:c r="O262" s="25" t="s">
        <x:v>1722</x:v>
      </x:c>
      <x:c r="P262" s="157">
        <x:v>657</x:v>
      </x:c>
      <x:c r="Q262" s="25" t="s">
        <x:v>815</x:v>
      </x:c>
      <x:c r="R262" s="25" t="s">
        <x:v>1643</x:v>
      </x:c>
      <x:c r="S262" s="25" t="s">
        <x:v>1654</x:v>
      </x:c>
      <x:c r="T262" s="25" t="s">
        <x:v>2037</x:v>
      </x:c>
      <x:c r="U262" s="25"/>
      <x:c r="V262" s="25" t="s">
        <x:v>797</x:v>
      </x:c>
    </x:row>
    <x:row r="263" spans="1:22" customHeight="1">
      <x:c r="A263" s="25" t="str">
        <x:f>O263</x:f>
        <x:v>에어컨 관리(구 김민정)</x:v>
      </x:c>
      <x:c r="B263" s="25" t="str">
        <x:f>L263&amp;"-"&amp;TEXT(P263,"0000")</x:f>
        <x:v>20140810-0656</x:v>
      </x:c>
      <x:c r="C263" s="25" t="s">
        <x:v>1978</x:v>
      </x:c>
      <x:c r="D263" s="25" t="s">
        <x:v>1533</x:v>
      </x:c>
      <x:c r="E263" s="25" t="s">
        <x:v>1543</x:v>
      </x:c>
      <x:c r="F263" s="25" t="s">
        <x:v>3228</x:v>
      </x:c>
      <x:c r="G263" s="25" t="s">
        <x:v>1289</x:v>
      </x:c>
      <x:c r="H263" s="25" t="str">
        <x:f>IFERROR(VLOOKUP(O263,'정보화기기 명부'!A$2:B$187,2,FALSE),"")</x:f>
        <x:v/>
      </x:c>
      <x:c r="I263" s="124" t="str">
        <x:f>IFERROR(VLOOKUP(O263,'교직원용 IP'!$C$2:$H$230,6,FALSE),"")</x:f>
        <x:v/>
      </x:c>
      <x:c r="J263" s="25"/>
      <x:c r="K263" s="25">
        <x:v>2020.0699999999999</x:v>
      </x:c>
      <x:c r="L263" s="25">
        <x:v>20140810</x:v>
      </x:c>
      <x:c r="M263" s="123">
        <x:v>542260</x:v>
      </x:c>
      <x:c r="N263" s="25" t="s">
        <x:v>2034</x:v>
      </x:c>
      <x:c r="O263" s="25" t="s">
        <x:v>2176</x:v>
      </x:c>
      <x:c r="P263" s="157">
        <x:v>656</x:v>
      </x:c>
      <x:c r="Q263" s="25" t="s">
        <x:v>1122</x:v>
      </x:c>
      <x:c r="R263" s="25" t="s">
        <x:v>1643</x:v>
      </x:c>
      <x:c r="S263" s="25" t="s">
        <x:v>1654</x:v>
      </x:c>
      <x:c r="T263" s="25" t="s">
        <x:v>2037</x:v>
      </x:c>
      <x:c r="U263" s="25"/>
      <x:c r="V263" s="25" t="s">
        <x:v>797</x:v>
      </x:c>
    </x:row>
    <x:row r="264" spans="1:22" customHeight="1">
      <x:c r="A264" s="25" t="str">
        <x:f>O264</x:f>
        <x:v>곽은희</x:v>
      </x:c>
      <x:c r="B264" s="25" t="str">
        <x:f>L264&amp;"-"&amp;TEXT(P264,"0000")</x:f>
        <x:v>20140810-0659</x:v>
      </x:c>
      <x:c r="C264" s="25" t="s">
        <x:v>1564</x:v>
      </x:c>
      <x:c r="D264" s="25" t="s">
        <x:v>1533</x:v>
      </x:c>
      <x:c r="E264" s="25" t="s">
        <x:v>1251</x:v>
      </x:c>
      <x:c r="F264" s="25" t="s">
        <x:v>3227</x:v>
      </x:c>
      <x:c r="G264" s="25" t="s">
        <x:v>1289</x:v>
      </x:c>
      <x:c r="H264" s="25" t="str">
        <x:f>IFERROR(VLOOKUP(O264,'정보화기기 명부'!A$2:B$187,2,FALSE),"")</x:f>
        <x:v/>
      </x:c>
      <x:c r="I264" s="124" t="str">
        <x:f>IFERROR(VLOOKUP(O264,'교직원용 IP'!$C$2:$H$230,6,FALSE),"")</x:f>
        <x:v/>
      </x:c>
      <x:c r="J264" s="25"/>
      <x:c r="K264" s="25">
        <x:v>2021.01</x:v>
      </x:c>
      <x:c r="L264" s="132">
        <x:v>20140810</x:v>
      </x:c>
      <x:c r="M264" s="123">
        <x:v>632500</x:v>
      </x:c>
      <x:c r="N264" s="25" t="s">
        <x:v>2034</x:v>
      </x:c>
      <x:c r="O264" s="25" t="s">
        <x:v>1309</x:v>
      </x:c>
      <x:c r="P264" s="157">
        <x:v>659</x:v>
      </x:c>
      <x:c r="Q264" s="25" t="s">
        <x:v>1122</x:v>
      </x:c>
      <x:c r="R264" s="25" t="s">
        <x:v>1690</x:v>
      </x:c>
      <x:c r="S264" s="25" t="s">
        <x:v>1672</x:v>
      </x:c>
      <x:c r="T264" s="25" t="s">
        <x:v>1639</x:v>
      </x:c>
      <x:c r="U264" s="25"/>
      <x:c r="V264" s="25" t="s">
        <x:v>797</x:v>
      </x:c>
    </x:row>
    <x:row r="265" spans="1:24" customHeight="1">
      <x:c r="A265" s="25" t="str">
        <x:f>O265</x:f>
        <x:v>구 김태주(공익)</x:v>
      </x:c>
      <x:c r="B265" s="25" t="str">
        <x:f>L265&amp;"-"&amp;TEXT(P265,"0000")</x:f>
        <x:v>20140603-0770</x:v>
      </x:c>
      <x:c r="C265" s="25" t="s">
        <x:v>1978</x:v>
      </x:c>
      <x:c r="D265" s="25" t="s">
        <x:v>1655</x:v>
      </x:c>
      <x:c r="E265" s="25" t="s">
        <x:v>1552</x:v>
      </x:c>
      <x:c r="F265" s="25" t="s">
        <x:v>2168</x:v>
      </x:c>
      <x:c r="G265" s="25" t="s">
        <x:v>1537</x:v>
      </x:c>
      <x:c r="H265" s="25" t="str">
        <x:f>IFERROR(VLOOKUP(O265,'정보화기기 명부'!A$2:B$187,2,FALSE),"")</x:f>
        <x:v/>
      </x:c>
      <x:c r="I265" s="124" t="str">
        <x:f>IFERROR(VLOOKUP(O265,'교직원용 IP'!$C$2:$H$230,6,FALSE),"")</x:f>
        <x:v/>
      </x:c>
      <x:c r="J265" s="25" t="s">
        <x:v>1312</x:v>
      </x:c>
      <x:c r="K265" s="25">
        <x:v>2021.01</x:v>
      </x:c>
      <x:c r="L265" s="132">
        <x:v>20140603</x:v>
      </x:c>
      <x:c r="M265" s="123">
        <x:v>570000</x:v>
      </x:c>
      <x:c r="N265" s="25" t="s">
        <x:v>2034</x:v>
      </x:c>
      <x:c r="O265" s="25" t="s">
        <x:v>809</x:v>
      </x:c>
      <x:c r="P265" s="157">
        <x:v>770</x:v>
      </x:c>
      <x:c r="Q265" s="25" t="s">
        <x:v>1122</x:v>
      </x:c>
      <x:c r="R265" s="25" t="s">
        <x:v>1643</x:v>
      </x:c>
      <x:c r="S265" s="25" t="s">
        <x:v>1525</x:v>
      </x:c>
      <x:c r="T265" s="25" t="s">
        <x:v>1687</x:v>
      </x:c>
      <x:c r="U265" s="25"/>
      <x:c r="V265" s="25" t="s">
        <x:v>739</x:v>
      </x:c>
      <x:c r="W265" s="91" t="s">
        <x:v>1673</x:v>
      </x:c>
      <x:c r="X265" s="91" t="s">
        <x:v>742</x:v>
      </x:c>
    </x:row>
    <x:row r="266" spans="1:22" customHeight="1">
      <x:c r="A266" s="25" t="str">
        <x:f>O266</x:f>
        <x:v>김선주</x:v>
      </x:c>
      <x:c r="B266" s="25" t="str">
        <x:f>L266&amp;"-"&amp;TEXT(P266,"0000")</x:f>
        <x:v>20130902-0654</x:v>
      </x:c>
      <x:c r="C266" s="25" t="s">
        <x:v>1978</x:v>
      </x:c>
      <x:c r="D266" s="25" t="s">
        <x:v>1533</x:v>
      </x:c>
      <x:c r="E266" s="25" t="s">
        <x:v>1543</x:v>
      </x:c>
      <x:c r="F266" s="25" t="s">
        <x:v>2125</x:v>
      </x:c>
      <x:c r="G266" s="25" t="s">
        <x:v>1537</x:v>
      </x:c>
      <x:c r="H266" s="25" t="str">
        <x:f>IFERROR(VLOOKUP(O266,'정보화기기 명부'!A$2:B$187,2,FALSE),"")</x:f>
        <x:v/>
      </x:c>
      <x:c r="I266" s="382"/>
      <x:c r="J266" s="25"/>
      <x:c r="K266" s="25"/>
      <x:c r="L266" s="25">
        <x:v>20130902</x:v>
      </x:c>
      <x:c r="M266" s="123">
        <x:v>478000</x:v>
      </x:c>
      <x:c r="N266" s="25" t="s">
        <x:v>2034</x:v>
      </x:c>
      <x:c r="O266" s="25" t="s">
        <x:v>1286</x:v>
      </x:c>
      <x:c r="P266" s="157">
        <x:v>654</x:v>
      </x:c>
      <x:c r="Q266" s="25" t="s">
        <x:v>815</x:v>
      </x:c>
      <x:c r="R266" s="25" t="s">
        <x:v>2107</x:v>
      </x:c>
      <x:c r="S266" s="25" t="s">
        <x:v>1672</x:v>
      </x:c>
      <x:c r="T266" s="25" t="s">
        <x:v>1632</x:v>
      </x:c>
      <x:c r="U266" s="25"/>
      <x:c r="V266" s="25" t="s">
        <x:v>797</x:v>
      </x:c>
    </x:row>
    <x:row r="267" spans="1:26" customHeight="1">
      <x:c r="A267" s="13" t="str">
        <x:f>O267</x:f>
        <x:v>구 행정실</x:v>
      </x:c>
      <x:c r="B267" s="25" t="str">
        <x:f>L267&amp;"-"&amp;TEXT(P267,"0000")</x:f>
        <x:v>20130329-0647</x:v>
      </x:c>
      <x:c r="C267" s="25" t="s">
        <x:v>1978</x:v>
      </x:c>
      <x:c r="D267" s="13" t="s">
        <x:v>1533</x:v>
      </x:c>
      <x:c r="E267" s="13" t="s">
        <x:v>1251</x:v>
      </x:c>
      <x:c r="F267" s="13" t="s">
        <x:v>2150</x:v>
      </x:c>
      <x:c r="G267" s="13" t="s">
        <x:v>1537</x:v>
      </x:c>
      <x:c r="H267" s="202" t="str">
        <x:f>IFERROR(VLOOKUP(O267,'정보화기기 명부'!A$2:B$187,2,FALSE),"")</x:f>
        <x:v/>
      </x:c>
      <x:c r="I267" s="412"/>
      <x:c r="J267" s="13"/>
      <x:c r="K267" s="13"/>
      <x:c r="L267" s="13">
        <x:v>20130329</x:v>
      </x:c>
      <x:c r="M267" s="22">
        <x:v>1215000</x:v>
      </x:c>
      <x:c r="N267" s="13" t="s">
        <x:v>2034</x:v>
      </x:c>
      <x:c r="O267" s="13" t="s">
        <x:v>1719</x:v>
      </x:c>
      <x:c r="P267" s="202">
        <x:v>647</x:v>
      </x:c>
      <x:c r="Q267" s="13" t="s">
        <x:v>815</x:v>
      </x:c>
      <x:c r="R267" s="13" t="s">
        <x:v>1643</x:v>
      </x:c>
      <x:c r="S267" s="13" t="s">
        <x:v>1628</x:v>
      </x:c>
      <x:c r="T267" s="13" t="s">
        <x:v>1730</x:v>
      </x:c>
      <x:c r="U267" s="13"/>
      <x:c r="V267" s="13" t="s">
        <x:v>1688</x:v>
      </x:c>
      <x:c r="W267" s="14"/>
      <x:c r="X267" s="14"/>
      <x:c r="Y267" s="14"/>
      <x:c r="Z267" s="14"/>
    </x:row>
    <x:row r="268" spans="1:22" customHeight="1">
      <x:c r="A268" s="25" t="str">
        <x:f>O268</x:f>
        <x:v>선우혜경</x:v>
      </x:c>
      <x:c r="B268" s="25" t="str">
        <x:f>L268&amp;"-"&amp;TEXT(P268,"0000")</x:f>
        <x:v>20130329-0646</x:v>
      </x:c>
      <x:c r="C268" s="25" t="s">
        <x:v>1978</x:v>
      </x:c>
      <x:c r="D268" s="25" t="s">
        <x:v>1533</x:v>
      </x:c>
      <x:c r="E268" s="25" t="s">
        <x:v>1251</x:v>
      </x:c>
      <x:c r="F268" s="25" t="s">
        <x:v>2150</x:v>
      </x:c>
      <x:c r="G268" s="25" t="s">
        <x:v>1537</x:v>
      </x:c>
      <x:c r="H268" s="25" t="str">
        <x:f>IFERROR(VLOOKUP(O268,'정보화기기 명부'!A$2:B$187,2,FALSE),"")</x:f>
        <x:v/>
      </x:c>
      <x:c r="I268" s="382"/>
      <x:c r="J268" s="25"/>
      <x:c r="K268" s="25"/>
      <x:c r="L268" s="25">
        <x:v>20130329</x:v>
      </x:c>
      <x:c r="M268" s="123">
        <x:v>1215000</x:v>
      </x:c>
      <x:c r="N268" s="25" t="s">
        <x:v>2034</x:v>
      </x:c>
      <x:c r="O268" s="25" t="s">
        <x:v>1684</x:v>
      </x:c>
      <x:c r="P268" s="157">
        <x:v>646</x:v>
      </x:c>
      <x:c r="Q268" s="25" t="s">
        <x:v>815</x:v>
      </x:c>
      <x:c r="R268" s="25" t="s">
        <x:v>1643</x:v>
      </x:c>
      <x:c r="S268" s="25" t="s">
        <x:v>1263</x:v>
      </x:c>
      <x:c r="T268" s="25" t="s">
        <x:v>1305</x:v>
      </x:c>
      <x:c r="U268" s="25"/>
      <x:c r="V268" s="25" t="s">
        <x:v>1688</x:v>
      </x:c>
    </x:row>
    <x:row r="269" spans="1:22" customHeight="1">
      <x:c r="A269" s="25" t="str">
        <x:f>O269</x:f>
        <x:v>구 MBL용 8</x:v>
      </x:c>
      <x:c r="B269" s="25" t="str">
        <x:f>L269&amp;"-"&amp;TEXT(P269,"0000")</x:f>
        <x:v>20130108-0631</x:v>
      </x:c>
      <x:c r="C269" s="25" t="s">
        <x:v>1564</x:v>
      </x:c>
      <x:c r="D269" s="25" t="s">
        <x:v>1533</x:v>
      </x:c>
      <x:c r="E269" s="25" t="s">
        <x:v>1568</x:v>
      </x:c>
      <x:c r="F269" s="25" t="s">
        <x:v>3254</x:v>
      </x:c>
      <x:c r="G269" s="25" t="s">
        <x:v>1289</x:v>
      </x:c>
      <x:c r="H269" s="25" t="str">
        <x:f>IFERROR(VLOOKUP(O269,'정보화기기 명부'!A$2:B$187,2,FALSE),"")</x:f>
        <x:v/>
      </x:c>
      <x:c r="I269" s="382"/>
      <x:c r="J269" s="25"/>
      <x:c r="K269" s="25">
        <x:v>2020.0699999999999</x:v>
      </x:c>
      <x:c r="L269" s="25">
        <x:v>20130108</x:v>
      </x:c>
      <x:c r="M269" s="123">
        <x:v>1110000</x:v>
      </x:c>
      <x:c r="N269" s="25"/>
      <x:c r="O269" s="25" t="s">
        <x:v>793</x:v>
      </x:c>
      <x:c r="P269" s="157">
        <x:v>631</x:v>
      </x:c>
      <x:c r="Q269" s="25" t="s">
        <x:v>815</x:v>
      </x:c>
      <x:c r="R269" s="25" t="s">
        <x:v>1694</x:v>
      </x:c>
      <x:c r="S269" s="25" t="s">
        <x:v>1628</x:v>
      </x:c>
      <x:c r="T269" s="25" t="s">
        <x:v>2037</x:v>
      </x:c>
      <x:c r="U269" s="25"/>
      <x:c r="V269" s="25" t="s">
        <x:v>1688</x:v>
      </x:c>
    </x:row>
    <x:row r="270" spans="1:22" customHeight="1">
      <x:c r="A270" s="25" t="str">
        <x:f>O270</x:f>
        <x:v>구 MBL용 9</x:v>
      </x:c>
      <x:c r="B270" s="25" t="str">
        <x:f>L270&amp;"-"&amp;TEXT(P270,"0000")</x:f>
        <x:v>20130108-0632</x:v>
      </x:c>
      <x:c r="C270" s="25" t="s">
        <x:v>1564</x:v>
      </x:c>
      <x:c r="D270" s="25" t="s">
        <x:v>1533</x:v>
      </x:c>
      <x:c r="E270" s="25" t="s">
        <x:v>1568</x:v>
      </x:c>
      <x:c r="F270" s="25" t="s">
        <x:v>3254</x:v>
      </x:c>
      <x:c r="G270" s="25" t="s">
        <x:v>1289</x:v>
      </x:c>
      <x:c r="H270" s="25" t="str">
        <x:f>IFERROR(VLOOKUP(O270,'정보화기기 명부'!A$2:B$187,2,FALSE),"")</x:f>
        <x:v/>
      </x:c>
      <x:c r="I270" s="382"/>
      <x:c r="J270" s="25"/>
      <x:c r="K270" s="25">
        <x:v>2020.0699999999999</x:v>
      </x:c>
      <x:c r="L270" s="25">
        <x:v>20130108</x:v>
      </x:c>
      <x:c r="M270" s="123">
        <x:v>1110000</x:v>
      </x:c>
      <x:c r="N270" s="25" t="s">
        <x:v>1965</x:v>
      </x:c>
      <x:c r="O270" s="25" t="s">
        <x:v>817</x:v>
      </x:c>
      <x:c r="P270" s="157">
        <x:v>632</x:v>
      </x:c>
      <x:c r="Q270" s="25" t="s">
        <x:v>815</x:v>
      </x:c>
      <x:c r="R270" s="25" t="s">
        <x:v>1694</x:v>
      </x:c>
      <x:c r="S270" s="25" t="s">
        <x:v>1628</x:v>
      </x:c>
      <x:c r="T270" s="25" t="s">
        <x:v>2037</x:v>
      </x:c>
      <x:c r="U270" s="25"/>
      <x:c r="V270" s="25" t="s">
        <x:v>1688</x:v>
      </x:c>
    </x:row>
    <x:row r="271" spans="1:22" customHeight="1">
      <x:c r="A271" s="25" t="str">
        <x:f>O271</x:f>
        <x:v>학생회(구 WEE학생용)</x:v>
      </x:c>
      <x:c r="B271" s="25" t="str">
        <x:f>L271&amp;"-"&amp;TEXT(P271,"0000")</x:f>
        <x:v>20130108-0633</x:v>
      </x:c>
      <x:c r="C271" s="25" t="s">
        <x:v>1564</x:v>
      </x:c>
      <x:c r="D271" s="25" t="s">
        <x:v>1533</x:v>
      </x:c>
      <x:c r="E271" s="25" t="s">
        <x:v>1568</x:v>
      </x:c>
      <x:c r="F271" s="25" t="s">
        <x:v>3254</x:v>
      </x:c>
      <x:c r="G271" s="25" t="s">
        <x:v>1529</x:v>
      </x:c>
      <x:c r="H271" s="25" t="str">
        <x:f>IFERROR(VLOOKUP(O271,'정보화기기 명부'!A$2:B$187,2,FALSE),"")</x:f>
        <x:v/>
      </x:c>
      <x:c r="I271" s="382"/>
      <x:c r="J271" s="25"/>
      <x:c r="K271" s="25">
        <x:v>2020.0699999999999</x:v>
      </x:c>
      <x:c r="L271" s="25">
        <x:v>20130108</x:v>
      </x:c>
      <x:c r="M271" s="123">
        <x:v>1110000</x:v>
      </x:c>
      <x:c r="N271" s="25" t="s">
        <x:v>1965</x:v>
      </x:c>
      <x:c r="O271" s="25" t="s">
        <x:v>2133</x:v>
      </x:c>
      <x:c r="P271" s="157">
        <x:v>633</x:v>
      </x:c>
      <x:c r="Q271" s="25" t="s">
        <x:v>815</x:v>
      </x:c>
      <x:c r="R271" s="25" t="s">
        <x:v>1694</x:v>
      </x:c>
      <x:c r="S271" s="25" t="s">
        <x:v>1628</x:v>
      </x:c>
      <x:c r="T271" s="25" t="s">
        <x:v>2037</x:v>
      </x:c>
      <x:c r="U271" s="25"/>
      <x:c r="V271" s="25" t="s">
        <x:v>1688</x:v>
      </x:c>
    </x:row>
    <x:row r="272" spans="1:22" customHeight="1">
      <x:c r="A272" s="25" t="str">
        <x:f>O272</x:f>
        <x:v>구 송미선</x:v>
      </x:c>
      <x:c r="B272" s="25" t="str">
        <x:f>L272&amp;"-"&amp;TEXT(P272,"0000")</x:f>
        <x:v>20130108-0634</x:v>
      </x:c>
      <x:c r="C272" s="25" t="s">
        <x:v>1564</x:v>
      </x:c>
      <x:c r="D272" s="25" t="s">
        <x:v>1533</x:v>
      </x:c>
      <x:c r="E272" s="25" t="s">
        <x:v>1251</x:v>
      </x:c>
      <x:c r="F272" s="25" t="s">
        <x:v>3254</x:v>
      </x:c>
      <x:c r="G272" s="25" t="s">
        <x:v>1289</x:v>
      </x:c>
      <x:c r="H272" s="157" t="str">
        <x:f>IFERROR(VLOOKUP(O272,'정보화기기 명부'!A$2:B$187,2,FALSE),"")</x:f>
        <x:v/>
      </x:c>
      <x:c r="I272" s="382"/>
      <x:c r="J272" s="25"/>
      <x:c r="K272" s="25">
        <x:v>2020.0699999999999</x:v>
      </x:c>
      <x:c r="L272" s="25">
        <x:v>20130108</x:v>
      </x:c>
      <x:c r="M272" s="123">
        <x:v>1110000</x:v>
      </x:c>
      <x:c r="N272" s="25" t="s">
        <x:v>1965</x:v>
      </x:c>
      <x:c r="O272" s="25" t="s">
        <x:v>2108</x:v>
      </x:c>
      <x:c r="P272" s="157">
        <x:v>634</x:v>
      </x:c>
      <x:c r="Q272" s="25" t="s">
        <x:v>815</x:v>
      </x:c>
      <x:c r="R272" s="25" t="s">
        <x:v>1694</x:v>
      </x:c>
      <x:c r="S272" s="25" t="s">
        <x:v>1628</x:v>
      </x:c>
      <x:c r="T272" s="25" t="s">
        <x:v>2037</x:v>
      </x:c>
      <x:c r="U272" s="25"/>
      <x:c r="V272" s="25" t="s">
        <x:v>1688</x:v>
      </x:c>
    </x:row>
    <x:row r="273" spans="1:22" customHeight="1">
      <x:c r="A273" s="25" t="str">
        <x:f>O273</x:f>
        <x:v>구 탁지완</x:v>
      </x:c>
      <x:c r="B273" s="25" t="str">
        <x:f>L273&amp;"-"&amp;TEXT(P273,"0000")</x:f>
        <x:v>20130108-0635</x:v>
      </x:c>
      <x:c r="C273" s="25" t="s">
        <x:v>1564</x:v>
      </x:c>
      <x:c r="D273" s="25" t="s">
        <x:v>1533</x:v>
      </x:c>
      <x:c r="E273" s="25" t="s">
        <x:v>1251</x:v>
      </x:c>
      <x:c r="F273" s="25" t="s">
        <x:v>3254</x:v>
      </x:c>
      <x:c r="G273" s="25" t="s">
        <x:v>1289</x:v>
      </x:c>
      <x:c r="H273" s="157" t="str">
        <x:f>IFERROR(VLOOKUP(O273,'정보화기기 명부'!A$2:B$187,2,FALSE),"")</x:f>
        <x:v/>
      </x:c>
      <x:c r="I273" s="382"/>
      <x:c r="J273" s="25"/>
      <x:c r="K273" s="25">
        <x:v>2020.0699999999999</x:v>
      </x:c>
      <x:c r="L273" s="25">
        <x:v>20130108</x:v>
      </x:c>
      <x:c r="M273" s="123">
        <x:v>1110000</x:v>
      </x:c>
      <x:c r="N273" s="25" t="s">
        <x:v>1965</x:v>
      </x:c>
      <x:c r="O273" s="25" t="s">
        <x:v>2113</x:v>
      </x:c>
      <x:c r="P273" s="157">
        <x:v>635</x:v>
      </x:c>
      <x:c r="Q273" s="25" t="s">
        <x:v>815</x:v>
      </x:c>
      <x:c r="R273" s="25" t="s">
        <x:v>1694</x:v>
      </x:c>
      <x:c r="S273" s="25" t="s">
        <x:v>1628</x:v>
      </x:c>
      <x:c r="T273" s="25" t="s">
        <x:v>2037</x:v>
      </x:c>
      <x:c r="U273" s="25"/>
      <x:c r="V273" s="25" t="s">
        <x:v>1688</x:v>
      </x:c>
    </x:row>
    <x:row r="274" spans="1:22" ht="12.75" customHeight="1">
      <x:c r="A274" s="25" t="str">
        <x:f>O274</x:f>
        <x:v>MBL용 1</x:v>
      </x:c>
      <x:c r="B274" s="25" t="str">
        <x:f>L274&amp;"-"&amp;TEXT(P274,"0000")</x:f>
        <x:v>20130108-0636</x:v>
      </x:c>
      <x:c r="C274" s="25" t="s">
        <x:v>1564</x:v>
      </x:c>
      <x:c r="D274" s="25" t="s">
        <x:v>1533</x:v>
      </x:c>
      <x:c r="E274" s="25" t="s">
        <x:v>1568</x:v>
      </x:c>
      <x:c r="F274" s="25" t="s">
        <x:v>3254</x:v>
      </x:c>
      <x:c r="G274" s="25" t="s">
        <x:v>1289</x:v>
      </x:c>
      <x:c r="H274" s="25" t="str">
        <x:f>IFERROR(VLOOKUP(O274,'정보화기기 명부'!A$2:B$187,2,FALSE),"")</x:f>
        <x:v/>
      </x:c>
      <x:c r="I274" s="382"/>
      <x:c r="J274" s="25"/>
      <x:c r="K274" s="25">
        <x:v>2020.0699999999999</x:v>
      </x:c>
      <x:c r="L274" s="25">
        <x:v>20130108</x:v>
      </x:c>
      <x:c r="M274" s="123">
        <x:v>1110000</x:v>
      </x:c>
      <x:c r="N274" s="25" t="s">
        <x:v>1965</x:v>
      </x:c>
      <x:c r="O274" s="25" t="s">
        <x:v>1717</x:v>
      </x:c>
      <x:c r="P274" s="157">
        <x:v>636</x:v>
      </x:c>
      <x:c r="Q274" s="25" t="s">
        <x:v>815</x:v>
      </x:c>
      <x:c r="R274" s="25" t="s">
        <x:v>1694</x:v>
      </x:c>
      <x:c r="S274" s="25" t="s">
        <x:v>1628</x:v>
      </x:c>
      <x:c r="T274" s="25" t="s">
        <x:v>2037</x:v>
      </x:c>
      <x:c r="U274" s="25"/>
      <x:c r="V274" s="25" t="s">
        <x:v>1688</x:v>
      </x:c>
    </x:row>
    <x:row r="275" spans="1:22" customHeight="1">
      <x:c r="A275" s="25" t="str">
        <x:f>O275</x:f>
        <x:v>외부강사용</x:v>
      </x:c>
      <x:c r="B275" s="25" t="str">
        <x:f>L275&amp;"-"&amp;TEXT(P275,"0000")</x:f>
        <x:v>20130108-0637</x:v>
      </x:c>
      <x:c r="C275" s="25" t="s">
        <x:v>1564</x:v>
      </x:c>
      <x:c r="D275" s="25" t="s">
        <x:v>1533</x:v>
      </x:c>
      <x:c r="E275" s="25" t="s">
        <x:v>1251</x:v>
      </x:c>
      <x:c r="F275" s="25" t="s">
        <x:v>3254</x:v>
      </x:c>
      <x:c r="G275" s="25" t="s">
        <x:v>1289</x:v>
      </x:c>
      <x:c r="H275" s="157" t="str">
        <x:f>IFERROR(VLOOKUP(O275,'정보화기기 명부'!A$2:B$187,2,FALSE),"")</x:f>
        <x:v>정보교육부</x:v>
      </x:c>
      <x:c r="I275" s="382"/>
      <x:c r="J275" s="25"/>
      <x:c r="K275" s="25">
        <x:v>2020.1099999999999</x:v>
      </x:c>
      <x:c r="L275" s="126">
        <x:v>20130108</x:v>
      </x:c>
      <x:c r="M275" s="123">
        <x:v>1110000</x:v>
      </x:c>
      <x:c r="N275" s="25" t="s">
        <x:v>1965</x:v>
      </x:c>
      <x:c r="O275" s="25" t="s">
        <x:v>1683</x:v>
      </x:c>
      <x:c r="P275" s="157">
        <x:v>637</x:v>
      </x:c>
      <x:c r="Q275" s="25" t="s">
        <x:v>1122</x:v>
      </x:c>
      <x:c r="R275" s="25" t="s">
        <x:v>1694</x:v>
      </x:c>
      <x:c r="S275" s="25" t="s">
        <x:v>1628</x:v>
      </x:c>
      <x:c r="T275" s="25" t="s">
        <x:v>2037</x:v>
      </x:c>
      <x:c r="U275" s="25"/>
      <x:c r="V275" s="25" t="s">
        <x:v>1688</x:v>
      </x:c>
    </x:row>
    <x:row r="276" spans="1:22" customHeight="1">
      <x:c r="A276" s="25" t="str">
        <x:f>O276</x:f>
        <x:v>MBL용 8</x:v>
      </x:c>
      <x:c r="B276" s="25" t="str">
        <x:f>L276&amp;"-"&amp;TEXT(P276,"0000")</x:f>
        <x:v>20130108-0638</x:v>
      </x:c>
      <x:c r="C276" s="25" t="s">
        <x:v>1564</x:v>
      </x:c>
      <x:c r="D276" s="25" t="s">
        <x:v>1533</x:v>
      </x:c>
      <x:c r="E276" s="25" t="s">
        <x:v>1568</x:v>
      </x:c>
      <x:c r="F276" s="25" t="s">
        <x:v>3254</x:v>
      </x:c>
      <x:c r="G276" s="25" t="s">
        <x:v>1289</x:v>
      </x:c>
      <x:c r="H276" s="25" t="str">
        <x:f>IFERROR(VLOOKUP(O276,'정보화기기 명부'!A$2:B$187,2,FALSE),"")</x:f>
        <x:v/>
      </x:c>
      <x:c r="I276" s="382"/>
      <x:c r="J276" s="25"/>
      <x:c r="K276" s="25">
        <x:v>2020.1099999999999</x:v>
      </x:c>
      <x:c r="L276" s="126">
        <x:v>20130108</x:v>
      </x:c>
      <x:c r="M276" s="123">
        <x:v>1110000</x:v>
      </x:c>
      <x:c r="N276" s="25" t="s">
        <x:v>1965</x:v>
      </x:c>
      <x:c r="O276" s="25" t="s">
        <x:v>1728</x:v>
      </x:c>
      <x:c r="P276" s="157">
        <x:v>638</x:v>
      </x:c>
      <x:c r="Q276" s="25" t="s">
        <x:v>1122</x:v>
      </x:c>
      <x:c r="R276" s="25" t="s">
        <x:v>1694</x:v>
      </x:c>
      <x:c r="S276" s="25" t="s">
        <x:v>1628</x:v>
      </x:c>
      <x:c r="T276" s="25" t="s">
        <x:v>2037</x:v>
      </x:c>
      <x:c r="U276" s="25"/>
      <x:c r="V276" s="25" t="s">
        <x:v>1688</x:v>
      </x:c>
    </x:row>
    <x:row r="277" spans="1:22" customHeight="1">
      <x:c r="A277" s="25" t="str">
        <x:f>O277</x:f>
        <x:v>MBL용 7</x:v>
      </x:c>
      <x:c r="B277" s="25" t="str">
        <x:f>L277&amp;"-"&amp;TEXT(P277,"0000")</x:f>
        <x:v>20130108-0639</x:v>
      </x:c>
      <x:c r="C277" s="25" t="s">
        <x:v>1564</x:v>
      </x:c>
      <x:c r="D277" s="25" t="s">
        <x:v>1533</x:v>
      </x:c>
      <x:c r="E277" s="25" t="s">
        <x:v>1568</x:v>
      </x:c>
      <x:c r="F277" s="25" t="s">
        <x:v>3254</x:v>
      </x:c>
      <x:c r="G277" s="25" t="s">
        <x:v>1289</x:v>
      </x:c>
      <x:c r="H277" s="25" t="str">
        <x:f>IFERROR(VLOOKUP(O277,'정보화기기 명부'!A$2:B$187,2,FALSE),"")</x:f>
        <x:v/>
      </x:c>
      <x:c r="I277" s="382"/>
      <x:c r="J277" s="25"/>
      <x:c r="K277" s="25">
        <x:v>2020.1099999999999</x:v>
      </x:c>
      <x:c r="L277" s="126">
        <x:v>20130108</x:v>
      </x:c>
      <x:c r="M277" s="123">
        <x:v>1110000</x:v>
      </x:c>
      <x:c r="N277" s="25" t="s">
        <x:v>1965</x:v>
      </x:c>
      <x:c r="O277" s="25" t="s">
        <x:v>1747</x:v>
      </x:c>
      <x:c r="P277" s="157">
        <x:v>639</x:v>
      </x:c>
      <x:c r="Q277" s="25" t="s">
        <x:v>1122</x:v>
      </x:c>
      <x:c r="R277" s="25" t="s">
        <x:v>1694</x:v>
      </x:c>
      <x:c r="S277" s="25" t="s">
        <x:v>1628</x:v>
      </x:c>
      <x:c r="T277" s="25" t="s">
        <x:v>2037</x:v>
      </x:c>
      <x:c r="U277" s="25"/>
      <x:c r="V277" s="25" t="s">
        <x:v>1688</x:v>
      </x:c>
    </x:row>
    <x:row r="278" spans="1:22" customHeight="1">
      <x:c r="A278" s="25" t="str">
        <x:f>O278</x:f>
        <x:v>MBL용 6</x:v>
      </x:c>
      <x:c r="B278" s="25" t="str">
        <x:f>L278&amp;"-"&amp;TEXT(P278,"0000")</x:f>
        <x:v>20130108-0640</x:v>
      </x:c>
      <x:c r="C278" s="25" t="s">
        <x:v>1564</x:v>
      </x:c>
      <x:c r="D278" s="25" t="s">
        <x:v>1533</x:v>
      </x:c>
      <x:c r="E278" s="25" t="s">
        <x:v>1568</x:v>
      </x:c>
      <x:c r="F278" s="25" t="s">
        <x:v>3254</x:v>
      </x:c>
      <x:c r="G278" s="25" t="s">
        <x:v>1289</x:v>
      </x:c>
      <x:c r="H278" s="25" t="str">
        <x:f>IFERROR(VLOOKUP(O278,'정보화기기 명부'!A$2:B$187,2,FALSE),"")</x:f>
        <x:v/>
      </x:c>
      <x:c r="I278" s="382"/>
      <x:c r="J278" s="25"/>
      <x:c r="K278" s="25">
        <x:v>2020.1099999999999</x:v>
      </x:c>
      <x:c r="L278" s="126">
        <x:v>20130108</x:v>
      </x:c>
      <x:c r="M278" s="123">
        <x:v>1110000</x:v>
      </x:c>
      <x:c r="N278" s="25" t="s">
        <x:v>1965</x:v>
      </x:c>
      <x:c r="O278" s="25" t="s">
        <x:v>1699</x:v>
      </x:c>
      <x:c r="P278" s="157">
        <x:v>640</x:v>
      </x:c>
      <x:c r="Q278" s="25" t="s">
        <x:v>1122</x:v>
      </x:c>
      <x:c r="R278" s="25" t="s">
        <x:v>1694</x:v>
      </x:c>
      <x:c r="S278" s="25" t="s">
        <x:v>1628</x:v>
      </x:c>
      <x:c r="T278" s="25" t="s">
        <x:v>2037</x:v>
      </x:c>
      <x:c r="U278" s="25"/>
      <x:c r="V278" s="25" t="s">
        <x:v>1688</x:v>
      </x:c>
    </x:row>
    <x:row r="279" spans="1:22" customHeight="1">
      <x:c r="A279" s="25" t="str">
        <x:f>O279</x:f>
        <x:v>MBL용 5</x:v>
      </x:c>
      <x:c r="B279" s="25" t="str">
        <x:f>L279&amp;"-"&amp;TEXT(P279,"0000")</x:f>
        <x:v>20130108-0641</x:v>
      </x:c>
      <x:c r="C279" s="25" t="s">
        <x:v>1564</x:v>
      </x:c>
      <x:c r="D279" s="25" t="s">
        <x:v>1533</x:v>
      </x:c>
      <x:c r="E279" s="25" t="s">
        <x:v>1568</x:v>
      </x:c>
      <x:c r="F279" s="25" t="s">
        <x:v>3254</x:v>
      </x:c>
      <x:c r="G279" s="25" t="s">
        <x:v>1289</x:v>
      </x:c>
      <x:c r="H279" s="25" t="str">
        <x:f>IFERROR(VLOOKUP(O279,'정보화기기 명부'!A$2:B$187,2,FALSE),"")</x:f>
        <x:v/>
      </x:c>
      <x:c r="I279" s="382"/>
      <x:c r="J279" s="25"/>
      <x:c r="K279" s="25">
        <x:v>2020.1099999999999</x:v>
      </x:c>
      <x:c r="L279" s="126">
        <x:v>20130108</x:v>
      </x:c>
      <x:c r="M279" s="123">
        <x:v>1110000</x:v>
      </x:c>
      <x:c r="N279" s="25" t="s">
        <x:v>1965</x:v>
      </x:c>
      <x:c r="O279" s="25" t="s">
        <x:v>1705</x:v>
      </x:c>
      <x:c r="P279" s="157">
        <x:v>641</x:v>
      </x:c>
      <x:c r="Q279" s="25" t="s">
        <x:v>1122</x:v>
      </x:c>
      <x:c r="R279" s="25" t="s">
        <x:v>1694</x:v>
      </x:c>
      <x:c r="S279" s="25" t="s">
        <x:v>1628</x:v>
      </x:c>
      <x:c r="T279" s="25" t="s">
        <x:v>2037</x:v>
      </x:c>
      <x:c r="U279" s="25"/>
      <x:c r="V279" s="25" t="s">
        <x:v>1688</x:v>
      </x:c>
    </x:row>
    <x:row r="280" spans="1:22" customHeight="1">
      <x:c r="A280" s="25" t="str">
        <x:f>O280</x:f>
        <x:v>MBL용 4</x:v>
      </x:c>
      <x:c r="B280" s="25" t="str">
        <x:f>L280&amp;"-"&amp;TEXT(P280,"0000")</x:f>
        <x:v>20130108-0642</x:v>
      </x:c>
      <x:c r="C280" s="25" t="s">
        <x:v>1564</x:v>
      </x:c>
      <x:c r="D280" s="25" t="s">
        <x:v>1533</x:v>
      </x:c>
      <x:c r="E280" s="25" t="s">
        <x:v>1568</x:v>
      </x:c>
      <x:c r="F280" s="25" t="s">
        <x:v>3254</x:v>
      </x:c>
      <x:c r="G280" s="25" t="s">
        <x:v>1289</x:v>
      </x:c>
      <x:c r="H280" s="157" t="str">
        <x:f>IFERROR(VLOOKUP(O280,'정보화기기 명부'!A$2:B$187,2,FALSE),"")</x:f>
        <x:v/>
      </x:c>
      <x:c r="I280" s="382"/>
      <x:c r="J280" s="25"/>
      <x:c r="K280" s="25">
        <x:v>2020.1099999999999</x:v>
      </x:c>
      <x:c r="L280" s="126">
        <x:v>20130108</x:v>
      </x:c>
      <x:c r="M280" s="123">
        <x:v>1110000</x:v>
      </x:c>
      <x:c r="N280" s="25" t="s">
        <x:v>1965</x:v>
      </x:c>
      <x:c r="O280" s="25" t="s">
        <x:v>1691</x:v>
      </x:c>
      <x:c r="P280" s="157">
        <x:v>642</x:v>
      </x:c>
      <x:c r="Q280" s="25" t="s">
        <x:v>1122</x:v>
      </x:c>
      <x:c r="R280" s="25" t="s">
        <x:v>1694</x:v>
      </x:c>
      <x:c r="S280" s="25" t="s">
        <x:v>1628</x:v>
      </x:c>
      <x:c r="T280" s="25" t="s">
        <x:v>2037</x:v>
      </x:c>
      <x:c r="U280" s="25"/>
      <x:c r="V280" s="25" t="s">
        <x:v>1688</x:v>
      </x:c>
    </x:row>
    <x:row r="281" spans="1:22" customHeight="1">
      <x:c r="A281" s="25" t="str">
        <x:f>O281</x:f>
        <x:v>MBL용 3</x:v>
      </x:c>
      <x:c r="B281" s="25" t="str">
        <x:f>L281&amp;"-"&amp;TEXT(P281,"0000")</x:f>
        <x:v>20130108-0643</x:v>
      </x:c>
      <x:c r="C281" s="25" t="s">
        <x:v>1564</x:v>
      </x:c>
      <x:c r="D281" s="25" t="s">
        <x:v>1533</x:v>
      </x:c>
      <x:c r="E281" s="25" t="s">
        <x:v>1568</x:v>
      </x:c>
      <x:c r="F281" s="25" t="s">
        <x:v>3254</x:v>
      </x:c>
      <x:c r="G281" s="25" t="s">
        <x:v>1289</x:v>
      </x:c>
      <x:c r="H281" s="157" t="str">
        <x:f>IFERROR(VLOOKUP(O281,'정보화기기 명부'!A$2:B$187,2,FALSE),"")</x:f>
        <x:v/>
      </x:c>
      <x:c r="I281" s="382"/>
      <x:c r="J281" s="25"/>
      <x:c r="K281" s="25">
        <x:v>2020.1099999999999</x:v>
      </x:c>
      <x:c r="L281" s="126">
        <x:v>20130108</x:v>
      </x:c>
      <x:c r="M281" s="123">
        <x:v>1110000</x:v>
      </x:c>
      <x:c r="N281" s="25" t="s">
        <x:v>1965</x:v>
      </x:c>
      <x:c r="O281" s="25" t="s">
        <x:v>1677</x:v>
      </x:c>
      <x:c r="P281" s="157">
        <x:v>643</x:v>
      </x:c>
      <x:c r="Q281" s="25" t="s">
        <x:v>1122</x:v>
      </x:c>
      <x:c r="R281" s="25" t="s">
        <x:v>1694</x:v>
      </x:c>
      <x:c r="S281" s="25" t="s">
        <x:v>1628</x:v>
      </x:c>
      <x:c r="T281" s="25" t="s">
        <x:v>2037</x:v>
      </x:c>
      <x:c r="U281" s="25"/>
      <x:c r="V281" s="25" t="s">
        <x:v>1688</x:v>
      </x:c>
    </x:row>
    <x:row r="282" spans="1:22" customHeight="1">
      <x:c r="A282" s="25" t="str">
        <x:f>O282</x:f>
        <x:v>MBL용 2</x:v>
      </x:c>
      <x:c r="B282" s="25" t="str">
        <x:f>L282&amp;"-"&amp;TEXT(P282,"0000")</x:f>
        <x:v>20130108-0644</x:v>
      </x:c>
      <x:c r="C282" s="25" t="s">
        <x:v>1564</x:v>
      </x:c>
      <x:c r="D282" s="25" t="s">
        <x:v>1533</x:v>
      </x:c>
      <x:c r="E282" s="25" t="s">
        <x:v>1568</x:v>
      </x:c>
      <x:c r="F282" s="25" t="s">
        <x:v>3254</x:v>
      </x:c>
      <x:c r="G282" s="25" t="s">
        <x:v>1289</x:v>
      </x:c>
      <x:c r="H282" s="157" t="str">
        <x:f>IFERROR(VLOOKUP(O282,'정보화기기 명부'!A$2:B$187,2,FALSE),"")</x:f>
        <x:v/>
      </x:c>
      <x:c r="I282" s="382"/>
      <x:c r="J282" s="25"/>
      <x:c r="K282" s="25">
        <x:v>2020.1099999999999</x:v>
      </x:c>
      <x:c r="L282" s="126">
        <x:v>20130108</x:v>
      </x:c>
      <x:c r="M282" s="123">
        <x:v>1110000</x:v>
      </x:c>
      <x:c r="N282" s="25" t="s">
        <x:v>1965</x:v>
      </x:c>
      <x:c r="O282" s="25" t="s">
        <x:v>1675</x:v>
      </x:c>
      <x:c r="P282" s="157">
        <x:v>644</x:v>
      </x:c>
      <x:c r="Q282" s="25" t="s">
        <x:v>1122</x:v>
      </x:c>
      <x:c r="R282" s="25" t="s">
        <x:v>1694</x:v>
      </x:c>
      <x:c r="S282" s="25" t="s">
        <x:v>1628</x:v>
      </x:c>
      <x:c r="T282" s="25" t="s">
        <x:v>2037</x:v>
      </x:c>
      <x:c r="U282" s="25"/>
      <x:c r="V282" s="25" t="s">
        <x:v>1688</x:v>
      </x:c>
    </x:row>
    <x:row r="283" spans="1:22" customHeight="1">
      <x:c r="A283" s="25" t="str">
        <x:f>O283</x:f>
        <x:v>MBL용 1</x:v>
      </x:c>
      <x:c r="B283" s="25" t="str">
        <x:f>L283&amp;"-"&amp;TEXT(P283,"0000")</x:f>
        <x:v>20130108-0645</x:v>
      </x:c>
      <x:c r="C283" s="25" t="s">
        <x:v>1564</x:v>
      </x:c>
      <x:c r="D283" s="25" t="s">
        <x:v>1533</x:v>
      </x:c>
      <x:c r="E283" s="25" t="s">
        <x:v>1568</x:v>
      </x:c>
      <x:c r="F283" s="25" t="s">
        <x:v>3254</x:v>
      </x:c>
      <x:c r="G283" s="25" t="s">
        <x:v>1289</x:v>
      </x:c>
      <x:c r="H283" s="157" t="str">
        <x:f>IFERROR(VLOOKUP(O283,'정보화기기 명부'!A$2:B$187,2,FALSE),"")</x:f>
        <x:v/>
      </x:c>
      <x:c r="I283" s="382"/>
      <x:c r="J283" s="25"/>
      <x:c r="K283" s="25">
        <x:v>2020.1099999999999</x:v>
      </x:c>
      <x:c r="L283" s="126">
        <x:v>20130108</x:v>
      </x:c>
      <x:c r="M283" s="123">
        <x:v>1110000</x:v>
      </x:c>
      <x:c r="N283" s="25" t="s">
        <x:v>1965</x:v>
      </x:c>
      <x:c r="O283" s="25" t="s">
        <x:v>1717</x:v>
      </x:c>
      <x:c r="P283" s="157">
        <x:v>645</x:v>
      </x:c>
      <x:c r="Q283" s="25" t="s">
        <x:v>1122</x:v>
      </x:c>
      <x:c r="R283" s="25" t="s">
        <x:v>1694</x:v>
      </x:c>
      <x:c r="S283" s="25" t="s">
        <x:v>1628</x:v>
      </x:c>
      <x:c r="T283" s="25" t="s">
        <x:v>2037</x:v>
      </x:c>
      <x:c r="U283" s="25"/>
      <x:c r="V283" s="25" t="s">
        <x:v>1688</x:v>
      </x:c>
    </x:row>
    <x:row r="284" spans="1:22" customHeight="1">
      <x:c r="A284" s="25" t="str">
        <x:f>O284</x:f>
        <x:v>구 MBL용 3</x:v>
      </x:c>
      <x:c r="B284" s="25" t="str">
        <x:f>L284&amp;"-"&amp;TEXT(P284,"0000")</x:f>
        <x:v>20121128-0628</x:v>
      </x:c>
      <x:c r="C284" s="25" t="s">
        <x:v>1564</x:v>
      </x:c>
      <x:c r="D284" s="25" t="s">
        <x:v>1533</x:v>
      </x:c>
      <x:c r="E284" s="25" t="s">
        <x:v>1568</x:v>
      </x:c>
      <x:c r="F284" s="25" t="s">
        <x:v>3319</x:v>
      </x:c>
      <x:c r="G284" s="25" t="s">
        <x:v>1289</x:v>
      </x:c>
      <x:c r="H284" s="157" t="str">
        <x:f>IFERROR(VLOOKUP(O284,'정보화기기 명부'!A$2:B$187,2,FALSE),"")</x:f>
        <x:v/>
      </x:c>
      <x:c r="I284" s="382"/>
      <x:c r="J284" s="25"/>
      <x:c r="K284" s="25">
        <x:v>2020.0699999999999</x:v>
      </x:c>
      <x:c r="L284" s="25">
        <x:v>20121128</x:v>
      </x:c>
      <x:c r="M284" s="123">
        <x:v>1110000</x:v>
      </x:c>
      <x:c r="N284" s="25" t="s">
        <x:v>1965</x:v>
      </x:c>
      <x:c r="O284" s="25" t="s">
        <x:v>792</x:v>
      </x:c>
      <x:c r="P284" s="157">
        <x:v>628</x:v>
      </x:c>
      <x:c r="Q284" s="25" t="s">
        <x:v>815</x:v>
      </x:c>
      <x:c r="R284" s="25" t="s">
        <x:v>1694</x:v>
      </x:c>
      <x:c r="S284" s="25" t="s">
        <x:v>1628</x:v>
      </x:c>
      <x:c r="T284" s="25" t="s">
        <x:v>2037</x:v>
      </x:c>
      <x:c r="U284" s="25"/>
      <x:c r="V284" s="25" t="s">
        <x:v>1688</x:v>
      </x:c>
    </x:row>
    <x:row r="285" spans="1:22" customHeight="1">
      <x:c r="A285" s="25" t="str">
        <x:f>O285</x:f>
        <x:v>구 MBL용 2</x:v>
      </x:c>
      <x:c r="B285" s="25" t="str">
        <x:f>L285&amp;"-"&amp;TEXT(P285,"0000")</x:f>
        <x:v>20121128-0629</x:v>
      </x:c>
      <x:c r="C285" s="25" t="s">
        <x:v>1564</x:v>
      </x:c>
      <x:c r="D285" s="25" t="s">
        <x:v>1533</x:v>
      </x:c>
      <x:c r="E285" s="25" t="s">
        <x:v>1568</x:v>
      </x:c>
      <x:c r="F285" s="25" t="s">
        <x:v>3319</x:v>
      </x:c>
      <x:c r="G285" s="25" t="s">
        <x:v>1289</x:v>
      </x:c>
      <x:c r="H285" s="25" t="str">
        <x:f>IFERROR(VLOOKUP(O285,'정보화기기 명부'!A$2:B$187,2,FALSE),"")</x:f>
        <x:v/>
      </x:c>
      <x:c r="I285" s="382"/>
      <x:c r="J285" s="25"/>
      <x:c r="K285" s="25">
        <x:v>2020.0699999999999</x:v>
      </x:c>
      <x:c r="L285" s="25">
        <x:v>20121128</x:v>
      </x:c>
      <x:c r="M285" s="123">
        <x:v>1110000</x:v>
      </x:c>
      <x:c r="N285" s="25" t="s">
        <x:v>1965</x:v>
      </x:c>
      <x:c r="O285" s="25" t="s">
        <x:v>812</x:v>
      </x:c>
      <x:c r="P285" s="157">
        <x:v>629</x:v>
      </x:c>
      <x:c r="Q285" s="25" t="s">
        <x:v>815</x:v>
      </x:c>
      <x:c r="R285" s="25" t="s">
        <x:v>1694</x:v>
      </x:c>
      <x:c r="S285" s="25" t="s">
        <x:v>1628</x:v>
      </x:c>
      <x:c r="T285" s="25" t="s">
        <x:v>2037</x:v>
      </x:c>
      <x:c r="U285" s="25"/>
      <x:c r="V285" s="25" t="s">
        <x:v>1688</x:v>
      </x:c>
    </x:row>
    <x:row r="286" spans="1:22" customHeight="1">
      <x:c r="A286" s="25" t="str">
        <x:f>O286</x:f>
        <x:v>구 외부강사용</x:v>
      </x:c>
      <x:c r="B286" s="25" t="str">
        <x:f>L286&amp;"-"&amp;TEXT(P286,"0000")</x:f>
        <x:v>20121128-0630</x:v>
      </x:c>
      <x:c r="C286" s="25" t="s">
        <x:v>1564</x:v>
      </x:c>
      <x:c r="D286" s="25" t="s">
        <x:v>1533</x:v>
      </x:c>
      <x:c r="E286" s="25" t="s">
        <x:v>1251</x:v>
      </x:c>
      <x:c r="F286" s="25" t="s">
        <x:v>3319</x:v>
      </x:c>
      <x:c r="G286" s="25" t="s">
        <x:v>1289</x:v>
      </x:c>
      <x:c r="H286" s="25" t="str">
        <x:f>IFERROR(VLOOKUP(O286,'정보화기기 명부'!A$2:B$187,2,FALSE),"")</x:f>
        <x:v/>
      </x:c>
      <x:c r="I286" s="382"/>
      <x:c r="J286" s="25"/>
      <x:c r="K286" s="25">
        <x:v>2020.0699999999999</x:v>
      </x:c>
      <x:c r="L286" s="25">
        <x:v>20121128</x:v>
      </x:c>
      <x:c r="M286" s="123">
        <x:v>1110000</x:v>
      </x:c>
      <x:c r="N286" s="25" t="s">
        <x:v>1965</x:v>
      </x:c>
      <x:c r="O286" s="25" t="s">
        <x:v>1721</x:v>
      </x:c>
      <x:c r="P286" s="157">
        <x:v>630</x:v>
      </x:c>
      <x:c r="Q286" s="25" t="s">
        <x:v>815</x:v>
      </x:c>
      <x:c r="R286" s="25" t="s">
        <x:v>1694</x:v>
      </x:c>
      <x:c r="S286" s="25" t="s">
        <x:v>1628</x:v>
      </x:c>
      <x:c r="T286" s="25" t="s">
        <x:v>2037</x:v>
      </x:c>
      <x:c r="U286" s="25"/>
      <x:c r="V286" s="25" t="s">
        <x:v>1688</x:v>
      </x:c>
    </x:row>
    <x:row r="287" spans="1:26" customHeight="1">
      <x:c r="A287" s="13" t="str">
        <x:f>O287</x:f>
        <x:v>MBL용 9</x:v>
      </x:c>
      <x:c r="B287" s="25" t="str">
        <x:f>L287&amp;"-"&amp;TEXT(P287,"0000")</x:f>
        <x:v>20120827-0572</x:v>
      </x:c>
      <x:c r="C287" s="13" t="s">
        <x:v>1564</x:v>
      </x:c>
      <x:c r="D287" s="13" t="s">
        <x:v>1533</x:v>
      </x:c>
      <x:c r="E287" s="13" t="s">
        <x:v>1568</x:v>
      </x:c>
      <x:c r="F287" s="13" t="s">
        <x:v>3319</x:v>
      </x:c>
      <x:c r="G287" s="13" t="s">
        <x:v>1289</x:v>
      </x:c>
      <x:c r="H287" s="13" t="str">
        <x:f>IFERROR(VLOOKUP(O287,'정보화기기 명부'!A$2:B$187,2,FALSE),"")</x:f>
        <x:v/>
      </x:c>
      <x:c r="I287" s="412"/>
      <x:c r="J287" s="13" t="s">
        <x:v>1640</x:v>
      </x:c>
      <x:c r="K287" s="13"/>
      <x:c r="L287" s="13">
        <x:v>20120827</x:v>
      </x:c>
      <x:c r="M287" s="22">
        <x:v>1120000</x:v>
      </x:c>
      <x:c r="N287" s="13" t="s">
        <x:v>1965</x:v>
      </x:c>
      <x:c r="O287" s="13" t="s">
        <x:v>1707</x:v>
      </x:c>
      <x:c r="P287" s="202">
        <x:v>572</x:v>
      </x:c>
      <x:c r="Q287" s="13" t="s">
        <x:v>815</x:v>
      </x:c>
      <x:c r="R287" s="13" t="s">
        <x:v>1694</x:v>
      </x:c>
      <x:c r="S287" s="13" t="s">
        <x:v>1702</x:v>
      </x:c>
      <x:c r="T287" s="13" t="s">
        <x:v>1322</x:v>
      </x:c>
      <x:c r="U287" s="13"/>
      <x:c r="V287" s="13" t="s">
        <x:v>1688</x:v>
      </x:c>
      <x:c r="W287" s="14"/>
      <x:c r="X287" s="14"/>
      <x:c r="Y287" s="14"/>
      <x:c r="Z287" s="14"/>
    </x:row>
    <x:row r="288" spans="1:22" customHeight="1">
      <x:c r="A288" s="25" t="str">
        <x:f>O288</x:f>
        <x:v>구 김정연</x:v>
      </x:c>
      <x:c r="B288" s="25" t="str">
        <x:f>L288&amp;"-"&amp;TEXT(P288,"0000")</x:f>
        <x:v>20120827-0574</x:v>
      </x:c>
      <x:c r="C288" s="25" t="s">
        <x:v>1564</x:v>
      </x:c>
      <x:c r="D288" s="25" t="s">
        <x:v>1533</x:v>
      </x:c>
      <x:c r="E288" s="25" t="s">
        <x:v>1251</x:v>
      </x:c>
      <x:c r="F288" s="25" t="s">
        <x:v>3319</x:v>
      </x:c>
      <x:c r="G288" s="25" t="s">
        <x:v>1289</x:v>
      </x:c>
      <x:c r="H288" s="25" t="str">
        <x:f>IFERROR(VLOOKUP(O288,'정보화기기 명부'!A$2:B$187,2,FALSE),"")</x:f>
        <x:v/>
      </x:c>
      <x:c r="I288" s="382"/>
      <x:c r="J288" s="25"/>
      <x:c r="K288" s="25">
        <x:v>2020.0699999999999</x:v>
      </x:c>
      <x:c r="L288" s="25">
        <x:v>20120827</x:v>
      </x:c>
      <x:c r="M288" s="123">
        <x:v>1120000</x:v>
      </x:c>
      <x:c r="N288" s="25" t="s">
        <x:v>1965</x:v>
      </x:c>
      <x:c r="O288" s="25" t="s">
        <x:v>1711</x:v>
      </x:c>
      <x:c r="P288" s="157">
        <x:v>574</x:v>
      </x:c>
      <x:c r="Q288" s="25" t="s">
        <x:v>815</x:v>
      </x:c>
      <x:c r="R288" s="25" t="s">
        <x:v>1694</x:v>
      </x:c>
      <x:c r="S288" s="25" t="s">
        <x:v>1628</x:v>
      </x:c>
      <x:c r="T288" s="25" t="s">
        <x:v>2037</x:v>
      </x:c>
      <x:c r="U288" s="25"/>
      <x:c r="V288" s="25" t="s">
        <x:v>1688</x:v>
      </x:c>
    </x:row>
    <x:row r="289" spans="1:22" customHeight="1">
      <x:c r="A289" s="25" t="str">
        <x:f>O289</x:f>
        <x:v>구 MBL용 7</x:v>
      </x:c>
      <x:c r="B289" s="25" t="str">
        <x:f>L289&amp;"-"&amp;TEXT(P289,"0000")</x:f>
        <x:v>20120827-0575</x:v>
      </x:c>
      <x:c r="C289" s="25" t="s">
        <x:v>1564</x:v>
      </x:c>
      <x:c r="D289" s="25" t="s">
        <x:v>1533</x:v>
      </x:c>
      <x:c r="E289" s="25" t="s">
        <x:v>1568</x:v>
      </x:c>
      <x:c r="F289" s="25" t="s">
        <x:v>3319</x:v>
      </x:c>
      <x:c r="G289" s="25" t="s">
        <x:v>1289</x:v>
      </x:c>
      <x:c r="H289" s="25" t="str">
        <x:f>IFERROR(VLOOKUP(O289,'정보화기기 명부'!A$2:B$187,2,FALSE),"")</x:f>
        <x:v/>
      </x:c>
      <x:c r="I289" s="382"/>
      <x:c r="J289" s="25"/>
      <x:c r="K289" s="25">
        <x:v>2020.0699999999999</x:v>
      </x:c>
      <x:c r="L289" s="25">
        <x:v>20120827</x:v>
      </x:c>
      <x:c r="M289" s="123">
        <x:v>1120000</x:v>
      </x:c>
      <x:c r="N289" s="25" t="s">
        <x:v>1965</x:v>
      </x:c>
      <x:c r="O289" s="25" t="s">
        <x:v>814</x:v>
      </x:c>
      <x:c r="P289" s="157">
        <x:v>575</x:v>
      </x:c>
      <x:c r="Q289" s="25" t="s">
        <x:v>815</x:v>
      </x:c>
      <x:c r="R289" s="25" t="s">
        <x:v>1694</x:v>
      </x:c>
      <x:c r="S289" s="25" t="s">
        <x:v>1628</x:v>
      </x:c>
      <x:c r="T289" s="25" t="s">
        <x:v>2037</x:v>
      </x:c>
      <x:c r="U289" s="25"/>
      <x:c r="V289" s="25" t="s">
        <x:v>1688</x:v>
      </x:c>
    </x:row>
    <x:row r="290" spans="1:22" customHeight="1">
      <x:c r="A290" s="25" t="str">
        <x:f>O290</x:f>
        <x:v>구 MBL용 6</x:v>
      </x:c>
      <x:c r="B290" s="25" t="str">
        <x:f>L290&amp;"-"&amp;TEXT(P290,"0000")</x:f>
        <x:v>20120827-0576</x:v>
      </x:c>
      <x:c r="C290" s="25" t="s">
        <x:v>1564</x:v>
      </x:c>
      <x:c r="D290" s="25" t="s">
        <x:v>1533</x:v>
      </x:c>
      <x:c r="E290" s="88" t="s">
        <x:v>1568</x:v>
      </x:c>
      <x:c r="F290" s="93" t="s">
        <x:v>3319</x:v>
      </x:c>
      <x:c r="G290" s="25" t="s">
        <x:v>1289</x:v>
      </x:c>
      <x:c r="H290" s="25" t="str">
        <x:f>IFERROR(VLOOKUP(O290,'정보화기기 명부'!A$2:B$187,2,FALSE),"")</x:f>
        <x:v/>
      </x:c>
      <x:c r="I290" s="382"/>
      <x:c r="J290" s="25"/>
      <x:c r="K290" s="25">
        <x:v>2020.0699999999999</x:v>
      </x:c>
      <x:c r="L290" s="25">
        <x:v>20120827</x:v>
      </x:c>
      <x:c r="M290" s="123">
        <x:v>1120000</x:v>
      </x:c>
      <x:c r="N290" s="25" t="s">
        <x:v>1965</x:v>
      </x:c>
      <x:c r="O290" s="25" t="s">
        <x:v>820</x:v>
      </x:c>
      <x:c r="P290" s="157">
        <x:v>576</x:v>
      </x:c>
      <x:c r="Q290" s="25" t="s">
        <x:v>815</x:v>
      </x:c>
      <x:c r="R290" s="25" t="s">
        <x:v>1694</x:v>
      </x:c>
      <x:c r="S290" s="25" t="s">
        <x:v>1628</x:v>
      </x:c>
      <x:c r="T290" s="25" t="s">
        <x:v>2037</x:v>
      </x:c>
      <x:c r="U290" s="25"/>
      <x:c r="V290" s="25" t="s">
        <x:v>1688</x:v>
      </x:c>
    </x:row>
    <x:row r="291" spans="1:22" customHeight="1">
      <x:c r="A291" s="25" t="str">
        <x:f>O291</x:f>
        <x:v>구 MBL용 5</x:v>
      </x:c>
      <x:c r="B291" s="25" t="str">
        <x:f>L291&amp;"-"&amp;TEXT(P291,"0000")</x:f>
        <x:v>20120827-0577</x:v>
      </x:c>
      <x:c r="C291" s="25" t="s">
        <x:v>1564</x:v>
      </x:c>
      <x:c r="D291" s="25" t="s">
        <x:v>1533</x:v>
      </x:c>
      <x:c r="E291" s="25" t="s">
        <x:v>1568</x:v>
      </x:c>
      <x:c r="F291" s="25" t="s">
        <x:v>3319</x:v>
      </x:c>
      <x:c r="G291" s="25" t="s">
        <x:v>1289</x:v>
      </x:c>
      <x:c r="H291" s="25" t="str">
        <x:f>IFERROR(VLOOKUP(O291,'정보화기기 명부'!A$2:B$187,2,FALSE),"")</x:f>
        <x:v/>
      </x:c>
      <x:c r="I291" s="382"/>
      <x:c r="J291" s="25"/>
      <x:c r="K291" s="25">
        <x:v>2020.0699999999999</x:v>
      </x:c>
      <x:c r="L291" s="25">
        <x:v>20120827</x:v>
      </x:c>
      <x:c r="M291" s="123">
        <x:v>1120000</x:v>
      </x:c>
      <x:c r="N291" s="25" t="s">
        <x:v>1965</x:v>
      </x:c>
      <x:c r="O291" s="25" t="s">
        <x:v>811</x:v>
      </x:c>
      <x:c r="P291" s="157">
        <x:v>577</x:v>
      </x:c>
      <x:c r="Q291" s="25" t="s">
        <x:v>815</x:v>
      </x:c>
      <x:c r="R291" s="25" t="s">
        <x:v>1694</x:v>
      </x:c>
      <x:c r="S291" s="25" t="s">
        <x:v>1628</x:v>
      </x:c>
      <x:c r="T291" s="25" t="s">
        <x:v>2037</x:v>
      </x:c>
      <x:c r="U291" s="25"/>
      <x:c r="V291" s="25" t="s">
        <x:v>1688</x:v>
      </x:c>
    </x:row>
    <x:row r="292" spans="1:22" customHeight="1">
      <x:c r="A292" s="25" t="str">
        <x:f>O292</x:f>
        <x:v>구 MBL용 4</x:v>
      </x:c>
      <x:c r="B292" s="25" t="str">
        <x:f>L292&amp;"-"&amp;TEXT(P292,"0000")</x:f>
        <x:v>20120827-0578</x:v>
      </x:c>
      <x:c r="C292" s="25" t="s">
        <x:v>1564</x:v>
      </x:c>
      <x:c r="D292" s="25" t="s">
        <x:v>1533</x:v>
      </x:c>
      <x:c r="E292" s="25" t="s">
        <x:v>1568</x:v>
      </x:c>
      <x:c r="F292" s="25" t="s">
        <x:v>3319</x:v>
      </x:c>
      <x:c r="G292" s="25" t="s">
        <x:v>1289</x:v>
      </x:c>
      <x:c r="H292" s="25" t="str">
        <x:f>IFERROR(VLOOKUP(O292,'정보화기기 명부'!A$2:B$187,2,FALSE),"")</x:f>
        <x:v/>
      </x:c>
      <x:c r="I292" s="382"/>
      <x:c r="J292" s="25"/>
      <x:c r="K292" s="25">
        <x:v>2020.0699999999999</x:v>
      </x:c>
      <x:c r="L292" s="25">
        <x:v>20120827</x:v>
      </x:c>
      <x:c r="M292" s="123">
        <x:v>1120000</x:v>
      </x:c>
      <x:c r="N292" s="25" t="s">
        <x:v>1965</x:v>
      </x:c>
      <x:c r="O292" s="25" t="s">
        <x:v>819</x:v>
      </x:c>
      <x:c r="P292" s="157">
        <x:v>578</x:v>
      </x:c>
      <x:c r="Q292" s="25" t="s">
        <x:v>815</x:v>
      </x:c>
      <x:c r="R292" s="25" t="s">
        <x:v>1694</x:v>
      </x:c>
      <x:c r="S292" s="25" t="s">
        <x:v>1628</x:v>
      </x:c>
      <x:c r="T292" s="25" t="s">
        <x:v>2037</x:v>
      </x:c>
      <x:c r="U292" s="25"/>
      <x:c r="V292" s="25" t="s">
        <x:v>1688</x:v>
      </x:c>
    </x:row>
    <x:row r="293" spans="1:22" customHeight="1">
      <x:c r="A293" s="25" t="str">
        <x:f>O293</x:f>
        <x:v>물리실험실용</x:v>
      </x:c>
      <x:c r="B293" s="25" t="str">
        <x:f>L293&amp;"-"&amp;TEXT(P293,"0000")</x:f>
        <x:v>20120524-0653</x:v>
      </x:c>
      <x:c r="C293" s="25" t="s">
        <x:v>1978</x:v>
      </x:c>
      <x:c r="D293" s="25" t="s">
        <x:v>1533</x:v>
      </x:c>
      <x:c r="E293" s="25" t="s">
        <x:v>1251</x:v>
      </x:c>
      <x:c r="F293" s="25" t="s">
        <x:v>3237</x:v>
      </x:c>
      <x:c r="G293" s="25" t="s">
        <x:v>1289</x:v>
      </x:c>
      <x:c r="H293" s="25" t="str">
        <x:f>IFERROR(VLOOKUP(O293,'정보화기기 명부'!A$2:B$187,2,FALSE),"")</x:f>
        <x:v/>
      </x:c>
      <x:c r="I293" s="382"/>
      <x:c r="J293" s="25"/>
      <x:c r="K293" s="25" t="s">
        <x:v>830</x:v>
      </x:c>
      <x:c r="L293" s="126">
        <x:v>20120524</x:v>
      </x:c>
      <x:c r="M293" s="123">
        <x:v>611100</x:v>
      </x:c>
      <x:c r="N293" s="25" t="s">
        <x:v>2034</x:v>
      </x:c>
      <x:c r="O293" s="25" t="s">
        <x:v>1697</x:v>
      </x:c>
      <x:c r="P293" s="157">
        <x:v>653</x:v>
      </x:c>
      <x:c r="Q293" s="25" t="s">
        <x:v>1122</x:v>
      </x:c>
      <x:c r="R293" s="25" t="s">
        <x:v>1689</x:v>
      </x:c>
      <x:c r="S293" s="25" t="s">
        <x:v>1672</x:v>
      </x:c>
      <x:c r="T293" s="25" t="s">
        <x:v>1632</x:v>
      </x:c>
      <x:c r="U293" s="25"/>
      <x:c r="V293" s="25" t="s">
        <x:v>2030</x:v>
      </x:c>
    </x:row>
    <x:row r="294" spans="1:22" customHeight="1">
      <x:c r="A294" s="25" t="str">
        <x:f>O294</x:f>
        <x:v>화학실험실용</x:v>
      </x:c>
      <x:c r="B294" s="25" t="str">
        <x:f>L294&amp;"-"&amp;TEXT(P294,"0000")</x:f>
        <x:v>20120524-0652</x:v>
      </x:c>
      <x:c r="C294" s="25" t="s">
        <x:v>1978</x:v>
      </x:c>
      <x:c r="D294" s="25" t="s">
        <x:v>1533</x:v>
      </x:c>
      <x:c r="E294" s="25" t="s">
        <x:v>1251</x:v>
      </x:c>
      <x:c r="F294" s="25" t="s">
        <x:v>3237</x:v>
      </x:c>
      <x:c r="G294" s="25" t="s">
        <x:v>1289</x:v>
      </x:c>
      <x:c r="H294" s="25" t="str">
        <x:f>IFERROR(VLOOKUP(O294,'정보화기기 명부'!A$2:B$187,2,FALSE),"")</x:f>
        <x:v/>
      </x:c>
      <x:c r="I294" s="382"/>
      <x:c r="J294" s="25"/>
      <x:c r="K294" s="25" t="s">
        <x:v>830</x:v>
      </x:c>
      <x:c r="L294" s="126">
        <x:v>20120524</x:v>
      </x:c>
      <x:c r="M294" s="123">
        <x:v>611100</x:v>
      </x:c>
      <x:c r="N294" s="25" t="s">
        <x:v>2034</x:v>
      </x:c>
      <x:c r="O294" s="25" t="s">
        <x:v>1708</x:v>
      </x:c>
      <x:c r="P294" s="157">
        <x:v>652</x:v>
      </x:c>
      <x:c r="Q294" s="25" t="s">
        <x:v>1122</x:v>
      </x:c>
      <x:c r="R294" s="25" t="s">
        <x:v>1689</x:v>
      </x:c>
      <x:c r="S294" s="25" t="s">
        <x:v>1672</x:v>
      </x:c>
      <x:c r="T294" s="25" t="s">
        <x:v>1632</x:v>
      </x:c>
      <x:c r="U294" s="25"/>
      <x:c r="V294" s="25" t="s">
        <x:v>2030</x:v>
      </x:c>
    </x:row>
    <x:row r="295" spans="1:22" customHeight="1">
      <x:c r="A295" s="25" t="str">
        <x:f>O295</x:f>
        <x:v>생명과학실험실용</x:v>
      </x:c>
      <x:c r="B295" s="25" t="str">
        <x:f>L295&amp;"-"&amp;TEXT(P295,"0000")</x:f>
        <x:v>20120524-0651</x:v>
      </x:c>
      <x:c r="C295" s="25" t="s">
        <x:v>1978</x:v>
      </x:c>
      <x:c r="D295" s="25" t="s">
        <x:v>1533</x:v>
      </x:c>
      <x:c r="E295" s="25" t="s">
        <x:v>1251</x:v>
      </x:c>
      <x:c r="F295" s="25" t="s">
        <x:v>3237</x:v>
      </x:c>
      <x:c r="G295" s="25" t="s">
        <x:v>1289</x:v>
      </x:c>
      <x:c r="H295" s="25" t="str">
        <x:f>IFERROR(VLOOKUP(O295,'정보화기기 명부'!A$2:B$187,2,FALSE),"")</x:f>
        <x:v/>
      </x:c>
      <x:c r="I295" s="382"/>
      <x:c r="J295" s="25"/>
      <x:c r="K295" s="25" t="s">
        <x:v>830</x:v>
      </x:c>
      <x:c r="L295" s="126">
        <x:v>20120524</x:v>
      </x:c>
      <x:c r="M295" s="123">
        <x:v>611100</x:v>
      </x:c>
      <x:c r="N295" s="25" t="s">
        <x:v>2034</x:v>
      </x:c>
      <x:c r="O295" s="25" t="s">
        <x:v>823</x:v>
      </x:c>
      <x:c r="P295" s="157">
        <x:v>651</x:v>
      </x:c>
      <x:c r="Q295" s="25" t="s">
        <x:v>1122</x:v>
      </x:c>
      <x:c r="R295" s="25" t="s">
        <x:v>1689</x:v>
      </x:c>
      <x:c r="S295" s="25" t="s">
        <x:v>1672</x:v>
      </x:c>
      <x:c r="T295" s="25" t="s">
        <x:v>1632</x:v>
      </x:c>
      <x:c r="U295" s="25"/>
      <x:c r="V295" s="25" t="s">
        <x:v>2030</x:v>
      </x:c>
    </x:row>
    <x:row r="296" spans="1:22" customHeight="1">
      <x:c r="A296" s="25" t="str">
        <x:f>O296</x:f>
        <x:v>지구과학실험실용</x:v>
      </x:c>
      <x:c r="B296" s="25" t="str">
        <x:f>L296&amp;"-"&amp;TEXT(P296,"0000")</x:f>
        <x:v>20120524-0650</x:v>
      </x:c>
      <x:c r="C296" s="25" t="s">
        <x:v>1978</x:v>
      </x:c>
      <x:c r="D296" s="25" t="s">
        <x:v>1533</x:v>
      </x:c>
      <x:c r="E296" s="25" t="s">
        <x:v>1251</x:v>
      </x:c>
      <x:c r="F296" s="25" t="s">
        <x:v>3237</x:v>
      </x:c>
      <x:c r="G296" s="25" t="s">
        <x:v>1289</x:v>
      </x:c>
      <x:c r="H296" s="25" t="str">
        <x:f>IFERROR(VLOOKUP(O296,'정보화기기 명부'!A$2:B$187,2,FALSE),"")</x:f>
        <x:v/>
      </x:c>
      <x:c r="I296" s="382"/>
      <x:c r="J296" s="25"/>
      <x:c r="K296" s="25" t="s">
        <x:v>830</x:v>
      </x:c>
      <x:c r="L296" s="126">
        <x:v>20120524</x:v>
      </x:c>
      <x:c r="M296" s="123">
        <x:v>611100</x:v>
      </x:c>
      <x:c r="N296" s="25" t="s">
        <x:v>2034</x:v>
      </x:c>
      <x:c r="O296" s="25" t="s">
        <x:v>540</x:v>
      </x:c>
      <x:c r="P296" s="157">
        <x:v>650</x:v>
      </x:c>
      <x:c r="Q296" s="25" t="s">
        <x:v>1122</x:v>
      </x:c>
      <x:c r="R296" s="25" t="s">
        <x:v>1689</x:v>
      </x:c>
      <x:c r="S296" s="25" t="s">
        <x:v>1672</x:v>
      </x:c>
      <x:c r="T296" s="25" t="s">
        <x:v>1632</x:v>
      </x:c>
      <x:c r="U296" s="25"/>
      <x:c r="V296" s="25" t="s">
        <x:v>2030</x:v>
      </x:c>
    </x:row>
    <x:row r="297" spans="1:22" customHeight="1">
      <x:c r="A297" s="25" t="str">
        <x:f>O297</x:f>
        <x:v>구 정보과학실용</x:v>
      </x:c>
      <x:c r="B297" s="25" t="str">
        <x:f>L297&amp;"-"&amp;TEXT(P297,"0000")</x:f>
        <x:v>20120524-0649</x:v>
      </x:c>
      <x:c r="C297" s="25" t="s">
        <x:v>1978</x:v>
      </x:c>
      <x:c r="D297" s="25" t="s">
        <x:v>1533</x:v>
      </x:c>
      <x:c r="E297" s="25" t="s">
        <x:v>1251</x:v>
      </x:c>
      <x:c r="F297" s="25" t="s">
        <x:v>3237</x:v>
      </x:c>
      <x:c r="G297" s="25" t="s">
        <x:v>1289</x:v>
      </x:c>
      <x:c r="H297" s="25" t="str">
        <x:f>IFERROR(VLOOKUP(O297,'정보화기기 명부'!A$2:B$187,2,FALSE),"")</x:f>
        <x:v/>
      </x:c>
      <x:c r="I297" s="382"/>
      <x:c r="J297" s="25"/>
      <x:c r="K297" s="25" t="s">
        <x:v>806</x:v>
      </x:c>
      <x:c r="L297" s="25">
        <x:v>20120524</x:v>
      </x:c>
      <x:c r="M297" s="123">
        <x:v>611100</x:v>
      </x:c>
      <x:c r="N297" s="25" t="s">
        <x:v>2034</x:v>
      </x:c>
      <x:c r="O297" s="25" t="s">
        <x:v>807</x:v>
      </x:c>
      <x:c r="P297" s="157">
        <x:v>649</x:v>
      </x:c>
      <x:c r="Q297" s="25" t="s">
        <x:v>815</x:v>
      </x:c>
      <x:c r="R297" s="25" t="s">
        <x:v>1689</x:v>
      </x:c>
      <x:c r="S297" s="25" t="s">
        <x:v>1672</x:v>
      </x:c>
      <x:c r="T297" s="25" t="s">
        <x:v>1632</x:v>
      </x:c>
      <x:c r="U297" s="25"/>
      <x:c r="V297" s="25" t="s">
        <x:v>2030</x:v>
      </x:c>
    </x:row>
    <x:row r="298" spans="1:22" customHeight="1">
      <x:c r="A298" s="25" t="str">
        <x:f>O298</x:f>
        <x:v>플로터용</x:v>
      </x:c>
      <x:c r="B298" s="25" t="str">
        <x:f>L298&amp;"-"&amp;TEXT(P298,"0000")</x:f>
        <x:v>20120522-0648</x:v>
      </x:c>
      <x:c r="C298" s="25" t="s">
        <x:v>1978</x:v>
      </x:c>
      <x:c r="D298" s="25" t="s">
        <x:v>1533</x:v>
      </x:c>
      <x:c r="E298" s="25" t="s">
        <x:v>3145</x:v>
      </x:c>
      <x:c r="F298" s="25" t="s">
        <x:v>1727</x:v>
      </x:c>
      <x:c r="G298" s="25" t="s">
        <x:v>1289</x:v>
      </x:c>
      <x:c r="H298" s="25" t="str">
        <x:f>IFERROR(VLOOKUP(O298,'정보화기기 명부'!A$2:B$187,2,FALSE),"")</x:f>
        <x:v>정보교육부</x:v>
      </x:c>
      <x:c r="I298" s="382"/>
      <x:c r="J298" s="25"/>
      <x:c r="K298" s="25">
        <x:v>2020.1099999999999</x:v>
      </x:c>
      <x:c r="L298" s="126">
        <x:v>20120522</x:v>
      </x:c>
      <x:c r="M298" s="123">
        <x:v>611100</x:v>
      </x:c>
      <x:c r="N298" s="25" t="s">
        <x:v>2034</x:v>
      </x:c>
      <x:c r="O298" s="25" t="s">
        <x:v>1645</x:v>
      </x:c>
      <x:c r="P298" s="157">
        <x:v>648</x:v>
      </x:c>
      <x:c r="Q298" s="25" t="s">
        <x:v>1122</x:v>
      </x:c>
      <x:c r="R298" s="25" t="s">
        <x:v>2107</x:v>
      </x:c>
      <x:c r="S298" s="25" t="s">
        <x:v>1729</x:v>
      </x:c>
      <x:c r="T298" s="25" t="s">
        <x:v>1639</x:v>
      </x:c>
      <x:c r="U298" s="25"/>
      <x:c r="V298" s="25" t="s">
        <x:v>797</x:v>
      </x:c>
    </x:row>
    <x:row r="299" spans="1:22" customHeight="1">
      <x:c r="A299" s="25" t="str">
        <x:f>O299</x:f>
        <x:v>소강당용</x:v>
      </x:c>
      <x:c r="B299" s="25" t="str">
        <x:f>L299&amp;"-"&amp;TEXT(P299,"0000")</x:f>
        <x:v>20120113-0627</x:v>
      </x:c>
      <x:c r="C299" s="25" t="s">
        <x:v>1978</x:v>
      </x:c>
      <x:c r="D299" s="25" t="s">
        <x:v>1533</x:v>
      </x:c>
      <x:c r="E299" s="25" t="s">
        <x:v>1543</x:v>
      </x:c>
      <x:c r="F299" s="25" t="s">
        <x:v>2130</x:v>
      </x:c>
      <x:c r="G299" s="25" t="s">
        <x:v>1537</x:v>
      </x:c>
      <x:c r="H299" s="25" t="str">
        <x:f>IFERROR(VLOOKUP(O299,'정보화기기 명부'!A$2:B$187,2,FALSE),"")</x:f>
        <x:v>소강당</x:v>
      </x:c>
      <x:c r="I299" s="382"/>
      <x:c r="J299" s="25"/>
      <x:c r="K299" s="25"/>
      <x:c r="L299" s="25">
        <x:v>20120113</x:v>
      </x:c>
      <x:c r="M299" s="123">
        <x:v>954617</x:v>
      </x:c>
      <x:c r="N299" s="25" t="s">
        <x:v>2045</x:v>
      </x:c>
      <x:c r="O299" s="25" t="s">
        <x:v>2051</x:v>
      </x:c>
      <x:c r="P299" s="157">
        <x:v>627</x:v>
      </x:c>
      <x:c r="Q299" s="25" t="s">
        <x:v>815</x:v>
      </x:c>
      <x:c r="R299" s="25" t="s">
        <x:v>2107</x:v>
      </x:c>
      <x:c r="S299" s="25" t="s">
        <x:v>1702</x:v>
      </x:c>
      <x:c r="T299" s="25" t="s">
        <x:v>1305</x:v>
      </x:c>
      <x:c r="U299" s="25"/>
      <x:c r="V299" s="25" t="s">
        <x:v>797</x:v>
      </x:c>
    </x:row>
    <x:row r="300" spans="1:22" customHeight="1">
      <x:c r="A300" s="25" t="str">
        <x:f>O300</x:f>
        <x:v>학생증 발급용</x:v>
      </x:c>
      <x:c r="B300" s="25" t="str">
        <x:f>L300&amp;"-"&amp;TEXT(P300,"0000")</x:f>
        <x:v>20120113-0626</x:v>
      </x:c>
      <x:c r="C300" s="25" t="s">
        <x:v>1978</x:v>
      </x:c>
      <x:c r="D300" s="25" t="s">
        <x:v>1533</x:v>
      </x:c>
      <x:c r="E300" s="25" t="s">
        <x:v>1543</x:v>
      </x:c>
      <x:c r="F300" s="25" t="s">
        <x:v>2130</x:v>
      </x:c>
      <x:c r="G300" s="25" t="s">
        <x:v>1537</x:v>
      </x:c>
      <x:c r="H300" s="25" t="str">
        <x:f>IFERROR(VLOOKUP(O300,'정보화기기 명부'!A$2:B$187,2,FALSE),"")</x:f>
        <x:v/>
      </x:c>
      <x:c r="I300" s="382"/>
      <x:c r="J300" s="25"/>
      <x:c r="K300" s="25">
        <x:v>2020.0699999999999</x:v>
      </x:c>
      <x:c r="L300" s="25">
        <x:v>20120113</x:v>
      </x:c>
      <x:c r="M300" s="123">
        <x:v>954617</x:v>
      </x:c>
      <x:c r="N300" s="25" t="s">
        <x:v>2045</x:v>
      </x:c>
      <x:c r="O300" s="25" t="s">
        <x:v>1686</x:v>
      </x:c>
      <x:c r="P300" s="157">
        <x:v>626</x:v>
      </x:c>
      <x:c r="Q300" s="25" t="s">
        <x:v>815</x:v>
      </x:c>
      <x:c r="R300" s="25" t="s">
        <x:v>2107</x:v>
      </x:c>
      <x:c r="S300" s="25" t="s">
        <x:v>1628</x:v>
      </x:c>
      <x:c r="T300" s="25" t="s">
        <x:v>1730</x:v>
      </x:c>
      <x:c r="U300" s="25"/>
      <x:c r="V300" s="25" t="s">
        <x:v>797</x:v>
      </x:c>
    </x:row>
    <x:row r="301" spans="1:22" customHeight="1">
      <x:c r="A301" s="25" t="str">
        <x:f>O301</x:f>
        <x:v>학습 검색용6</x:v>
      </x:c>
      <x:c r="B301" s="25" t="str">
        <x:f>L301&amp;"-"&amp;TEXT(P301,"0000")</x:f>
        <x:v>20120113-0625</x:v>
      </x:c>
      <x:c r="C301" s="25" t="s">
        <x:v>1978</x:v>
      </x:c>
      <x:c r="D301" s="25" t="s">
        <x:v>1533</x:v>
      </x:c>
      <x:c r="E301" s="25" t="s">
        <x:v>1568</x:v>
      </x:c>
      <x:c r="F301" s="25" t="s">
        <x:v>2130</x:v>
      </x:c>
      <x:c r="G301" s="25" t="s">
        <x:v>1537</x:v>
      </x:c>
      <x:c r="H301" s="25" t="str">
        <x:f>IFERROR(VLOOKUP(O301,'정보화기기 명부'!A$2:B$187,2,FALSE),"")</x:f>
        <x:v/>
      </x:c>
      <x:c r="I301" s="382"/>
      <x:c r="J301" s="25" t="s">
        <x:v>1640</x:v>
      </x:c>
      <x:c r="K301" s="25"/>
      <x:c r="L301" s="25">
        <x:v>20120113</x:v>
      </x:c>
      <x:c r="M301" s="123">
        <x:v>954617</x:v>
      </x:c>
      <x:c r="N301" s="25" t="s">
        <x:v>2045</x:v>
      </x:c>
      <x:c r="O301" s="25" t="s">
        <x:v>1696</x:v>
      </x:c>
      <x:c r="P301" s="157">
        <x:v>625</x:v>
      </x:c>
      <x:c r="Q301" s="90" t="s">
        <x:v>3145</x:v>
      </x:c>
      <x:c r="R301" s="25" t="s">
        <x:v>2107</x:v>
      </x:c>
      <x:c r="S301" s="25" t="s">
        <x:v>1628</x:v>
      </x:c>
      <x:c r="T301" s="25" t="s">
        <x:v>1730</x:v>
      </x:c>
      <x:c r="U301" s="25"/>
      <x:c r="V301" s="25" t="s">
        <x:v>797</x:v>
      </x:c>
    </x:row>
    <x:row r="302" spans="1:22" customHeight="1">
      <x:c r="A302" s="25" t="str">
        <x:f>O302</x:f>
        <x:v>학습 검색용5</x:v>
      </x:c>
      <x:c r="B302" s="25" t="str">
        <x:f>L302&amp;"-"&amp;TEXT(P302,"0000")</x:f>
        <x:v>20120113-0624</x:v>
      </x:c>
      <x:c r="C302" s="25" t="s">
        <x:v>1978</x:v>
      </x:c>
      <x:c r="D302" s="25" t="s">
        <x:v>1533</x:v>
      </x:c>
      <x:c r="E302" s="25" t="s">
        <x:v>1568</x:v>
      </x:c>
      <x:c r="F302" s="25" t="s">
        <x:v>2130</x:v>
      </x:c>
      <x:c r="G302" s="25" t="s">
        <x:v>1537</x:v>
      </x:c>
      <x:c r="H302" s="25" t="str">
        <x:f>IFERROR(VLOOKUP(O302,'정보화기기 명부'!A$2:B$187,2,FALSE),"")</x:f>
        <x:v/>
      </x:c>
      <x:c r="I302" s="382"/>
      <x:c r="J302" s="25" t="s">
        <x:v>1640</x:v>
      </x:c>
      <x:c r="K302" s="25"/>
      <x:c r="L302" s="25">
        <x:v>20120113</x:v>
      </x:c>
      <x:c r="M302" s="123">
        <x:v>954617</x:v>
      </x:c>
      <x:c r="N302" s="25" t="s">
        <x:v>2045</x:v>
      </x:c>
      <x:c r="O302" s="25" t="s">
        <x:v>1710</x:v>
      </x:c>
      <x:c r="P302" s="157">
        <x:v>624</x:v>
      </x:c>
      <x:c r="Q302" s="25" t="s">
        <x:v>815</x:v>
      </x:c>
      <x:c r="R302" s="25" t="s">
        <x:v>2107</x:v>
      </x:c>
      <x:c r="S302" s="25" t="s">
        <x:v>1628</x:v>
      </x:c>
      <x:c r="T302" s="25" t="s">
        <x:v>1730</x:v>
      </x:c>
      <x:c r="U302" s="25"/>
      <x:c r="V302" s="25" t="s">
        <x:v>797</x:v>
      </x:c>
    </x:row>
    <x:row r="303" spans="1:22" customHeight="1">
      <x:c r="A303" s="25" t="str">
        <x:f>O303</x:f>
        <x:v>학습 검색용4</x:v>
      </x:c>
      <x:c r="B303" s="25" t="str">
        <x:f>L303&amp;"-"&amp;TEXT(P303,"0000")</x:f>
        <x:v>20120113-0623</x:v>
      </x:c>
      <x:c r="C303" s="25" t="s">
        <x:v>1978</x:v>
      </x:c>
      <x:c r="D303" s="25" t="s">
        <x:v>1533</x:v>
      </x:c>
      <x:c r="E303" s="25" t="s">
        <x:v>1568</x:v>
      </x:c>
      <x:c r="F303" s="25" t="s">
        <x:v>2130</x:v>
      </x:c>
      <x:c r="G303" s="25" t="s">
        <x:v>1537</x:v>
      </x:c>
      <x:c r="H303" s="25" t="str">
        <x:f>IFERROR(VLOOKUP(O303,'정보화기기 명부'!A$2:B$187,2,FALSE),"")</x:f>
        <x:v/>
      </x:c>
      <x:c r="I303" s="382"/>
      <x:c r="J303" s="25" t="s">
        <x:v>1640</x:v>
      </x:c>
      <x:c r="K303" s="25"/>
      <x:c r="L303" s="25">
        <x:v>20120113</x:v>
      </x:c>
      <x:c r="M303" s="123">
        <x:v>954617</x:v>
      </x:c>
      <x:c r="N303" s="25" t="s">
        <x:v>2045</x:v>
      </x:c>
      <x:c r="O303" s="25" t="s">
        <x:v>1674</x:v>
      </x:c>
      <x:c r="P303" s="157">
        <x:v>623</x:v>
      </x:c>
      <x:c r="Q303" s="25" t="s">
        <x:v>815</x:v>
      </x:c>
      <x:c r="R303" s="25" t="s">
        <x:v>2107</x:v>
      </x:c>
      <x:c r="S303" s="25" t="s">
        <x:v>1628</x:v>
      </x:c>
      <x:c r="T303" s="25" t="s">
        <x:v>1730</x:v>
      </x:c>
      <x:c r="U303" s="25"/>
      <x:c r="V303" s="25" t="s">
        <x:v>797</x:v>
      </x:c>
    </x:row>
    <x:row r="304" spans="1:22" customHeight="1">
      <x:c r="A304" s="25" t="str">
        <x:f>O304</x:f>
        <x:v>구 에어컨 관리용</x:v>
      </x:c>
      <x:c r="B304" s="25" t="str">
        <x:f>L304&amp;"-"&amp;TEXT(P304,"0000")</x:f>
        <x:v>20120113-0622</x:v>
      </x:c>
      <x:c r="C304" s="25" t="s">
        <x:v>1978</x:v>
      </x:c>
      <x:c r="D304" s="25" t="s">
        <x:v>1533</x:v>
      </x:c>
      <x:c r="E304" s="25" t="s">
        <x:v>1543</x:v>
      </x:c>
      <x:c r="F304" s="25" t="s">
        <x:v>2130</x:v>
      </x:c>
      <x:c r="G304" s="25" t="s">
        <x:v>1537</x:v>
      </x:c>
      <x:c r="H304" s="25" t="str">
        <x:f>IFERROR(VLOOKUP(O304,'정보화기기 명부'!A$2:B$187,2,FALSE),"")</x:f>
        <x:v/>
      </x:c>
      <x:c r="I304" s="382"/>
      <x:c r="J304" s="25"/>
      <x:c r="K304" s="25">
        <x:v>2020.0699999999999</x:v>
      </x:c>
      <x:c r="L304" s="25">
        <x:v>20120113</x:v>
      </x:c>
      <x:c r="M304" s="123">
        <x:v>954617</x:v>
      </x:c>
      <x:c r="N304" s="25" t="s">
        <x:v>1965</x:v>
      </x:c>
      <x:c r="O304" s="25" t="s">
        <x:v>824</x:v>
      </x:c>
      <x:c r="P304" s="157">
        <x:v>622</x:v>
      </x:c>
      <x:c r="Q304" s="25" t="s">
        <x:v>815</x:v>
      </x:c>
      <x:c r="R304" s="25" t="s">
        <x:v>2107</x:v>
      </x:c>
      <x:c r="S304" s="25" t="s">
        <x:v>1628</x:v>
      </x:c>
      <x:c r="T304" s="25" t="s">
        <x:v>1730</x:v>
      </x:c>
      <x:c r="U304" s="25"/>
      <x:c r="V304" s="25" t="s">
        <x:v>797</x:v>
      </x:c>
    </x:row>
    <x:row r="305" spans="1:22" customHeight="1">
      <x:c r="A305" s="25" t="str">
        <x:f>O305</x:f>
        <x:v>학습 검색용3</x:v>
      </x:c>
      <x:c r="B305" s="25" t="str">
        <x:f>L305&amp;"-"&amp;TEXT(P305,"0000")</x:f>
        <x:v>20120113-0621</x:v>
      </x:c>
      <x:c r="C305" s="25" t="s">
        <x:v>1978</x:v>
      </x:c>
      <x:c r="D305" s="25" t="s">
        <x:v>1533</x:v>
      </x:c>
      <x:c r="E305" s="25" t="s">
        <x:v>1568</x:v>
      </x:c>
      <x:c r="F305" s="25" t="s">
        <x:v>2130</x:v>
      </x:c>
      <x:c r="G305" s="25" t="s">
        <x:v>1537</x:v>
      </x:c>
      <x:c r="H305" s="25" t="str">
        <x:f>IFERROR(VLOOKUP(O305,'정보화기기 명부'!A$2:B$187,2,FALSE),"")</x:f>
        <x:v/>
      </x:c>
      <x:c r="I305" s="382"/>
      <x:c r="J305" s="25" t="s">
        <x:v>1640</x:v>
      </x:c>
      <x:c r="K305" s="25"/>
      <x:c r="L305" s="25">
        <x:v>20120113</x:v>
      </x:c>
      <x:c r="M305" s="123">
        <x:v>954617</x:v>
      </x:c>
      <x:c r="N305" s="25" t="s">
        <x:v>2045</x:v>
      </x:c>
      <x:c r="O305" s="25" t="s">
        <x:v>1661</x:v>
      </x:c>
      <x:c r="P305" s="157">
        <x:v>621</x:v>
      </x:c>
      <x:c r="Q305" s="25" t="s">
        <x:v>815</x:v>
      </x:c>
      <x:c r="R305" s="25" t="s">
        <x:v>2107</x:v>
      </x:c>
      <x:c r="S305" s="25" t="s">
        <x:v>1628</x:v>
      </x:c>
      <x:c r="T305" s="25" t="s">
        <x:v>1730</x:v>
      </x:c>
      <x:c r="U305" s="25"/>
      <x:c r="V305" s="25" t="s">
        <x:v>797</x:v>
      </x:c>
    </x:row>
    <x:row r="306" spans="1:22" customHeight="1">
      <x:c r="A306" s="25" t="str">
        <x:f>O306</x:f>
        <x:v>학습 검색용2</x:v>
      </x:c>
      <x:c r="B306" s="25" t="str">
        <x:f>L306&amp;"-"&amp;TEXT(P306,"0000")</x:f>
        <x:v>20120113-0620</x:v>
      </x:c>
      <x:c r="C306" s="25" t="s">
        <x:v>1978</x:v>
      </x:c>
      <x:c r="D306" s="25" t="s">
        <x:v>1533</x:v>
      </x:c>
      <x:c r="E306" s="25" t="s">
        <x:v>1568</x:v>
      </x:c>
      <x:c r="F306" s="25" t="s">
        <x:v>2130</x:v>
      </x:c>
      <x:c r="G306" s="25" t="s">
        <x:v>1537</x:v>
      </x:c>
      <x:c r="H306" s="25" t="str">
        <x:f>IFERROR(VLOOKUP(O306,'정보화기기 명부'!A$2:B$187,2,FALSE),"")</x:f>
        <x:v/>
      </x:c>
      <x:c r="I306" s="382"/>
      <x:c r="J306" s="25" t="s">
        <x:v>1640</x:v>
      </x:c>
      <x:c r="K306" s="25"/>
      <x:c r="L306" s="25">
        <x:v>20120113</x:v>
      </x:c>
      <x:c r="M306" s="123">
        <x:v>954617</x:v>
      </x:c>
      <x:c r="N306" s="25" t="s">
        <x:v>2045</x:v>
      </x:c>
      <x:c r="O306" s="25" t="s">
        <x:v>1680</x:v>
      </x:c>
      <x:c r="P306" s="157">
        <x:v>620</x:v>
      </x:c>
      <x:c r="Q306" s="25" t="s">
        <x:v>815</x:v>
      </x:c>
      <x:c r="R306" s="25" t="s">
        <x:v>2107</x:v>
      </x:c>
      <x:c r="S306" s="25" t="s">
        <x:v>1628</x:v>
      </x:c>
      <x:c r="T306" s="25" t="s">
        <x:v>1730</x:v>
      </x:c>
      <x:c r="U306" s="25"/>
      <x:c r="V306" s="25" t="s">
        <x:v>797</x:v>
      </x:c>
    </x:row>
    <x:row r="307" spans="1:22" ht="13.5" customHeight="1">
      <x:c r="A307" s="25" t="str">
        <x:f>O307</x:f>
        <x:v>학습 검색용1</x:v>
      </x:c>
      <x:c r="B307" s="25" t="str">
        <x:f>L307&amp;"-"&amp;TEXT(P307,"0000")</x:f>
        <x:v>20120113-0619</x:v>
      </x:c>
      <x:c r="C307" s="25" t="s">
        <x:v>1978</x:v>
      </x:c>
      <x:c r="D307" s="25" t="s">
        <x:v>1533</x:v>
      </x:c>
      <x:c r="E307" s="25" t="s">
        <x:v>1568</x:v>
      </x:c>
      <x:c r="F307" s="25" t="s">
        <x:v>2130</x:v>
      </x:c>
      <x:c r="G307" s="25" t="s">
        <x:v>1537</x:v>
      </x:c>
      <x:c r="H307" s="25" t="str">
        <x:f>IFERROR(VLOOKUP(O307,'정보화기기 명부'!A$2:B$187,2,FALSE),"")</x:f>
        <x:v/>
      </x:c>
      <x:c r="I307" s="382"/>
      <x:c r="J307" s="25" t="s">
        <x:v>1640</x:v>
      </x:c>
      <x:c r="K307" s="25"/>
      <x:c r="L307" s="25">
        <x:v>20120113</x:v>
      </x:c>
      <x:c r="M307" s="123">
        <x:v>954617</x:v>
      </x:c>
      <x:c r="N307" s="25" t="s">
        <x:v>2045</x:v>
      </x:c>
      <x:c r="O307" s="25" t="s">
        <x:v>1715</x:v>
      </x:c>
      <x:c r="P307" s="157">
        <x:v>619</x:v>
      </x:c>
      <x:c r="Q307" s="25" t="s">
        <x:v>815</x:v>
      </x:c>
      <x:c r="R307" s="25" t="s">
        <x:v>2107</x:v>
      </x:c>
      <x:c r="S307" s="25" t="s">
        <x:v>1628</x:v>
      </x:c>
      <x:c r="T307" s="25" t="s">
        <x:v>1730</x:v>
      </x:c>
      <x:c r="U307" s="25"/>
      <x:c r="V307" s="25" t="s">
        <x:v>797</x:v>
      </x:c>
    </x:row>
    <x:row r="308" spans="1:22" ht="13.5" customHeight="1">
      <x:c r="A308" s="25" t="str">
        <x:f>O308</x:f>
        <x:v>구진성훈</x:v>
      </x:c>
      <x:c r="B308" s="25" t="str">
        <x:f>L308&amp;"-"&amp;TEXT(P308,"0000")</x:f>
        <x:v>20120113-0618</x:v>
      </x:c>
      <x:c r="C308" s="25" t="s">
        <x:v>1978</x:v>
      </x:c>
      <x:c r="D308" s="25" t="s">
        <x:v>1533</x:v>
      </x:c>
      <x:c r="E308" s="25" t="s">
        <x:v>1251</x:v>
      </x:c>
      <x:c r="F308" s="25" t="s">
        <x:v>2130</x:v>
      </x:c>
      <x:c r="G308" s="25" t="s">
        <x:v>1537</x:v>
      </x:c>
      <x:c r="H308" s="25" t="str">
        <x:f>IFERROR(VLOOKUP(O308,'정보화기기 명부'!A$2:B$187,2,FALSE),"")</x:f>
        <x:v/>
      </x:c>
      <x:c r="I308" s="382"/>
      <x:c r="J308" s="25"/>
      <x:c r="K308" s="25"/>
      <x:c r="L308" s="25">
        <x:v>20120113</x:v>
      </x:c>
      <x:c r="M308" s="123">
        <x:v>954617</x:v>
      </x:c>
      <x:c r="N308" s="25" t="s">
        <x:v>2045</x:v>
      </x:c>
      <x:c r="O308" s="25" t="s">
        <x:v>1678</x:v>
      </x:c>
      <x:c r="P308" s="157">
        <x:v>618</x:v>
      </x:c>
      <x:c r="Q308" s="25" t="s">
        <x:v>815</x:v>
      </x:c>
      <x:c r="R308" s="25" t="s">
        <x:v>2107</x:v>
      </x:c>
      <x:c r="S308" s="25" t="s">
        <x:v>1628</x:v>
      </x:c>
      <x:c r="T308" s="25" t="s">
        <x:v>1730</x:v>
      </x:c>
      <x:c r="U308" s="25"/>
      <x:c r="V308" s="25" t="s">
        <x:v>797</x:v>
      </x:c>
    </x:row>
    <x:row r="309" spans="1:26" customHeight="1">
      <x:c r="A309" s="13" t="str">
        <x:f>O309</x:f>
        <x:v>3층실습용 29</x:v>
      </x:c>
      <x:c r="B309" s="25" t="str">
        <x:f>L309&amp;"-"&amp;TEXT(P309,"0000")</x:f>
        <x:v>20120113-0617</x:v>
      </x:c>
      <x:c r="C309" s="13" t="s">
        <x:v>1978</x:v>
      </x:c>
      <x:c r="D309" s="140" t="s">
        <x:v>1533</x:v>
      </x:c>
      <x:c r="E309" s="13" t="s">
        <x:v>1568</x:v>
      </x:c>
      <x:c r="F309" s="13" t="s">
        <x:v>2130</x:v>
      </x:c>
      <x:c r="G309" s="13" t="s">
        <x:v>1537</x:v>
      </x:c>
      <x:c r="H309" s="13" t="str">
        <x:f>IFERROR(VLOOKUP(O309,'정보화기기 명부'!A$2:B$187,2,FALSE),"")</x:f>
        <x:v/>
      </x:c>
      <x:c r="I309" s="412"/>
      <x:c r="J309" s="13" t="s">
        <x:v>1751</x:v>
      </x:c>
      <x:c r="K309" s="25" t="s">
        <x:v>532</x:v>
      </x:c>
      <x:c r="L309" s="133">
        <x:v>20120113</x:v>
      </x:c>
      <x:c r="M309" s="22">
        <x:v>954617</x:v>
      </x:c>
      <x:c r="N309" s="13" t="s">
        <x:v>2045</x:v>
      </x:c>
      <x:c r="O309" s="13" t="s">
        <x:v>832</x:v>
      </x:c>
      <x:c r="P309" s="202">
        <x:v>617</x:v>
      </x:c>
      <x:c r="Q309" s="13" t="s">
        <x:v>3145</x:v>
      </x:c>
      <x:c r="R309" s="13" t="s">
        <x:v>2107</x:v>
      </x:c>
      <x:c r="S309" s="13" t="s">
        <x:v>1628</x:v>
      </x:c>
      <x:c r="T309" s="13" t="s">
        <x:v>1730</x:v>
      </x:c>
      <x:c r="U309" s="13"/>
      <x:c r="V309" s="13" t="s">
        <x:v>797</x:v>
      </x:c>
      <x:c r="W309" s="14"/>
      <x:c r="X309" s="14"/>
      <x:c r="Y309" s="14"/>
      <x:c r="Z309" s="14"/>
    </x:row>
    <x:row r="310" spans="1:26" ht="13.5" customHeight="1">
      <x:c r="A310" s="13" t="str">
        <x:f>O310</x:f>
        <x:v>3층실습용 28</x:v>
      </x:c>
      <x:c r="B310" s="25" t="str">
        <x:f>L310&amp;"-"&amp;TEXT(P310,"0000")</x:f>
        <x:v>20120113-0616</x:v>
      </x:c>
      <x:c r="C310" s="13" t="s">
        <x:v>1978</x:v>
      </x:c>
      <x:c r="D310" s="140" t="s">
        <x:v>1533</x:v>
      </x:c>
      <x:c r="E310" s="13" t="s">
        <x:v>1568</x:v>
      </x:c>
      <x:c r="F310" s="13" t="s">
        <x:v>2130</x:v>
      </x:c>
      <x:c r="G310" s="13" t="s">
        <x:v>1537</x:v>
      </x:c>
      <x:c r="H310" s="13" t="str">
        <x:f>IFERROR(VLOOKUP(O310,'정보화기기 명부'!A$2:B$187,2,FALSE),"")</x:f>
        <x:v/>
      </x:c>
      <x:c r="I310" s="22"/>
      <x:c r="J310" s="13" t="s">
        <x:v>1751</x:v>
      </x:c>
      <x:c r="K310" s="25" t="s">
        <x:v>532</x:v>
      </x:c>
      <x:c r="L310" s="133">
        <x:v>20120113</x:v>
      </x:c>
      <x:c r="M310" s="22">
        <x:v>954617</x:v>
      </x:c>
      <x:c r="N310" s="13" t="s">
        <x:v>2045</x:v>
      </x:c>
      <x:c r="O310" s="13" t="s">
        <x:v>536</x:v>
      </x:c>
      <x:c r="P310" s="202">
        <x:v>616</x:v>
      </x:c>
      <x:c r="Q310" s="13" t="s">
        <x:v>3145</x:v>
      </x:c>
      <x:c r="R310" s="13" t="s">
        <x:v>2107</x:v>
      </x:c>
      <x:c r="S310" s="13" t="s">
        <x:v>1628</x:v>
      </x:c>
      <x:c r="T310" s="13" t="s">
        <x:v>1730</x:v>
      </x:c>
      <x:c r="U310" s="13"/>
      <x:c r="V310" s="13" t="s">
        <x:v>797</x:v>
      </x:c>
      <x:c r="W310" s="14"/>
      <x:c r="X310" s="14"/>
      <x:c r="Y310" s="14"/>
      <x:c r="Z310" s="14"/>
    </x:row>
    <x:row r="311" spans="1:22" s="14" customFormat="1" ht="13.5" customHeight="1">
      <x:c r="A311" s="13" t="str">
        <x:f>O311</x:f>
        <x:v>3층실습용 26</x:v>
      </x:c>
      <x:c r="B311" s="25" t="str">
        <x:f>L311&amp;"-"&amp;TEXT(P311,"0000")</x:f>
        <x:v>20120113-0614</x:v>
      </x:c>
      <x:c r="C311" s="13" t="s">
        <x:v>1978</x:v>
      </x:c>
      <x:c r="D311" s="140" t="s">
        <x:v>1533</x:v>
      </x:c>
      <x:c r="E311" s="13" t="s">
        <x:v>1568</x:v>
      </x:c>
      <x:c r="F311" s="13" t="s">
        <x:v>2130</x:v>
      </x:c>
      <x:c r="G311" s="13" t="s">
        <x:v>1537</x:v>
      </x:c>
      <x:c r="H311" s="13" t="str">
        <x:f>IFERROR(VLOOKUP(O311,'정보화기기 명부'!A$2:B$187,2,FALSE),"")</x:f>
        <x:v/>
      </x:c>
      <x:c r="I311" s="22"/>
      <x:c r="J311" s="13" t="s">
        <x:v>1751</x:v>
      </x:c>
      <x:c r="K311" s="25" t="s">
        <x:v>532</x:v>
      </x:c>
      <x:c r="L311" s="133">
        <x:v>20120113</x:v>
      </x:c>
      <x:c r="M311" s="22">
        <x:v>954617</x:v>
      </x:c>
      <x:c r="N311" s="13" t="s">
        <x:v>2045</x:v>
      </x:c>
      <x:c r="O311" s="13" t="s">
        <x:v>549</x:v>
      </x:c>
      <x:c r="P311" s="202">
        <x:v>614</x:v>
      </x:c>
      <x:c r="Q311" s="13" t="s">
        <x:v>3145</x:v>
      </x:c>
      <x:c r="R311" s="13" t="s">
        <x:v>2107</x:v>
      </x:c>
      <x:c r="S311" s="13" t="s">
        <x:v>1628</x:v>
      </x:c>
      <x:c r="T311" s="13" t="s">
        <x:v>1730</x:v>
      </x:c>
      <x:c r="U311" s="13"/>
      <x:c r="V311" s="13" t="s">
        <x:v>797</x:v>
      </x:c>
    </x:row>
    <x:row r="312" spans="1:26" ht="13.5" customHeight="1">
      <x:c r="A312" s="13" t="str">
        <x:f>O312</x:f>
        <x:v>3층실습용 25</x:v>
      </x:c>
      <x:c r="B312" s="25" t="str">
        <x:f>L312&amp;"-"&amp;TEXT(P312,"0000")</x:f>
        <x:v>20120113-0613</x:v>
      </x:c>
      <x:c r="C312" s="13" t="s">
        <x:v>1978</x:v>
      </x:c>
      <x:c r="D312" s="140" t="s">
        <x:v>1533</x:v>
      </x:c>
      <x:c r="E312" s="13" t="s">
        <x:v>1568</x:v>
      </x:c>
      <x:c r="F312" s="13" t="s">
        <x:v>2130</x:v>
      </x:c>
      <x:c r="G312" s="13" t="s">
        <x:v>1537</x:v>
      </x:c>
      <x:c r="H312" s="13" t="str">
        <x:f>IFERROR(VLOOKUP(O312,'정보화기기 명부'!A$2:B$187,2,FALSE),"")</x:f>
        <x:v/>
      </x:c>
      <x:c r="I312" s="22"/>
      <x:c r="J312" s="13" t="s">
        <x:v>1751</x:v>
      </x:c>
      <x:c r="K312" s="25" t="s">
        <x:v>532</x:v>
      </x:c>
      <x:c r="L312" s="133">
        <x:v>20120113</x:v>
      </x:c>
      <x:c r="M312" s="22">
        <x:v>954617</x:v>
      </x:c>
      <x:c r="N312" s="13" t="s">
        <x:v>2045</x:v>
      </x:c>
      <x:c r="O312" s="13" t="s">
        <x:v>535</x:v>
      </x:c>
      <x:c r="P312" s="202">
        <x:v>613</x:v>
      </x:c>
      <x:c r="Q312" s="13" t="s">
        <x:v>3145</x:v>
      </x:c>
      <x:c r="R312" s="13" t="s">
        <x:v>2107</x:v>
      </x:c>
      <x:c r="S312" s="13" t="s">
        <x:v>1628</x:v>
      </x:c>
      <x:c r="T312" s="13" t="s">
        <x:v>1730</x:v>
      </x:c>
      <x:c r="U312" s="13"/>
      <x:c r="V312" s="13" t="s">
        <x:v>797</x:v>
      </x:c>
      <x:c r="W312" s="14"/>
      <x:c r="X312" s="14"/>
      <x:c r="Y312" s="14"/>
      <x:c r="Z312" s="14"/>
    </x:row>
    <x:row r="313" spans="1:26" customHeight="1">
      <x:c r="A313" s="13" t="str">
        <x:f>O313</x:f>
        <x:v>3층실습용 24</x:v>
      </x:c>
      <x:c r="B313" s="25" t="str">
        <x:f>L313&amp;"-"&amp;TEXT(P313,"0000")</x:f>
        <x:v>20120113-0612</x:v>
      </x:c>
      <x:c r="C313" s="13" t="s">
        <x:v>1978</x:v>
      </x:c>
      <x:c r="D313" s="140" t="s">
        <x:v>1533</x:v>
      </x:c>
      <x:c r="E313" s="13" t="s">
        <x:v>1568</x:v>
      </x:c>
      <x:c r="F313" s="13" t="s">
        <x:v>2130</x:v>
      </x:c>
      <x:c r="G313" s="13" t="s">
        <x:v>1537</x:v>
      </x:c>
      <x:c r="H313" s="13" t="str">
        <x:f>IFERROR(VLOOKUP(O313,'정보화기기 명부'!A$2:B$187,2,FALSE),"")</x:f>
        <x:v/>
      </x:c>
      <x:c r="I313" s="22"/>
      <x:c r="J313" s="13" t="s">
        <x:v>1751</x:v>
      </x:c>
      <x:c r="K313" s="25" t="s">
        <x:v>532</x:v>
      </x:c>
      <x:c r="L313" s="133">
        <x:v>20120113</x:v>
      </x:c>
      <x:c r="M313" s="22">
        <x:v>954617</x:v>
      </x:c>
      <x:c r="N313" s="13" t="s">
        <x:v>2045</x:v>
      </x:c>
      <x:c r="O313" s="13" t="s">
        <x:v>818</x:v>
      </x:c>
      <x:c r="P313" s="202">
        <x:v>612</x:v>
      </x:c>
      <x:c r="Q313" s="13" t="s">
        <x:v>3145</x:v>
      </x:c>
      <x:c r="R313" s="13" t="s">
        <x:v>2107</x:v>
      </x:c>
      <x:c r="S313" s="13" t="s">
        <x:v>1628</x:v>
      </x:c>
      <x:c r="T313" s="13" t="s">
        <x:v>1730</x:v>
      </x:c>
      <x:c r="U313" s="13"/>
      <x:c r="V313" s="13" t="s">
        <x:v>797</x:v>
      </x:c>
      <x:c r="W313" s="14"/>
      <x:c r="X313" s="14"/>
      <x:c r="Y313" s="14"/>
      <x:c r="Z313" s="14"/>
    </x:row>
    <x:row r="314" spans="1:26" customHeight="1">
      <x:c r="A314" s="13" t="str">
        <x:f>O314</x:f>
        <x:v>3층실습용 23</x:v>
      </x:c>
      <x:c r="B314" s="25" t="str">
        <x:f>L314&amp;"-"&amp;TEXT(P314,"0000")</x:f>
        <x:v>20120113-0611</x:v>
      </x:c>
      <x:c r="C314" s="13" t="s">
        <x:v>1978</x:v>
      </x:c>
      <x:c r="D314" s="140" t="s">
        <x:v>1533</x:v>
      </x:c>
      <x:c r="E314" s="13" t="s">
        <x:v>1568</x:v>
      </x:c>
      <x:c r="F314" s="13" t="s">
        <x:v>2130</x:v>
      </x:c>
      <x:c r="G314" s="13" t="s">
        <x:v>1537</x:v>
      </x:c>
      <x:c r="H314" s="13" t="str">
        <x:f>IFERROR(VLOOKUP(O314,'정보화기기 명부'!A$2:B$187,2,FALSE),"")</x:f>
        <x:v/>
      </x:c>
      <x:c r="I314" s="22"/>
      <x:c r="J314" s="13" t="s">
        <x:v>1751</x:v>
      </x:c>
      <x:c r="K314" s="25" t="s">
        <x:v>532</x:v>
      </x:c>
      <x:c r="L314" s="133">
        <x:v>20120113</x:v>
      </x:c>
      <x:c r="M314" s="22">
        <x:v>954617</x:v>
      </x:c>
      <x:c r="N314" s="13" t="s">
        <x:v>2045</x:v>
      </x:c>
      <x:c r="O314" s="13" t="s">
        <x:v>525</x:v>
      </x:c>
      <x:c r="P314" s="202">
        <x:v>611</x:v>
      </x:c>
      <x:c r="Q314" s="13" t="s">
        <x:v>3145</x:v>
      </x:c>
      <x:c r="R314" s="13" t="s">
        <x:v>2107</x:v>
      </x:c>
      <x:c r="S314" s="13" t="s">
        <x:v>1628</x:v>
      </x:c>
      <x:c r="T314" s="13" t="s">
        <x:v>1730</x:v>
      </x:c>
      <x:c r="U314" s="13"/>
      <x:c r="V314" s="13" t="s">
        <x:v>797</x:v>
      </x:c>
      <x:c r="W314" s="14"/>
      <x:c r="X314" s="14"/>
      <x:c r="Y314" s="14"/>
      <x:c r="Z314" s="14"/>
    </x:row>
    <x:row r="315" spans="1:26" customHeight="1">
      <x:c r="A315" s="13" t="str">
        <x:f>O315</x:f>
        <x:v>3층실습용 22</x:v>
      </x:c>
      <x:c r="B315" s="25" t="str">
        <x:f>L315&amp;"-"&amp;TEXT(P315,"0000")</x:f>
        <x:v>20120113-0610</x:v>
      </x:c>
      <x:c r="C315" s="13" t="s">
        <x:v>1978</x:v>
      </x:c>
      <x:c r="D315" s="140" t="s">
        <x:v>1533</x:v>
      </x:c>
      <x:c r="E315" s="13" t="s">
        <x:v>1568</x:v>
      </x:c>
      <x:c r="F315" s="13" t="s">
        <x:v>2130</x:v>
      </x:c>
      <x:c r="G315" s="13" t="s">
        <x:v>1537</x:v>
      </x:c>
      <x:c r="H315" s="13" t="str">
        <x:f>IFERROR(VLOOKUP(O315,'정보화기기 명부'!A$2:B$187,2,FALSE),"")</x:f>
        <x:v/>
      </x:c>
      <x:c r="I315" s="22"/>
      <x:c r="J315" s="13" t="s">
        <x:v>1751</x:v>
      </x:c>
      <x:c r="K315" s="25" t="s">
        <x:v>532</x:v>
      </x:c>
      <x:c r="L315" s="133">
        <x:v>20120113</x:v>
      </x:c>
      <x:c r="M315" s="22">
        <x:v>954617</x:v>
      </x:c>
      <x:c r="N315" s="13" t="s">
        <x:v>2045</x:v>
      </x:c>
      <x:c r="O315" s="13" t="s">
        <x:v>541</x:v>
      </x:c>
      <x:c r="P315" s="202">
        <x:v>610</x:v>
      </x:c>
      <x:c r="Q315" s="13" t="s">
        <x:v>3145</x:v>
      </x:c>
      <x:c r="R315" s="13" t="s">
        <x:v>2107</x:v>
      </x:c>
      <x:c r="S315" s="13" t="s">
        <x:v>1628</x:v>
      </x:c>
      <x:c r="T315" s="13" t="s">
        <x:v>1730</x:v>
      </x:c>
      <x:c r="U315" s="13"/>
      <x:c r="V315" s="13" t="s">
        <x:v>797</x:v>
      </x:c>
      <x:c r="W315" s="14"/>
      <x:c r="X315" s="14"/>
      <x:c r="Y315" s="14"/>
      <x:c r="Z315" s="14"/>
    </x:row>
    <x:row r="316" spans="1:26" customHeight="1">
      <x:c r="A316" s="13" t="str">
        <x:f>O316</x:f>
        <x:v>3층실습용 21</x:v>
      </x:c>
      <x:c r="B316" s="25" t="str">
        <x:f>L316&amp;"-"&amp;TEXT(P316,"0000")</x:f>
        <x:v>20120113-0609</x:v>
      </x:c>
      <x:c r="C316" s="13" t="s">
        <x:v>1978</x:v>
      </x:c>
      <x:c r="D316" s="140" t="s">
        <x:v>1533</x:v>
      </x:c>
      <x:c r="E316" s="13" t="s">
        <x:v>1568</x:v>
      </x:c>
      <x:c r="F316" s="13" t="s">
        <x:v>2130</x:v>
      </x:c>
      <x:c r="G316" s="13" t="s">
        <x:v>1537</x:v>
      </x:c>
      <x:c r="H316" s="13" t="str">
        <x:f>IFERROR(VLOOKUP(O316,'정보화기기 명부'!A$2:B$187,2,FALSE),"")</x:f>
        <x:v/>
      </x:c>
      <x:c r="I316" s="22"/>
      <x:c r="J316" s="13" t="s">
        <x:v>1751</x:v>
      </x:c>
      <x:c r="K316" s="25" t="s">
        <x:v>532</x:v>
      </x:c>
      <x:c r="L316" s="133">
        <x:v>20120113</x:v>
      </x:c>
      <x:c r="M316" s="22">
        <x:v>954617</x:v>
      </x:c>
      <x:c r="N316" s="13" t="s">
        <x:v>2045</x:v>
      </x:c>
      <x:c r="O316" s="13" t="s">
        <x:v>537</x:v>
      </x:c>
      <x:c r="P316" s="202">
        <x:v>609</x:v>
      </x:c>
      <x:c r="Q316" s="13" t="s">
        <x:v>3145</x:v>
      </x:c>
      <x:c r="R316" s="13" t="s">
        <x:v>2107</x:v>
      </x:c>
      <x:c r="S316" s="13" t="s">
        <x:v>1628</x:v>
      </x:c>
      <x:c r="T316" s="13" t="s">
        <x:v>1730</x:v>
      </x:c>
      <x:c r="U316" s="13"/>
      <x:c r="V316" s="13" t="s">
        <x:v>797</x:v>
      </x:c>
      <x:c r="W316" s="14"/>
      <x:c r="X316" s="14"/>
      <x:c r="Y316" s="14"/>
      <x:c r="Z316" s="14"/>
    </x:row>
    <x:row r="317" spans="1:26" customHeight="1">
      <x:c r="A317" s="13" t="str">
        <x:f>O317</x:f>
        <x:v>3층실습용 20</x:v>
      </x:c>
      <x:c r="B317" s="25" t="str">
        <x:f>L317&amp;"-"&amp;TEXT(P317,"0000")</x:f>
        <x:v>20120113-0608</x:v>
      </x:c>
      <x:c r="C317" s="13" t="s">
        <x:v>1978</x:v>
      </x:c>
      <x:c r="D317" s="140" t="s">
        <x:v>1533</x:v>
      </x:c>
      <x:c r="E317" s="13" t="s">
        <x:v>1568</x:v>
      </x:c>
      <x:c r="F317" s="13" t="s">
        <x:v>2130</x:v>
      </x:c>
      <x:c r="G317" s="13" t="s">
        <x:v>1537</x:v>
      </x:c>
      <x:c r="H317" s="13" t="str">
        <x:f>IFERROR(VLOOKUP(O317,'정보화기기 명부'!A$2:B$187,2,FALSE),"")</x:f>
        <x:v/>
      </x:c>
      <x:c r="I317" s="22"/>
      <x:c r="J317" s="13" t="s">
        <x:v>1751</x:v>
      </x:c>
      <x:c r="K317" s="25" t="s">
        <x:v>532</x:v>
      </x:c>
      <x:c r="L317" s="133">
        <x:v>20120113</x:v>
      </x:c>
      <x:c r="M317" s="22">
        <x:v>954617</x:v>
      </x:c>
      <x:c r="N317" s="13" t="s">
        <x:v>2045</x:v>
      </x:c>
      <x:c r="O317" s="13" t="s">
        <x:v>562</x:v>
      </x:c>
      <x:c r="P317" s="202">
        <x:v>608</x:v>
      </x:c>
      <x:c r="Q317" s="13" t="s">
        <x:v>3145</x:v>
      </x:c>
      <x:c r="R317" s="13" t="s">
        <x:v>2107</x:v>
      </x:c>
      <x:c r="S317" s="13" t="s">
        <x:v>1628</x:v>
      </x:c>
      <x:c r="T317" s="13" t="s">
        <x:v>1730</x:v>
      </x:c>
      <x:c r="U317" s="13"/>
      <x:c r="V317" s="13" t="s">
        <x:v>797</x:v>
      </x:c>
      <x:c r="W317" s="14"/>
      <x:c r="X317" s="14"/>
      <x:c r="Y317" s="14"/>
      <x:c r="Z317" s="14"/>
    </x:row>
    <x:row r="318" spans="1:26" customHeight="1">
      <x:c r="A318" s="13" t="str">
        <x:f>O318</x:f>
        <x:v>3층실습용 19</x:v>
      </x:c>
      <x:c r="B318" s="25" t="str">
        <x:f>L318&amp;"-"&amp;TEXT(P318,"0000")</x:f>
        <x:v>20120113-0607</x:v>
      </x:c>
      <x:c r="C318" s="13" t="s">
        <x:v>1978</x:v>
      </x:c>
      <x:c r="D318" s="140" t="s">
        <x:v>1533</x:v>
      </x:c>
      <x:c r="E318" s="13" t="s">
        <x:v>1568</x:v>
      </x:c>
      <x:c r="F318" s="13" t="s">
        <x:v>2130</x:v>
      </x:c>
      <x:c r="G318" s="13" t="s">
        <x:v>1537</x:v>
      </x:c>
      <x:c r="H318" s="13" t="str">
        <x:f>IFERROR(VLOOKUP(O318,'정보화기기 명부'!A$2:B$187,2,FALSE),"")</x:f>
        <x:v/>
      </x:c>
      <x:c r="I318" s="22"/>
      <x:c r="J318" s="13" t="s">
        <x:v>1751</x:v>
      </x:c>
      <x:c r="K318" s="25" t="s">
        <x:v>532</x:v>
      </x:c>
      <x:c r="L318" s="133">
        <x:v>20120113</x:v>
      </x:c>
      <x:c r="M318" s="22">
        <x:v>954617</x:v>
      </x:c>
      <x:c r="N318" s="13" t="s">
        <x:v>2045</x:v>
      </x:c>
      <x:c r="O318" s="13" t="s">
        <x:v>523</x:v>
      </x:c>
      <x:c r="P318" s="202">
        <x:v>607</x:v>
      </x:c>
      <x:c r="Q318" s="13" t="s">
        <x:v>3145</x:v>
      </x:c>
      <x:c r="R318" s="13" t="s">
        <x:v>2107</x:v>
      </x:c>
      <x:c r="S318" s="13" t="s">
        <x:v>1628</x:v>
      </x:c>
      <x:c r="T318" s="13" t="s">
        <x:v>1730</x:v>
      </x:c>
      <x:c r="U318" s="13"/>
      <x:c r="V318" s="13" t="s">
        <x:v>797</x:v>
      </x:c>
      <x:c r="W318" s="14"/>
      <x:c r="X318" s="14"/>
      <x:c r="Y318" s="14"/>
      <x:c r="Z318" s="14"/>
    </x:row>
    <x:row r="319" spans="1:26" customHeight="1">
      <x:c r="A319" s="13" t="str">
        <x:f>O319</x:f>
        <x:v>3층실습용 18</x:v>
      </x:c>
      <x:c r="B319" s="25" t="str">
        <x:f>L319&amp;"-"&amp;TEXT(P319,"0000")</x:f>
        <x:v>20120113-0606</x:v>
      </x:c>
      <x:c r="C319" s="13" t="s">
        <x:v>1978</x:v>
      </x:c>
      <x:c r="D319" s="140" t="s">
        <x:v>1533</x:v>
      </x:c>
      <x:c r="E319" s="13" t="s">
        <x:v>1568</x:v>
      </x:c>
      <x:c r="F319" s="13" t="s">
        <x:v>2130</x:v>
      </x:c>
      <x:c r="G319" s="13" t="s">
        <x:v>1537</x:v>
      </x:c>
      <x:c r="H319" s="13" t="str">
        <x:f>IFERROR(VLOOKUP(O319,'정보화기기 명부'!A$2:B$187,2,FALSE),"")</x:f>
        <x:v/>
      </x:c>
      <x:c r="I319" s="22"/>
      <x:c r="J319" s="13" t="s">
        <x:v>1751</x:v>
      </x:c>
      <x:c r="K319" s="25" t="s">
        <x:v>532</x:v>
      </x:c>
      <x:c r="L319" s="133">
        <x:v>20120113</x:v>
      </x:c>
      <x:c r="M319" s="22">
        <x:v>954617</x:v>
      </x:c>
      <x:c r="N319" s="13" t="s">
        <x:v>2045</x:v>
      </x:c>
      <x:c r="O319" s="13" t="s">
        <x:v>512</x:v>
      </x:c>
      <x:c r="P319" s="202">
        <x:v>606</x:v>
      </x:c>
      <x:c r="Q319" s="13" t="s">
        <x:v>3145</x:v>
      </x:c>
      <x:c r="R319" s="13" t="s">
        <x:v>2107</x:v>
      </x:c>
      <x:c r="S319" s="13" t="s">
        <x:v>1628</x:v>
      </x:c>
      <x:c r="T319" s="13" t="s">
        <x:v>1730</x:v>
      </x:c>
      <x:c r="U319" s="13"/>
      <x:c r="V319" s="13" t="s">
        <x:v>797</x:v>
      </x:c>
      <x:c r="W319" s="14"/>
      <x:c r="X319" s="14"/>
      <x:c r="Y319" s="14"/>
      <x:c r="Z319" s="14"/>
    </x:row>
    <x:row r="320" spans="1:26" customHeight="1">
      <x:c r="A320" s="13" t="str">
        <x:f>O320</x:f>
        <x:v>3층실습용 17</x:v>
      </x:c>
      <x:c r="B320" s="25" t="str">
        <x:f>L320&amp;"-"&amp;TEXT(P320,"0000")</x:f>
        <x:v>20120113-0605</x:v>
      </x:c>
      <x:c r="C320" s="13" t="s">
        <x:v>1978</x:v>
      </x:c>
      <x:c r="D320" s="140" t="s">
        <x:v>1533</x:v>
      </x:c>
      <x:c r="E320" s="13" t="s">
        <x:v>1568</x:v>
      </x:c>
      <x:c r="F320" s="13" t="s">
        <x:v>2130</x:v>
      </x:c>
      <x:c r="G320" s="13" t="s">
        <x:v>1537</x:v>
      </x:c>
      <x:c r="H320" s="13" t="str">
        <x:f>IFERROR(VLOOKUP(O320,'정보화기기 명부'!A$2:B$187,2,FALSE),"")</x:f>
        <x:v/>
      </x:c>
      <x:c r="I320" s="22"/>
      <x:c r="J320" s="13" t="s">
        <x:v>1751</x:v>
      </x:c>
      <x:c r="K320" s="25" t="s">
        <x:v>532</x:v>
      </x:c>
      <x:c r="L320" s="133">
        <x:v>20120113</x:v>
      </x:c>
      <x:c r="M320" s="22">
        <x:v>954617</x:v>
      </x:c>
      <x:c r="N320" s="13" t="s">
        <x:v>2045</x:v>
      </x:c>
      <x:c r="O320" s="13" t="s">
        <x:v>548</x:v>
      </x:c>
      <x:c r="P320" s="202">
        <x:v>605</x:v>
      </x:c>
      <x:c r="Q320" s="13" t="s">
        <x:v>3145</x:v>
      </x:c>
      <x:c r="R320" s="13" t="s">
        <x:v>2107</x:v>
      </x:c>
      <x:c r="S320" s="13" t="s">
        <x:v>1628</x:v>
      </x:c>
      <x:c r="T320" s="13" t="s">
        <x:v>1730</x:v>
      </x:c>
      <x:c r="U320" s="13"/>
      <x:c r="V320" s="13" t="s">
        <x:v>797</x:v>
      </x:c>
      <x:c r="W320" s="14"/>
      <x:c r="X320" s="14"/>
      <x:c r="Y320" s="14"/>
      <x:c r="Z320" s="14"/>
    </x:row>
    <x:row r="321" spans="1:26" customHeight="1">
      <x:c r="A321" s="13" t="str">
        <x:f>O321</x:f>
        <x:v>3층실습용 16</x:v>
      </x:c>
      <x:c r="B321" s="25" t="str">
        <x:f>L321&amp;"-"&amp;TEXT(P321,"0000")</x:f>
        <x:v>20120113-0604</x:v>
      </x:c>
      <x:c r="C321" s="13" t="s">
        <x:v>1978</x:v>
      </x:c>
      <x:c r="D321" s="140" t="s">
        <x:v>1533</x:v>
      </x:c>
      <x:c r="E321" s="13" t="s">
        <x:v>1568</x:v>
      </x:c>
      <x:c r="F321" s="13" t="s">
        <x:v>2130</x:v>
      </x:c>
      <x:c r="G321" s="13" t="s">
        <x:v>1537</x:v>
      </x:c>
      <x:c r="H321" s="13" t="str">
        <x:f>IFERROR(VLOOKUP(O321,'정보화기기 명부'!A$2:B$187,2,FALSE),"")</x:f>
        <x:v/>
      </x:c>
      <x:c r="I321" s="22"/>
      <x:c r="J321" s="13" t="s">
        <x:v>1751</x:v>
      </x:c>
      <x:c r="K321" s="25" t="s">
        <x:v>532</x:v>
      </x:c>
      <x:c r="L321" s="133">
        <x:v>20120113</x:v>
      </x:c>
      <x:c r="M321" s="22">
        <x:v>954617</x:v>
      </x:c>
      <x:c r="N321" s="13" t="s">
        <x:v>2045</x:v>
      </x:c>
      <x:c r="O321" s="13" t="s">
        <x:v>551</x:v>
      </x:c>
      <x:c r="P321" s="202">
        <x:v>604</x:v>
      </x:c>
      <x:c r="Q321" s="13" t="s">
        <x:v>3145</x:v>
      </x:c>
      <x:c r="R321" s="13" t="s">
        <x:v>2107</x:v>
      </x:c>
      <x:c r="S321" s="13" t="s">
        <x:v>1628</x:v>
      </x:c>
      <x:c r="T321" s="13" t="s">
        <x:v>1730</x:v>
      </x:c>
      <x:c r="U321" s="13"/>
      <x:c r="V321" s="13" t="s">
        <x:v>797</x:v>
      </x:c>
      <x:c r="W321" s="14"/>
      <x:c r="X321" s="14"/>
      <x:c r="Y321" s="14"/>
      <x:c r="Z321" s="14"/>
    </x:row>
    <x:row r="322" spans="1:26" ht="13.5" customHeight="1">
      <x:c r="A322" s="13" t="str">
        <x:f>O322</x:f>
        <x:v>3층실습용 15</x:v>
      </x:c>
      <x:c r="B322" s="25" t="str">
        <x:f>L322&amp;"-"&amp;TEXT(P322,"0000")</x:f>
        <x:v>20120113-0603</x:v>
      </x:c>
      <x:c r="C322" s="13" t="s">
        <x:v>1978</x:v>
      </x:c>
      <x:c r="D322" s="140" t="s">
        <x:v>1533</x:v>
      </x:c>
      <x:c r="E322" s="13" t="s">
        <x:v>1568</x:v>
      </x:c>
      <x:c r="F322" s="13" t="s">
        <x:v>2130</x:v>
      </x:c>
      <x:c r="G322" s="13" t="s">
        <x:v>1537</x:v>
      </x:c>
      <x:c r="H322" s="13" t="str">
        <x:f>IFERROR(VLOOKUP(O322,'정보화기기 명부'!A$2:B$187,2,FALSE),"")</x:f>
        <x:v/>
      </x:c>
      <x:c r="I322" s="22"/>
      <x:c r="J322" s="13" t="s">
        <x:v>1751</x:v>
      </x:c>
      <x:c r="K322" s="25" t="s">
        <x:v>532</x:v>
      </x:c>
      <x:c r="L322" s="133">
        <x:v>20120113</x:v>
      </x:c>
      <x:c r="M322" s="22">
        <x:v>954617</x:v>
      </x:c>
      <x:c r="N322" s="13" t="s">
        <x:v>2045</x:v>
      </x:c>
      <x:c r="O322" s="13" t="s">
        <x:v>524</x:v>
      </x:c>
      <x:c r="P322" s="202">
        <x:v>603</x:v>
      </x:c>
      <x:c r="Q322" s="13" t="s">
        <x:v>3145</x:v>
      </x:c>
      <x:c r="R322" s="13" t="s">
        <x:v>2107</x:v>
      </x:c>
      <x:c r="S322" s="13" t="s">
        <x:v>1628</x:v>
      </x:c>
      <x:c r="T322" s="13" t="s">
        <x:v>1730</x:v>
      </x:c>
      <x:c r="U322" s="13"/>
      <x:c r="V322" s="13" t="s">
        <x:v>797</x:v>
      </x:c>
      <x:c r="W322" s="14"/>
      <x:c r="X322" s="14"/>
      <x:c r="Y322" s="14"/>
      <x:c r="Z322" s="14"/>
    </x:row>
    <x:row r="323" spans="1:26" ht="13.5" customHeight="1">
      <x:c r="A323" s="13" t="str">
        <x:f>O323</x:f>
        <x:v>3층실습용 14</x:v>
      </x:c>
      <x:c r="B323" s="25" t="str">
        <x:f>L323&amp;"-"&amp;TEXT(P323,"0000")</x:f>
        <x:v>20120113-0602</x:v>
      </x:c>
      <x:c r="C323" s="13" t="s">
        <x:v>1978</x:v>
      </x:c>
      <x:c r="D323" s="140" t="s">
        <x:v>1533</x:v>
      </x:c>
      <x:c r="E323" s="13" t="s">
        <x:v>1568</x:v>
      </x:c>
      <x:c r="F323" s="13" t="s">
        <x:v>2130</x:v>
      </x:c>
      <x:c r="G323" s="13" t="s">
        <x:v>1537</x:v>
      </x:c>
      <x:c r="H323" s="13" t="str">
        <x:f>IFERROR(VLOOKUP(O323,'정보화기기 명부'!A$2:B$187,2,FALSE),"")</x:f>
        <x:v/>
      </x:c>
      <x:c r="I323" s="22"/>
      <x:c r="J323" s="13" t="s">
        <x:v>1751</x:v>
      </x:c>
      <x:c r="K323" s="25" t="s">
        <x:v>532</x:v>
      </x:c>
      <x:c r="L323" s="133">
        <x:v>20120113</x:v>
      </x:c>
      <x:c r="M323" s="22">
        <x:v>954617</x:v>
      </x:c>
      <x:c r="N323" s="13" t="s">
        <x:v>2045</x:v>
      </x:c>
      <x:c r="O323" s="13" t="s">
        <x:v>539</x:v>
      </x:c>
      <x:c r="P323" s="202">
        <x:v>602</x:v>
      </x:c>
      <x:c r="Q323" s="13" t="s">
        <x:v>3145</x:v>
      </x:c>
      <x:c r="R323" s="13" t="s">
        <x:v>2107</x:v>
      </x:c>
      <x:c r="S323" s="13" t="s">
        <x:v>1628</x:v>
      </x:c>
      <x:c r="T323" s="13" t="s">
        <x:v>1730</x:v>
      </x:c>
      <x:c r="U323" s="13"/>
      <x:c r="V323" s="13" t="s">
        <x:v>797</x:v>
      </x:c>
      <x:c r="W323" s="14"/>
      <x:c r="X323" s="14"/>
      <x:c r="Y323" s="14"/>
      <x:c r="Z323" s="14"/>
    </x:row>
    <x:row r="324" spans="1:26" ht="13.5" customHeight="1">
      <x:c r="A324" s="13" t="str">
        <x:f>O324</x:f>
        <x:v>3층실습용 13</x:v>
      </x:c>
      <x:c r="B324" s="25" t="str">
        <x:f>L324&amp;"-"&amp;TEXT(P324,"0000")</x:f>
        <x:v>20120113-0601</x:v>
      </x:c>
      <x:c r="C324" s="13" t="s">
        <x:v>1978</x:v>
      </x:c>
      <x:c r="D324" s="140" t="s">
        <x:v>1533</x:v>
      </x:c>
      <x:c r="E324" s="13" t="s">
        <x:v>1568</x:v>
      </x:c>
      <x:c r="F324" s="13" t="s">
        <x:v>2130</x:v>
      </x:c>
      <x:c r="G324" s="13" t="s">
        <x:v>1537</x:v>
      </x:c>
      <x:c r="H324" s="13" t="str">
        <x:f>IFERROR(VLOOKUP(O324,'정보화기기 명부'!A$2:B$187,2,FALSE),"")</x:f>
        <x:v/>
      </x:c>
      <x:c r="I324" s="22"/>
      <x:c r="J324" s="13" t="s">
        <x:v>1751</x:v>
      </x:c>
      <x:c r="K324" s="25" t="s">
        <x:v>532</x:v>
      </x:c>
      <x:c r="L324" s="133">
        <x:v>20120113</x:v>
      </x:c>
      <x:c r="M324" s="22">
        <x:v>954617</x:v>
      </x:c>
      <x:c r="N324" s="13" t="s">
        <x:v>2045</x:v>
      </x:c>
      <x:c r="O324" s="13" t="s">
        <x:v>527</x:v>
      </x:c>
      <x:c r="P324" s="202">
        <x:v>601</x:v>
      </x:c>
      <x:c r="Q324" s="13" t="s">
        <x:v>3145</x:v>
      </x:c>
      <x:c r="R324" s="13" t="s">
        <x:v>2107</x:v>
      </x:c>
      <x:c r="S324" s="13" t="s">
        <x:v>1628</x:v>
      </x:c>
      <x:c r="T324" s="13" t="s">
        <x:v>1730</x:v>
      </x:c>
      <x:c r="U324" s="13"/>
      <x:c r="V324" s="13" t="s">
        <x:v>797</x:v>
      </x:c>
      <x:c r="W324" s="14"/>
      <x:c r="X324" s="14"/>
      <x:c r="Y324" s="14"/>
      <x:c r="Z324" s="14"/>
    </x:row>
    <x:row r="325" spans="1:26" ht="13.5" customHeight="1">
      <x:c r="A325" s="13" t="str">
        <x:f>O325</x:f>
        <x:v>3층실습용 12</x:v>
      </x:c>
      <x:c r="B325" s="25" t="str">
        <x:f>L325&amp;"-"&amp;TEXT(P325,"0000")</x:f>
        <x:v>20120113-0600</x:v>
      </x:c>
      <x:c r="C325" s="13" t="s">
        <x:v>1978</x:v>
      </x:c>
      <x:c r="D325" s="140" t="s">
        <x:v>1533</x:v>
      </x:c>
      <x:c r="E325" s="13" t="s">
        <x:v>1568</x:v>
      </x:c>
      <x:c r="F325" s="13" t="s">
        <x:v>2130</x:v>
      </x:c>
      <x:c r="G325" s="13" t="s">
        <x:v>1537</x:v>
      </x:c>
      <x:c r="H325" s="13" t="str">
        <x:f>IFERROR(VLOOKUP(O325,'정보화기기 명부'!A$2:B$187,2,FALSE),"")</x:f>
        <x:v/>
      </x:c>
      <x:c r="I325" s="22"/>
      <x:c r="J325" s="13" t="s">
        <x:v>1751</x:v>
      </x:c>
      <x:c r="K325" s="25" t="s">
        <x:v>532</x:v>
      </x:c>
      <x:c r="L325" s="133">
        <x:v>20120113</x:v>
      </x:c>
      <x:c r="M325" s="22">
        <x:v>954617</x:v>
      </x:c>
      <x:c r="N325" s="13" t="s">
        <x:v>2045</x:v>
      </x:c>
      <x:c r="O325" s="13" t="s">
        <x:v>522</x:v>
      </x:c>
      <x:c r="P325" s="202">
        <x:v>600</x:v>
      </x:c>
      <x:c r="Q325" s="13" t="s">
        <x:v>3145</x:v>
      </x:c>
      <x:c r="R325" s="13" t="s">
        <x:v>2107</x:v>
      </x:c>
      <x:c r="S325" s="13" t="s">
        <x:v>1628</x:v>
      </x:c>
      <x:c r="T325" s="13" t="s">
        <x:v>1730</x:v>
      </x:c>
      <x:c r="U325" s="13"/>
      <x:c r="V325" s="13" t="s">
        <x:v>797</x:v>
      </x:c>
      <x:c r="W325" s="14"/>
      <x:c r="X325" s="14"/>
      <x:c r="Y325" s="14"/>
      <x:c r="Z325" s="14"/>
    </x:row>
    <x:row r="326" spans="1:26" ht="13.5" customHeight="1">
      <x:c r="A326" s="13" t="str">
        <x:f>O326</x:f>
        <x:v>3층실습용 11</x:v>
      </x:c>
      <x:c r="B326" s="25" t="str">
        <x:f>L326&amp;"-"&amp;TEXT(P326,"0000")</x:f>
        <x:v>20120113-0599</x:v>
      </x:c>
      <x:c r="C326" s="13" t="s">
        <x:v>1978</x:v>
      </x:c>
      <x:c r="D326" s="140" t="s">
        <x:v>1533</x:v>
      </x:c>
      <x:c r="E326" s="13" t="s">
        <x:v>1568</x:v>
      </x:c>
      <x:c r="F326" s="13" t="s">
        <x:v>2130</x:v>
      </x:c>
      <x:c r="G326" s="13" t="s">
        <x:v>1537</x:v>
      </x:c>
      <x:c r="H326" s="13" t="str">
        <x:f>IFERROR(VLOOKUP(O326,'정보화기기 명부'!A$2:B$187,2,FALSE),"")</x:f>
        <x:v/>
      </x:c>
      <x:c r="I326" s="22"/>
      <x:c r="J326" s="13" t="s">
        <x:v>1751</x:v>
      </x:c>
      <x:c r="K326" s="25" t="s">
        <x:v>532</x:v>
      </x:c>
      <x:c r="L326" s="133">
        <x:v>20120113</x:v>
      </x:c>
      <x:c r="M326" s="22">
        <x:v>954617</x:v>
      </x:c>
      <x:c r="N326" s="13" t="s">
        <x:v>2045</x:v>
      </x:c>
      <x:c r="O326" s="13" t="s">
        <x:v>550</x:v>
      </x:c>
      <x:c r="P326" s="202">
        <x:v>599</x:v>
      </x:c>
      <x:c r="Q326" s="13" t="s">
        <x:v>3145</x:v>
      </x:c>
      <x:c r="R326" s="13" t="s">
        <x:v>2107</x:v>
      </x:c>
      <x:c r="S326" s="13" t="s">
        <x:v>1628</x:v>
      </x:c>
      <x:c r="T326" s="13" t="s">
        <x:v>1730</x:v>
      </x:c>
      <x:c r="U326" s="13"/>
      <x:c r="V326" s="13" t="s">
        <x:v>797</x:v>
      </x:c>
      <x:c r="W326" s="14"/>
      <x:c r="X326" s="14"/>
      <x:c r="Y326" s="14"/>
      <x:c r="Z326" s="14"/>
    </x:row>
    <x:row r="327" spans="1:26" ht="13.5" customHeight="1">
      <x:c r="A327" s="13" t="str">
        <x:f>O327</x:f>
        <x:v>3층실습용 10</x:v>
      </x:c>
      <x:c r="B327" s="25" t="str">
        <x:f>L327&amp;"-"&amp;TEXT(P327,"0000")</x:f>
        <x:v>20120113-0598</x:v>
      </x:c>
      <x:c r="C327" s="13" t="s">
        <x:v>1978</x:v>
      </x:c>
      <x:c r="D327" s="140" t="s">
        <x:v>1533</x:v>
      </x:c>
      <x:c r="E327" s="13" t="s">
        <x:v>1568</x:v>
      </x:c>
      <x:c r="F327" s="13" t="s">
        <x:v>2130</x:v>
      </x:c>
      <x:c r="G327" s="13" t="s">
        <x:v>1537</x:v>
      </x:c>
      <x:c r="H327" s="13" t="str">
        <x:f>IFERROR(VLOOKUP(O327,'정보화기기 명부'!A$2:B$187,2,FALSE),"")</x:f>
        <x:v/>
      </x:c>
      <x:c r="I327" s="22"/>
      <x:c r="J327" s="13" t="s">
        <x:v>1751</x:v>
      </x:c>
      <x:c r="K327" s="25" t="s">
        <x:v>532</x:v>
      </x:c>
      <x:c r="L327" s="133">
        <x:v>20120113</x:v>
      </x:c>
      <x:c r="M327" s="22">
        <x:v>954617</x:v>
      </x:c>
      <x:c r="N327" s="13" t="s">
        <x:v>2045</x:v>
      </x:c>
      <x:c r="O327" s="13" t="s">
        <x:v>552</x:v>
      </x:c>
      <x:c r="P327" s="202">
        <x:v>598</x:v>
      </x:c>
      <x:c r="Q327" s="13" t="s">
        <x:v>3145</x:v>
      </x:c>
      <x:c r="R327" s="13" t="s">
        <x:v>2107</x:v>
      </x:c>
      <x:c r="S327" s="13" t="s">
        <x:v>1628</x:v>
      </x:c>
      <x:c r="T327" s="13" t="s">
        <x:v>1730</x:v>
      </x:c>
      <x:c r="U327" s="13"/>
      <x:c r="V327" s="13" t="s">
        <x:v>797</x:v>
      </x:c>
      <x:c r="W327" s="14"/>
      <x:c r="X327" s="14"/>
      <x:c r="Y327" s="14"/>
      <x:c r="Z327" s="14"/>
    </x:row>
    <x:row r="328" spans="1:26" ht="13.5" customHeight="1">
      <x:c r="A328" s="13" t="str">
        <x:f>O328</x:f>
        <x:v>3층실습용 9</x:v>
      </x:c>
      <x:c r="B328" s="25" t="str">
        <x:f>L328&amp;"-"&amp;TEXT(P328,"0000")</x:f>
        <x:v>20120113-0597</x:v>
      </x:c>
      <x:c r="C328" s="13" t="s">
        <x:v>1978</x:v>
      </x:c>
      <x:c r="D328" s="140" t="s">
        <x:v>1533</x:v>
      </x:c>
      <x:c r="E328" s="13" t="s">
        <x:v>1568</x:v>
      </x:c>
      <x:c r="F328" s="13" t="s">
        <x:v>2130</x:v>
      </x:c>
      <x:c r="G328" s="13" t="s">
        <x:v>1537</x:v>
      </x:c>
      <x:c r="H328" s="13" t="str">
        <x:f>IFERROR(VLOOKUP(O328,'정보화기기 명부'!A$2:B$187,2,FALSE),"")</x:f>
        <x:v/>
      </x:c>
      <x:c r="I328" s="22"/>
      <x:c r="J328" s="13" t="s">
        <x:v>1751</x:v>
      </x:c>
      <x:c r="K328" s="25" t="s">
        <x:v>532</x:v>
      </x:c>
      <x:c r="L328" s="133">
        <x:v>20120113</x:v>
      </x:c>
      <x:c r="M328" s="22">
        <x:v>954617</x:v>
      </x:c>
      <x:c r="N328" s="13" t="s">
        <x:v>2045</x:v>
      </x:c>
      <x:c r="O328" s="13" t="s">
        <x:v>1706</x:v>
      </x:c>
      <x:c r="P328" s="202">
        <x:v>597</x:v>
      </x:c>
      <x:c r="Q328" s="13" t="s">
        <x:v>3145</x:v>
      </x:c>
      <x:c r="R328" s="13" t="s">
        <x:v>2107</x:v>
      </x:c>
      <x:c r="S328" s="13" t="s">
        <x:v>1628</x:v>
      </x:c>
      <x:c r="T328" s="13" t="s">
        <x:v>1730</x:v>
      </x:c>
      <x:c r="U328" s="13"/>
      <x:c r="V328" s="13" t="s">
        <x:v>797</x:v>
      </x:c>
      <x:c r="W328" s="14"/>
      <x:c r="X328" s="14"/>
      <x:c r="Y328" s="14"/>
      <x:c r="Z328" s="14"/>
    </x:row>
    <x:row r="329" spans="1:26" ht="13.5" customHeight="1">
      <x:c r="A329" s="13" t="str">
        <x:f>O329</x:f>
        <x:v>도움반 실습용4(구 3층실습용8)</x:v>
      </x:c>
      <x:c r="B329" s="25" t="str">
        <x:f>L329&amp;"-"&amp;TEXT(P329,"0000")</x:f>
        <x:v>20120113-0596</x:v>
      </x:c>
      <x:c r="C329" s="13" t="s">
        <x:v>1978</x:v>
      </x:c>
      <x:c r="D329" s="25" t="s">
        <x:v>1533</x:v>
      </x:c>
      <x:c r="E329" s="13" t="s">
        <x:v>1568</x:v>
      </x:c>
      <x:c r="F329" s="13" t="s">
        <x:v>2130</x:v>
      </x:c>
      <x:c r="G329" s="13" t="s">
        <x:v>1537</x:v>
      </x:c>
      <x:c r="H329" s="13" t="str">
        <x:f>IFERROR(VLOOKUP(O329,'정보화기기 명부'!A$2:B$187,2,FALSE),"")</x:f>
        <x:v/>
      </x:c>
      <x:c r="I329" s="22"/>
      <x:c r="J329" s="13" t="s">
        <x:v>1751</x:v>
      </x:c>
      <x:c r="K329" s="25" t="s">
        <x:v>542</x:v>
      </x:c>
      <x:c r="L329" s="133">
        <x:v>20120113</x:v>
      </x:c>
      <x:c r="M329" s="22">
        <x:v>954617</x:v>
      </x:c>
      <x:c r="N329" s="13" t="s">
        <x:v>2045</x:v>
      </x:c>
      <x:c r="O329" s="13" t="s">
        <x:v>3294</x:v>
      </x:c>
      <x:c r="P329" s="202">
        <x:v>596</x:v>
      </x:c>
      <x:c r="Q329" s="25" t="s">
        <x:v>1122</x:v>
      </x:c>
      <x:c r="R329" s="13" t="s">
        <x:v>2107</x:v>
      </x:c>
      <x:c r="S329" s="13" t="s">
        <x:v>1628</x:v>
      </x:c>
      <x:c r="T329" s="13" t="s">
        <x:v>1730</x:v>
      </x:c>
      <x:c r="U329" s="13"/>
      <x:c r="V329" s="13" t="s">
        <x:v>797</x:v>
      </x:c>
      <x:c r="W329" s="14"/>
      <x:c r="X329" s="14"/>
      <x:c r="Y329" s="14"/>
      <x:c r="Z329" s="14"/>
    </x:row>
    <x:row r="330" spans="1:26" ht="13.5" customHeight="1">
      <x:c r="A330" s="13" t="str">
        <x:f>O330</x:f>
        <x:v>도움반 실습용3(구 3층실습용7)</x:v>
      </x:c>
      <x:c r="B330" s="25" t="str">
        <x:f>L330&amp;"-"&amp;TEXT(P330,"0000")</x:f>
        <x:v>20120113-0595</x:v>
      </x:c>
      <x:c r="C330" s="13" t="s">
        <x:v>1978</x:v>
      </x:c>
      <x:c r="D330" s="25" t="s">
        <x:v>1533</x:v>
      </x:c>
      <x:c r="E330" s="13" t="s">
        <x:v>1568</x:v>
      </x:c>
      <x:c r="F330" s="13" t="s">
        <x:v>2130</x:v>
      </x:c>
      <x:c r="G330" s="13" t="s">
        <x:v>1537</x:v>
      </x:c>
      <x:c r="H330" s="13" t="str">
        <x:f>IFERROR(VLOOKUP(O330,'정보화기기 명부'!A$2:B$187,2,FALSE),"")</x:f>
        <x:v/>
      </x:c>
      <x:c r="I330" s="22"/>
      <x:c r="J330" s="13" t="s">
        <x:v>1751</x:v>
      </x:c>
      <x:c r="K330" s="25" t="s">
        <x:v>542</x:v>
      </x:c>
      <x:c r="L330" s="133">
        <x:v>20120113</x:v>
      </x:c>
      <x:c r="M330" s="22">
        <x:v>954617</x:v>
      </x:c>
      <x:c r="N330" s="13" t="s">
        <x:v>2045</x:v>
      </x:c>
      <x:c r="O330" s="13" t="s">
        <x:v>3243</x:v>
      </x:c>
      <x:c r="P330" s="202">
        <x:v>595</x:v>
      </x:c>
      <x:c r="Q330" s="25" t="s">
        <x:v>1122</x:v>
      </x:c>
      <x:c r="R330" s="13" t="s">
        <x:v>2107</x:v>
      </x:c>
      <x:c r="S330" s="13" t="s">
        <x:v>1628</x:v>
      </x:c>
      <x:c r="T330" s="13" t="s">
        <x:v>1730</x:v>
      </x:c>
      <x:c r="U330" s="13"/>
      <x:c r="V330" s="13" t="s">
        <x:v>797</x:v>
      </x:c>
      <x:c r="W330" s="14"/>
      <x:c r="X330" s="14"/>
      <x:c r="Y330" s="14"/>
      <x:c r="Z330" s="14"/>
    </x:row>
    <x:row r="331" spans="1:26" ht="13.5" customHeight="1">
      <x:c r="A331" s="13" t="str">
        <x:f>O331</x:f>
        <x:v>도움반 실습용2(구 3층실습용6)</x:v>
      </x:c>
      <x:c r="B331" s="25" t="str">
        <x:f>L331&amp;"-"&amp;TEXT(P331,"0000")</x:f>
        <x:v>20120113-0594</x:v>
      </x:c>
      <x:c r="C331" s="13" t="s">
        <x:v>1978</x:v>
      </x:c>
      <x:c r="D331" s="25" t="s">
        <x:v>1533</x:v>
      </x:c>
      <x:c r="E331" s="13" t="s">
        <x:v>1568</x:v>
      </x:c>
      <x:c r="F331" s="13" t="s">
        <x:v>2130</x:v>
      </x:c>
      <x:c r="G331" s="13" t="s">
        <x:v>1537</x:v>
      </x:c>
      <x:c r="H331" s="13" t="str">
        <x:f>IFERROR(VLOOKUP(O331,'정보화기기 명부'!A$2:B$187,2,FALSE),"")</x:f>
        <x:v/>
      </x:c>
      <x:c r="I331" s="22"/>
      <x:c r="J331" s="13" t="s">
        <x:v>1751</x:v>
      </x:c>
      <x:c r="K331" s="25" t="s">
        <x:v>542</x:v>
      </x:c>
      <x:c r="L331" s="133">
        <x:v>20120113</x:v>
      </x:c>
      <x:c r="M331" s="22">
        <x:v>954617</x:v>
      </x:c>
      <x:c r="N331" s="13" t="s">
        <x:v>2045</x:v>
      </x:c>
      <x:c r="O331" s="13" t="s">
        <x:v>3282</x:v>
      </x:c>
      <x:c r="P331" s="202">
        <x:v>594</x:v>
      </x:c>
      <x:c r="Q331" s="25" t="s">
        <x:v>1122</x:v>
      </x:c>
      <x:c r="R331" s="13" t="s">
        <x:v>2107</x:v>
      </x:c>
      <x:c r="S331" s="13" t="s">
        <x:v>1628</x:v>
      </x:c>
      <x:c r="T331" s="13" t="s">
        <x:v>1730</x:v>
      </x:c>
      <x:c r="U331" s="13"/>
      <x:c r="V331" s="13" t="s">
        <x:v>797</x:v>
      </x:c>
      <x:c r="W331" s="14"/>
      <x:c r="X331" s="14"/>
      <x:c r="Y331" s="14"/>
      <x:c r="Z331" s="14"/>
    </x:row>
    <x:row r="332" spans="1:26" ht="13.5" customHeight="1">
      <x:c r="A332" s="13" t="str">
        <x:f>O332</x:f>
        <x:v>도움반 실습용1(구 3층실습용5)</x:v>
      </x:c>
      <x:c r="B332" s="25" t="str">
        <x:f>L332&amp;"-"&amp;TEXT(P332,"0000")</x:f>
        <x:v>20120113-0593</x:v>
      </x:c>
      <x:c r="C332" s="13" t="s">
        <x:v>1978</x:v>
      </x:c>
      <x:c r="D332" s="25" t="s">
        <x:v>1533</x:v>
      </x:c>
      <x:c r="E332" s="13" t="s">
        <x:v>1568</x:v>
      </x:c>
      <x:c r="F332" s="13" t="s">
        <x:v>2130</x:v>
      </x:c>
      <x:c r="G332" s="13" t="s">
        <x:v>1537</x:v>
      </x:c>
      <x:c r="H332" s="13" t="str">
        <x:f>IFERROR(VLOOKUP(O332,'정보화기기 명부'!A$2:B$187,2,FALSE),"")</x:f>
        <x:v/>
      </x:c>
      <x:c r="I332" s="22"/>
      <x:c r="J332" s="13" t="s">
        <x:v>1751</x:v>
      </x:c>
      <x:c r="K332" s="25" t="s">
        <x:v>542</x:v>
      </x:c>
      <x:c r="L332" s="133">
        <x:v>20120113</x:v>
      </x:c>
      <x:c r="M332" s="22">
        <x:v>954617</x:v>
      </x:c>
      <x:c r="N332" s="13" t="s">
        <x:v>2045</x:v>
      </x:c>
      <x:c r="O332" s="13" t="s">
        <x:v>3256</x:v>
      </x:c>
      <x:c r="P332" s="202">
        <x:v>593</x:v>
      </x:c>
      <x:c r="Q332" s="25" t="s">
        <x:v>1122</x:v>
      </x:c>
      <x:c r="R332" s="13" t="s">
        <x:v>2107</x:v>
      </x:c>
      <x:c r="S332" s="13" t="s">
        <x:v>1628</x:v>
      </x:c>
      <x:c r="T332" s="13" t="s">
        <x:v>1730</x:v>
      </x:c>
      <x:c r="U332" s="13"/>
      <x:c r="V332" s="13" t="s">
        <x:v>797</x:v>
      </x:c>
      <x:c r="W332" s="14"/>
      <x:c r="X332" s="14"/>
      <x:c r="Y332" s="14"/>
      <x:c r="Z332" s="14"/>
    </x:row>
    <x:row r="333" spans="1:26" ht="13.5" customHeight="1">
      <x:c r="A333" s="13" t="str">
        <x:f>O333</x:f>
        <x:v>2학년 면학실4(구 3층실습용4)</x:v>
      </x:c>
      <x:c r="B333" s="25" t="str">
        <x:f>L333&amp;"-"&amp;TEXT(P333,"0000")</x:f>
        <x:v>20120113-0592</x:v>
      </x:c>
      <x:c r="C333" s="13" t="s">
        <x:v>1978</x:v>
      </x:c>
      <x:c r="D333" s="25" t="s">
        <x:v>1533</x:v>
      </x:c>
      <x:c r="E333" s="13" t="s">
        <x:v>1568</x:v>
      </x:c>
      <x:c r="F333" s="19" t="s">
        <x:v>2130</x:v>
      </x:c>
      <x:c r="G333" s="13" t="s">
        <x:v>1537</x:v>
      </x:c>
      <x:c r="H333" s="13" t="str">
        <x:f>IFERROR(VLOOKUP(O333,'정보화기기 명부'!A$2:B$187,2,FALSE),"")</x:f>
        <x:v/>
      </x:c>
      <x:c r="I333" s="22"/>
      <x:c r="J333" s="13" t="s">
        <x:v>1751</x:v>
      </x:c>
      <x:c r="K333" s="25" t="s">
        <x:v>542</x:v>
      </x:c>
      <x:c r="L333" s="133">
        <x:v>20120113</x:v>
      </x:c>
      <x:c r="M333" s="22">
        <x:v>954617</x:v>
      </x:c>
      <x:c r="N333" s="13" t="s">
        <x:v>2045</x:v>
      </x:c>
      <x:c r="O333" s="13" t="s">
        <x:v>3225</x:v>
      </x:c>
      <x:c r="P333" s="202">
        <x:v>592</x:v>
      </x:c>
      <x:c r="Q333" s="25" t="s">
        <x:v>1122</x:v>
      </x:c>
      <x:c r="R333" s="13" t="s">
        <x:v>2107</x:v>
      </x:c>
      <x:c r="S333" s="13" t="s">
        <x:v>1628</x:v>
      </x:c>
      <x:c r="T333" s="13" t="s">
        <x:v>1730</x:v>
      </x:c>
      <x:c r="U333" s="13"/>
      <x:c r="V333" s="13" t="s">
        <x:v>797</x:v>
      </x:c>
      <x:c r="W333" s="14"/>
      <x:c r="X333" s="14"/>
      <x:c r="Y333" s="14"/>
      <x:c r="Z333" s="14"/>
    </x:row>
    <x:row r="334" spans="1:26" ht="13.5" customHeight="1">
      <x:c r="A334" s="13" t="str">
        <x:f>O334</x:f>
        <x:v>2학년 면학실3(구 3층실습용3)</x:v>
      </x:c>
      <x:c r="B334" s="25" t="str">
        <x:f>L334&amp;"-"&amp;TEXT(P334,"0000")</x:f>
        <x:v>20120113-0591</x:v>
      </x:c>
      <x:c r="C334" s="13" t="s">
        <x:v>1978</x:v>
      </x:c>
      <x:c r="D334" s="25" t="s">
        <x:v>1533</x:v>
      </x:c>
      <x:c r="E334" s="13" t="s">
        <x:v>1568</x:v>
      </x:c>
      <x:c r="F334" s="13" t="s">
        <x:v>2130</x:v>
      </x:c>
      <x:c r="G334" s="13" t="s">
        <x:v>1537</x:v>
      </x:c>
      <x:c r="H334" s="13" t="str">
        <x:f>IFERROR(VLOOKUP(O334,'정보화기기 명부'!A$2:B$187,2,FALSE),"")</x:f>
        <x:v/>
      </x:c>
      <x:c r="I334" s="22"/>
      <x:c r="J334" s="13" t="s">
        <x:v>1751</x:v>
      </x:c>
      <x:c r="K334" s="25" t="s">
        <x:v>542</x:v>
      </x:c>
      <x:c r="L334" s="133">
        <x:v>20120113</x:v>
      </x:c>
      <x:c r="M334" s="22">
        <x:v>954617</x:v>
      </x:c>
      <x:c r="N334" s="13" t="s">
        <x:v>2045</x:v>
      </x:c>
      <x:c r="O334" s="13" t="s">
        <x:v>3258</x:v>
      </x:c>
      <x:c r="P334" s="202">
        <x:v>591</x:v>
      </x:c>
      <x:c r="Q334" s="25" t="s">
        <x:v>1122</x:v>
      </x:c>
      <x:c r="R334" s="13" t="s">
        <x:v>2107</x:v>
      </x:c>
      <x:c r="S334" s="13" t="s">
        <x:v>1628</x:v>
      </x:c>
      <x:c r="T334" s="13" t="s">
        <x:v>1730</x:v>
      </x:c>
      <x:c r="U334" s="13"/>
      <x:c r="V334" s="13" t="s">
        <x:v>797</x:v>
      </x:c>
      <x:c r="W334" s="14"/>
      <x:c r="X334" s="14"/>
      <x:c r="Y334" s="14"/>
      <x:c r="Z334" s="14"/>
    </x:row>
    <x:row r="335" spans="1:26" ht="13.5" customHeight="1">
      <x:c r="A335" s="13" t="str">
        <x:f>O335</x:f>
        <x:v>2학년 면학실2(구 3층실습용2)</x:v>
      </x:c>
      <x:c r="B335" s="25" t="str">
        <x:f>L335&amp;"-"&amp;TEXT(P335,"0000")</x:f>
        <x:v>20120113-0590</x:v>
      </x:c>
      <x:c r="C335" s="13" t="s">
        <x:v>1978</x:v>
      </x:c>
      <x:c r="D335" s="25" t="s">
        <x:v>1533</x:v>
      </x:c>
      <x:c r="E335" s="13" t="s">
        <x:v>1568</x:v>
      </x:c>
      <x:c r="F335" s="13" t="s">
        <x:v>2130</x:v>
      </x:c>
      <x:c r="G335" s="13" t="s">
        <x:v>1537</x:v>
      </x:c>
      <x:c r="H335" s="13" t="str">
        <x:f>IFERROR(VLOOKUP(O335,'정보화기기 명부'!A$2:B$187,2,FALSE),"")</x:f>
        <x:v/>
      </x:c>
      <x:c r="I335" s="22"/>
      <x:c r="J335" s="13" t="s">
        <x:v>1751</x:v>
      </x:c>
      <x:c r="K335" s="25" t="s">
        <x:v>542</x:v>
      </x:c>
      <x:c r="L335" s="133">
        <x:v>20120113</x:v>
      </x:c>
      <x:c r="M335" s="22">
        <x:v>954617</x:v>
      </x:c>
      <x:c r="N335" s="13" t="s">
        <x:v>2045</x:v>
      </x:c>
      <x:c r="O335" s="13" t="s">
        <x:v>3232</x:v>
      </x:c>
      <x:c r="P335" s="202">
        <x:v>590</x:v>
      </x:c>
      <x:c r="Q335" s="25" t="s">
        <x:v>1122</x:v>
      </x:c>
      <x:c r="R335" s="13" t="s">
        <x:v>2107</x:v>
      </x:c>
      <x:c r="S335" s="13" t="s">
        <x:v>1628</x:v>
      </x:c>
      <x:c r="T335" s="13" t="s">
        <x:v>1730</x:v>
      </x:c>
      <x:c r="U335" s="13"/>
      <x:c r="V335" s="13" t="s">
        <x:v>797</x:v>
      </x:c>
      <x:c r="W335" s="14"/>
      <x:c r="X335" s="14"/>
      <x:c r="Y335" s="14"/>
      <x:c r="Z335" s="14"/>
    </x:row>
    <x:row r="336" spans="1:22" s="14" customFormat="1" ht="13.5" customHeight="1">
      <x:c r="A336" s="13" t="str">
        <x:f>O336</x:f>
        <x:v>2학년 면학실1(구 3층실습용1)</x:v>
      </x:c>
      <x:c r="B336" s="25" t="str">
        <x:f>L336&amp;"-"&amp;TEXT(P336,"0000")</x:f>
        <x:v>20120113-0589</x:v>
      </x:c>
      <x:c r="C336" s="13" t="s">
        <x:v>1978</x:v>
      </x:c>
      <x:c r="D336" s="25" t="s">
        <x:v>1533</x:v>
      </x:c>
      <x:c r="E336" s="13" t="s">
        <x:v>1568</x:v>
      </x:c>
      <x:c r="F336" s="13" t="s">
        <x:v>2130</x:v>
      </x:c>
      <x:c r="G336" s="13" t="s">
        <x:v>1537</x:v>
      </x:c>
      <x:c r="H336" s="13" t="str">
        <x:f>IFERROR(VLOOKUP(O336,'정보화기기 명부'!A$2:B$187,2,FALSE),"")</x:f>
        <x:v/>
      </x:c>
      <x:c r="I336" s="22"/>
      <x:c r="J336" s="13" t="s">
        <x:v>1751</x:v>
      </x:c>
      <x:c r="K336" s="25" t="s">
        <x:v>542</x:v>
      </x:c>
      <x:c r="L336" s="133">
        <x:v>20120113</x:v>
      </x:c>
      <x:c r="M336" s="22">
        <x:v>954617</x:v>
      </x:c>
      <x:c r="N336" s="13" t="s">
        <x:v>2045</x:v>
      </x:c>
      <x:c r="O336" s="13" t="s">
        <x:v>3274</x:v>
      </x:c>
      <x:c r="P336" s="202">
        <x:v>589</x:v>
      </x:c>
      <x:c r="Q336" s="25" t="s">
        <x:v>1122</x:v>
      </x:c>
      <x:c r="R336" s="13" t="s">
        <x:v>2107</x:v>
      </x:c>
      <x:c r="S336" s="13" t="s">
        <x:v>1628</x:v>
      </x:c>
      <x:c r="T336" s="13" t="s">
        <x:v>1730</x:v>
      </x:c>
      <x:c r="U336" s="13"/>
      <x:c r="V336" s="13" t="s">
        <x:v>797</x:v>
      </x:c>
    </x:row>
    <x:row r="337" spans="1:26" customHeight="1">
      <x:c r="A337" s="25" t="str">
        <x:f>O337</x:f>
        <x:v>정보과학실용 10</x:v>
      </x:c>
      <x:c r="B337" s="25" t="str">
        <x:f>L337&amp;"-"&amp;TEXT(P337,"0000")</x:f>
        <x:v>20120113-0588</x:v>
      </x:c>
      <x:c r="C337" s="25" t="s">
        <x:v>1978</x:v>
      </x:c>
      <x:c r="D337" s="25" t="s">
        <x:v>1533</x:v>
      </x:c>
      <x:c r="E337" s="25" t="s">
        <x:v>1568</x:v>
      </x:c>
      <x:c r="F337" s="25" t="s">
        <x:v>2130</x:v>
      </x:c>
      <x:c r="G337" s="25" t="s">
        <x:v>1537</x:v>
      </x:c>
      <x:c r="H337" s="25" t="str">
        <x:f>IFERROR(VLOOKUP(O337,'정보화기기 명부'!A$2:B$187,2,FALSE),"")</x:f>
        <x:v/>
      </x:c>
      <x:c r="I337" s="123"/>
      <x:c r="J337" s="25" t="s">
        <x:v>1640</x:v>
      </x:c>
      <x:c r="K337" s="25"/>
      <x:c r="L337" s="25">
        <x:v>20120113</x:v>
      </x:c>
      <x:c r="M337" s="123">
        <x:v>954617</x:v>
      </x:c>
      <x:c r="N337" s="25" t="s">
        <x:v>2045</x:v>
      </x:c>
      <x:c r="O337" s="25" t="s">
        <x:v>538</x:v>
      </x:c>
      <x:c r="P337" s="157">
        <x:v>588</x:v>
      </x:c>
      <x:c r="Q337" s="25" t="s">
        <x:v>815</x:v>
      </x:c>
      <x:c r="R337" s="25" t="s">
        <x:v>2107</x:v>
      </x:c>
      <x:c r="S337" s="25" t="s">
        <x:v>1628</x:v>
      </x:c>
      <x:c r="T337" s="25" t="s">
        <x:v>1730</x:v>
      </x:c>
      <x:c r="U337" s="13"/>
      <x:c r="V337" s="13" t="s">
        <x:v>797</x:v>
      </x:c>
      <x:c r="W337" s="14"/>
      <x:c r="X337" s="14"/>
      <x:c r="Y337" s="14"/>
      <x:c r="Z337" s="14"/>
    </x:row>
    <x:row r="338" spans="1:22" customHeight="1">
      <x:c r="A338" s="25" t="str">
        <x:f>O338</x:f>
        <x:v>정보과학실용 8</x:v>
      </x:c>
      <x:c r="B338" s="25" t="str">
        <x:f>L338&amp;"-"&amp;TEXT(P338,"0000")</x:f>
        <x:v>20120113-0587</x:v>
      </x:c>
      <x:c r="C338" s="25" t="s">
        <x:v>1978</x:v>
      </x:c>
      <x:c r="D338" s="25" t="s">
        <x:v>1533</x:v>
      </x:c>
      <x:c r="E338" s="25" t="s">
        <x:v>1568</x:v>
      </x:c>
      <x:c r="F338" s="25" t="s">
        <x:v>2130</x:v>
      </x:c>
      <x:c r="G338" s="25" t="s">
        <x:v>1537</x:v>
      </x:c>
      <x:c r="H338" s="25" t="str">
        <x:f>IFERROR(VLOOKUP(O338,'정보화기기 명부'!A$2:B$187,2,FALSE),"")</x:f>
        <x:v/>
      </x:c>
      <x:c r="I338" s="123"/>
      <x:c r="J338" s="25" t="s">
        <x:v>1640</x:v>
      </x:c>
      <x:c r="K338" s="25" t="s">
        <x:v>567</x:v>
      </x:c>
      <x:c r="L338" s="134">
        <x:v>20120113</x:v>
      </x:c>
      <x:c r="M338" s="123">
        <x:v>954617</x:v>
      </x:c>
      <x:c r="N338" s="25" t="s">
        <x:v>2045</x:v>
      </x:c>
      <x:c r="O338" s="25" t="s">
        <x:v>547</x:v>
      </x:c>
      <x:c r="P338" s="157">
        <x:v>587</x:v>
      </x:c>
      <x:c r="Q338" s="25" t="s">
        <x:v>693</x:v>
      </x:c>
      <x:c r="R338" s="25" t="s">
        <x:v>2107</x:v>
      </x:c>
      <x:c r="S338" s="25" t="s">
        <x:v>1628</x:v>
      </x:c>
      <x:c r="T338" s="25" t="s">
        <x:v>1730</x:v>
      </x:c>
      <x:c r="U338" s="25"/>
      <x:c r="V338" s="25" t="s">
        <x:v>797</x:v>
      </x:c>
    </x:row>
    <x:row r="339" spans="1:22" customHeight="1">
      <x:c r="A339" s="25" t="str">
        <x:f>O339</x:f>
        <x:v>정보과학실용 7</x:v>
      </x:c>
      <x:c r="B339" s="25" t="str">
        <x:f>L339&amp;"-"&amp;TEXT(P339,"0000")</x:f>
        <x:v>20120113-0586</x:v>
      </x:c>
      <x:c r="C339" s="25" t="s">
        <x:v>1978</x:v>
      </x:c>
      <x:c r="D339" s="25" t="s">
        <x:v>1533</x:v>
      </x:c>
      <x:c r="E339" s="25" t="s">
        <x:v>1568</x:v>
      </x:c>
      <x:c r="F339" s="25" t="s">
        <x:v>2130</x:v>
      </x:c>
      <x:c r="G339" s="25" t="s">
        <x:v>1537</x:v>
      </x:c>
      <x:c r="H339" s="25" t="str">
        <x:f>IFERROR(VLOOKUP(O339,'정보화기기 명부'!A$2:B$187,2,FALSE),"")</x:f>
        <x:v/>
      </x:c>
      <x:c r="I339" s="123"/>
      <x:c r="J339" s="25" t="s">
        <x:v>1640</x:v>
      </x:c>
      <x:c r="K339" s="25" t="s">
        <x:v>567</x:v>
      </x:c>
      <x:c r="L339" s="134">
        <x:v>20120113</x:v>
      </x:c>
      <x:c r="M339" s="123">
        <x:v>954617</x:v>
      </x:c>
      <x:c r="N339" s="25" t="s">
        <x:v>2045</x:v>
      </x:c>
      <x:c r="O339" s="25" t="s">
        <x:v>555</x:v>
      </x:c>
      <x:c r="P339" s="157">
        <x:v>586</x:v>
      </x:c>
      <x:c r="Q339" s="25" t="s">
        <x:v>693</x:v>
      </x:c>
      <x:c r="R339" s="25" t="s">
        <x:v>2107</x:v>
      </x:c>
      <x:c r="S339" s="25" t="s">
        <x:v>1628</x:v>
      </x:c>
      <x:c r="T339" s="25" t="s">
        <x:v>1730</x:v>
      </x:c>
      <x:c r="U339" s="25"/>
      <x:c r="V339" s="25" t="s">
        <x:v>797</x:v>
      </x:c>
    </x:row>
    <x:row r="340" spans="1:22" customHeight="1">
      <x:c r="A340" s="25" t="str">
        <x:f>O340</x:f>
        <x:v>정보과학실용 6</x:v>
      </x:c>
      <x:c r="B340" s="25" t="str">
        <x:f>L340&amp;"-"&amp;TEXT(P340,"0000")</x:f>
        <x:v>20120113-0585</x:v>
      </x:c>
      <x:c r="C340" s="25" t="s">
        <x:v>1978</x:v>
      </x:c>
      <x:c r="D340" s="25" t="s">
        <x:v>1533</x:v>
      </x:c>
      <x:c r="E340" s="25" t="s">
        <x:v>1568</x:v>
      </x:c>
      <x:c r="F340" s="25" t="s">
        <x:v>2130</x:v>
      </x:c>
      <x:c r="G340" s="25" t="s">
        <x:v>1537</x:v>
      </x:c>
      <x:c r="H340" s="25" t="str">
        <x:f>IFERROR(VLOOKUP(O340,'정보화기기 명부'!A$2:B$187,2,FALSE),"")</x:f>
        <x:v/>
      </x:c>
      <x:c r="I340" s="123"/>
      <x:c r="J340" s="25" t="s">
        <x:v>1640</x:v>
      </x:c>
      <x:c r="K340" s="25" t="s">
        <x:v>567</x:v>
      </x:c>
      <x:c r="L340" s="134">
        <x:v>20120113</x:v>
      </x:c>
      <x:c r="M340" s="123">
        <x:v>954617</x:v>
      </x:c>
      <x:c r="N340" s="25" t="s">
        <x:v>2045</x:v>
      </x:c>
      <x:c r="O340" s="25" t="s">
        <x:v>546</x:v>
      </x:c>
      <x:c r="P340" s="157">
        <x:v>585</x:v>
      </x:c>
      <x:c r="Q340" s="25" t="s">
        <x:v>693</x:v>
      </x:c>
      <x:c r="R340" s="25" t="s">
        <x:v>2107</x:v>
      </x:c>
      <x:c r="S340" s="25" t="s">
        <x:v>1628</x:v>
      </x:c>
      <x:c r="T340" s="25" t="s">
        <x:v>1730</x:v>
      </x:c>
      <x:c r="U340" s="25"/>
      <x:c r="V340" s="25" t="s">
        <x:v>797</x:v>
      </x:c>
    </x:row>
    <x:row r="341" spans="1:22" ht="13.5" customHeight="1">
      <x:c r="A341" s="25" t="str">
        <x:f>O341</x:f>
        <x:v>정보과학실용 5</x:v>
      </x:c>
      <x:c r="B341" s="25" t="str">
        <x:f>L341&amp;"-"&amp;TEXT(P341,"0000")</x:f>
        <x:v>20120113-0584</x:v>
      </x:c>
      <x:c r="C341" s="25" t="s">
        <x:v>1978</x:v>
      </x:c>
      <x:c r="D341" s="25" t="s">
        <x:v>1533</x:v>
      </x:c>
      <x:c r="E341" s="25" t="s">
        <x:v>1568</x:v>
      </x:c>
      <x:c r="F341" s="25" t="s">
        <x:v>2130</x:v>
      </x:c>
      <x:c r="G341" s="25" t="s">
        <x:v>1537</x:v>
      </x:c>
      <x:c r="H341" s="25" t="str">
        <x:f>IFERROR(VLOOKUP(O341,'정보화기기 명부'!A$2:B$187,2,FALSE),"")</x:f>
        <x:v/>
      </x:c>
      <x:c r="I341" s="123"/>
      <x:c r="J341" s="25" t="s">
        <x:v>1640</x:v>
      </x:c>
      <x:c r="K341" s="25" t="s">
        <x:v>567</x:v>
      </x:c>
      <x:c r="L341" s="134">
        <x:v>20120113</x:v>
      </x:c>
      <x:c r="M341" s="123">
        <x:v>954617</x:v>
      </x:c>
      <x:c r="N341" s="25" t="s">
        <x:v>2045</x:v>
      </x:c>
      <x:c r="O341" s="25" t="s">
        <x:v>543</x:v>
      </x:c>
      <x:c r="P341" s="157">
        <x:v>584</x:v>
      </x:c>
      <x:c r="Q341" s="25" t="s">
        <x:v>693</x:v>
      </x:c>
      <x:c r="R341" s="25" t="s">
        <x:v>2107</x:v>
      </x:c>
      <x:c r="S341" s="25" t="s">
        <x:v>1628</x:v>
      </x:c>
      <x:c r="T341" s="25" t="s">
        <x:v>1730</x:v>
      </x:c>
      <x:c r="U341" s="25"/>
      <x:c r="V341" s="25" t="s">
        <x:v>797</x:v>
      </x:c>
    </x:row>
    <x:row r="342" spans="1:22" customHeight="1">
      <x:c r="A342" s="25" t="str">
        <x:f>O342</x:f>
        <x:v>정보과학실용 4</x:v>
      </x:c>
      <x:c r="B342" s="25" t="str">
        <x:f>L342&amp;"-"&amp;TEXT(P342,"0000")</x:f>
        <x:v>20120113-0583</x:v>
      </x:c>
      <x:c r="C342" s="25" t="s">
        <x:v>1978</x:v>
      </x:c>
      <x:c r="D342" s="25" t="s">
        <x:v>1533</x:v>
      </x:c>
      <x:c r="E342" s="25" t="s">
        <x:v>1568</x:v>
      </x:c>
      <x:c r="F342" s="25" t="s">
        <x:v>2130</x:v>
      </x:c>
      <x:c r="G342" s="25" t="s">
        <x:v>1537</x:v>
      </x:c>
      <x:c r="H342" s="25" t="str">
        <x:f>IFERROR(VLOOKUP(O342,'정보화기기 명부'!A$2:B$187,2,FALSE),"")</x:f>
        <x:v/>
      </x:c>
      <x:c r="I342" s="123"/>
      <x:c r="J342" s="25" t="s">
        <x:v>1640</x:v>
      </x:c>
      <x:c r="K342" s="25" t="s">
        <x:v>567</x:v>
      </x:c>
      <x:c r="L342" s="134">
        <x:v>20120113</x:v>
      </x:c>
      <x:c r="M342" s="123">
        <x:v>954617</x:v>
      </x:c>
      <x:c r="N342" s="25" t="s">
        <x:v>2045</x:v>
      </x:c>
      <x:c r="O342" s="25" t="s">
        <x:v>560</x:v>
      </x:c>
      <x:c r="P342" s="157">
        <x:v>583</x:v>
      </x:c>
      <x:c r="Q342" s="25" t="s">
        <x:v>693</x:v>
      </x:c>
      <x:c r="R342" s="25" t="s">
        <x:v>2107</x:v>
      </x:c>
      <x:c r="S342" s="25" t="s">
        <x:v>1628</x:v>
      </x:c>
      <x:c r="T342" s="25" t="s">
        <x:v>1730</x:v>
      </x:c>
      <x:c r="U342" s="25"/>
      <x:c r="V342" s="25" t="s">
        <x:v>797</x:v>
      </x:c>
    </x:row>
    <x:row r="343" spans="1:22" ht="13.5" customHeight="1">
      <x:c r="A343" s="25" t="str">
        <x:f>O343</x:f>
        <x:v>정보과학실용 4</x:v>
      </x:c>
      <x:c r="B343" s="25" t="str">
        <x:f>L343&amp;"-"&amp;TEXT(P343,"0000")</x:f>
        <x:v>20120113-0582</x:v>
      </x:c>
      <x:c r="C343" s="25" t="s">
        <x:v>1978</x:v>
      </x:c>
      <x:c r="D343" s="25" t="s">
        <x:v>1533</x:v>
      </x:c>
      <x:c r="E343" s="25" t="s">
        <x:v>1568</x:v>
      </x:c>
      <x:c r="F343" s="25" t="s">
        <x:v>2130</x:v>
      </x:c>
      <x:c r="G343" s="25" t="s">
        <x:v>1537</x:v>
      </x:c>
      <x:c r="H343" s="25" t="str">
        <x:f>IFERROR(VLOOKUP(O343,'정보화기기 명부'!A$2:B$187,2,FALSE),"")</x:f>
        <x:v/>
      </x:c>
      <x:c r="I343" s="123"/>
      <x:c r="J343" s="25" t="s">
        <x:v>1640</x:v>
      </x:c>
      <x:c r="K343" s="25"/>
      <x:c r="L343" s="25">
        <x:v>20120113</x:v>
      </x:c>
      <x:c r="M343" s="123">
        <x:v>954617</x:v>
      </x:c>
      <x:c r="N343" s="25" t="s">
        <x:v>2045</x:v>
      </x:c>
      <x:c r="O343" s="25" t="s">
        <x:v>560</x:v>
      </x:c>
      <x:c r="P343" s="157">
        <x:v>582</x:v>
      </x:c>
      <x:c r="Q343" s="25" t="s">
        <x:v>815</x:v>
      </x:c>
      <x:c r="R343" s="25" t="s">
        <x:v>2107</x:v>
      </x:c>
      <x:c r="S343" s="25" t="s">
        <x:v>1628</x:v>
      </x:c>
      <x:c r="T343" s="25" t="s">
        <x:v>1730</x:v>
      </x:c>
      <x:c r="U343" s="25"/>
      <x:c r="V343" s="25" t="s">
        <x:v>797</x:v>
      </x:c>
    </x:row>
    <x:row r="344" spans="1:22" ht="13.5" customHeight="1">
      <x:c r="A344" s="25" t="str">
        <x:f>O344</x:f>
        <x:v>정보과학실용 3</x:v>
      </x:c>
      <x:c r="B344" s="25" t="str">
        <x:f>L344&amp;"-"&amp;TEXT(P344,"0000")</x:f>
        <x:v>20120113-0581</x:v>
      </x:c>
      <x:c r="C344" s="25" t="s">
        <x:v>1978</x:v>
      </x:c>
      <x:c r="D344" s="25" t="s">
        <x:v>1533</x:v>
      </x:c>
      <x:c r="E344" s="25" t="s">
        <x:v>1568</x:v>
      </x:c>
      <x:c r="F344" s="25" t="s">
        <x:v>2130</x:v>
      </x:c>
      <x:c r="G344" s="25" t="s">
        <x:v>1537</x:v>
      </x:c>
      <x:c r="H344" s="25" t="str">
        <x:f>IFERROR(VLOOKUP(O344,'정보화기기 명부'!A$2:B$187,2,FALSE),"")</x:f>
        <x:v/>
      </x:c>
      <x:c r="I344" s="123"/>
      <x:c r="J344" s="25" t="s">
        <x:v>1640</x:v>
      </x:c>
      <x:c r="K344" s="25"/>
      <x:c r="L344" s="25">
        <x:v>20120113</x:v>
      </x:c>
      <x:c r="M344" s="123">
        <x:v>954617</x:v>
      </x:c>
      <x:c r="N344" s="25" t="s">
        <x:v>2045</x:v>
      </x:c>
      <x:c r="O344" s="25" t="s">
        <x:v>565</x:v>
      </x:c>
      <x:c r="P344" s="157">
        <x:v>581</x:v>
      </x:c>
      <x:c r="Q344" s="25" t="s">
        <x:v>815</x:v>
      </x:c>
      <x:c r="R344" s="25" t="s">
        <x:v>2107</x:v>
      </x:c>
      <x:c r="S344" s="25" t="s">
        <x:v>1628</x:v>
      </x:c>
      <x:c r="T344" s="25" t="s">
        <x:v>1730</x:v>
      </x:c>
      <x:c r="U344" s="25"/>
      <x:c r="V344" s="25" t="s">
        <x:v>797</x:v>
      </x:c>
    </x:row>
    <x:row r="345" spans="1:22" ht="13.5" customHeight="1">
      <x:c r="A345" s="25" t="str">
        <x:f>O345</x:f>
        <x:v>정보과학실용 2</x:v>
      </x:c>
      <x:c r="B345" s="25" t="str">
        <x:f>L345&amp;"-"&amp;TEXT(P345,"0000")</x:f>
        <x:v>20120113-0580</x:v>
      </x:c>
      <x:c r="C345" s="25" t="s">
        <x:v>1978</x:v>
      </x:c>
      <x:c r="D345" s="25" t="s">
        <x:v>1533</x:v>
      </x:c>
      <x:c r="E345" s="25" t="s">
        <x:v>1568</x:v>
      </x:c>
      <x:c r="F345" s="25" t="s">
        <x:v>2130</x:v>
      </x:c>
      <x:c r="G345" s="25" t="s">
        <x:v>1537</x:v>
      </x:c>
      <x:c r="H345" s="25" t="str">
        <x:f>IFERROR(VLOOKUP(O345,'정보화기기 명부'!A$2:B$187,2,FALSE),"")</x:f>
        <x:v/>
      </x:c>
      <x:c r="I345" s="123"/>
      <x:c r="J345" s="25" t="s">
        <x:v>1640</x:v>
      </x:c>
      <x:c r="K345" s="25"/>
      <x:c r="L345" s="25">
        <x:v>20120113</x:v>
      </x:c>
      <x:c r="M345" s="123">
        <x:v>954617</x:v>
      </x:c>
      <x:c r="N345" s="25" t="s">
        <x:v>2045</x:v>
      </x:c>
      <x:c r="O345" s="25" t="s">
        <x:v>531</x:v>
      </x:c>
      <x:c r="P345" s="157">
        <x:v>580</x:v>
      </x:c>
      <x:c r="Q345" s="25" t="s">
        <x:v>815</x:v>
      </x:c>
      <x:c r="R345" s="25" t="s">
        <x:v>2107</x:v>
      </x:c>
      <x:c r="S345" s="25" t="s">
        <x:v>1628</x:v>
      </x:c>
      <x:c r="T345" s="25" t="s">
        <x:v>1730</x:v>
      </x:c>
      <x:c r="U345" s="25"/>
      <x:c r="V345" s="25" t="s">
        <x:v>797</x:v>
      </x:c>
    </x:row>
    <x:row r="346" spans="1:22" ht="13.5" customHeight="1">
      <x:c r="A346" s="25" t="str">
        <x:f>O346</x:f>
        <x:v>정보과학실용 1</x:v>
      </x:c>
      <x:c r="B346" s="25" t="str">
        <x:f>L346&amp;"-"&amp;TEXT(P346,"0000")</x:f>
        <x:v>20120113-0579</x:v>
      </x:c>
      <x:c r="C346" s="25" t="s">
        <x:v>1978</x:v>
      </x:c>
      <x:c r="D346" s="25" t="s">
        <x:v>1533</x:v>
      </x:c>
      <x:c r="E346" s="25" t="s">
        <x:v>1568</x:v>
      </x:c>
      <x:c r="F346" s="25" t="s">
        <x:v>2130</x:v>
      </x:c>
      <x:c r="G346" s="25" t="s">
        <x:v>1537</x:v>
      </x:c>
      <x:c r="H346" s="25" t="str">
        <x:f>IFERROR(VLOOKUP(O346,'정보화기기 명부'!A$2:B$187,2,FALSE),"")</x:f>
        <x:v/>
      </x:c>
      <x:c r="I346" s="123"/>
      <x:c r="J346" s="25" t="s">
        <x:v>1640</x:v>
      </x:c>
      <x:c r="K346" s="25"/>
      <x:c r="L346" s="25">
        <x:v>20120113</x:v>
      </x:c>
      <x:c r="M346" s="123">
        <x:v>954617</x:v>
      </x:c>
      <x:c r="N346" s="25" t="s">
        <x:v>2045</x:v>
      </x:c>
      <x:c r="O346" s="25" t="s">
        <x:v>566</x:v>
      </x:c>
      <x:c r="P346" s="157">
        <x:v>579</x:v>
      </x:c>
      <x:c r="Q346" s="25" t="s">
        <x:v>815</x:v>
      </x:c>
      <x:c r="R346" s="25" t="s">
        <x:v>2107</x:v>
      </x:c>
      <x:c r="S346" s="25" t="s">
        <x:v>1628</x:v>
      </x:c>
      <x:c r="T346" s="25" t="s">
        <x:v>1730</x:v>
      </x:c>
      <x:c r="U346" s="25"/>
      <x:c r="V346" s="25" t="s">
        <x:v>797</x:v>
      </x:c>
    </x:row>
    <x:row r="347" spans="1:22" ht="13.5" customHeight="1">
      <x:c r="A347" s="25" t="str">
        <x:f>O347</x:f>
        <x:v>조희선2</x:v>
      </x:c>
      <x:c r="B347" s="25" t="str">
        <x:f>L347&amp;"-"&amp;TEXT(P347,"0000")</x:f>
        <x:v>20120113-0571</x:v>
      </x:c>
      <x:c r="C347" s="25" t="s">
        <x:v>1978</x:v>
      </x:c>
      <x:c r="D347" s="25" t="s">
        <x:v>1533</x:v>
      </x:c>
      <x:c r="E347" s="25" t="s">
        <x:v>1543</x:v>
      </x:c>
      <x:c r="F347" s="25" t="s">
        <x:v>2130</x:v>
      </x:c>
      <x:c r="G347" s="25" t="s">
        <x:v>1537</x:v>
      </x:c>
      <x:c r="H347" s="25" t="str">
        <x:f>IFERROR(VLOOKUP(O347,'정보화기기 명부'!A$2:B$187,2,FALSE),"")</x:f>
        <x:v/>
      </x:c>
      <x:c r="I347" s="123"/>
      <x:c r="J347" s="25"/>
      <x:c r="K347" s="25"/>
      <x:c r="L347" s="25">
        <x:v>20120113</x:v>
      </x:c>
      <x:c r="M347" s="123">
        <x:v>954617</x:v>
      </x:c>
      <x:c r="N347" s="25" t="s">
        <x:v>2045</x:v>
      </x:c>
      <x:c r="O347" s="25" t="s">
        <x:v>1716</x:v>
      </x:c>
      <x:c r="P347" s="157">
        <x:v>571</x:v>
      </x:c>
      <x:c r="Q347" s="25" t="s">
        <x:v>815</x:v>
      </x:c>
      <x:c r="R347" s="25" t="s">
        <x:v>2107</x:v>
      </x:c>
      <x:c r="S347" s="25" t="s">
        <x:v>1628</x:v>
      </x:c>
      <x:c r="T347" s="25" t="s">
        <x:v>1730</x:v>
      </x:c>
      <x:c r="U347" s="25"/>
      <x:c r="V347" s="25" t="s">
        <x:v>797</x:v>
      </x:c>
    </x:row>
    <x:row r="348" spans="1:22" ht="13.5" customHeight="1">
      <x:c r="A348" s="25" t="str">
        <x:f>O348</x:f>
        <x:v>조희선1</x:v>
      </x:c>
      <x:c r="B348" s="25" t="str">
        <x:f>L348&amp;"-"&amp;TEXT(P348,"0000")</x:f>
        <x:v>20120113-0570</x:v>
      </x:c>
      <x:c r="C348" s="25" t="s">
        <x:v>1978</x:v>
      </x:c>
      <x:c r="D348" s="25" t="s">
        <x:v>1533</x:v>
      </x:c>
      <x:c r="E348" s="25" t="s">
        <x:v>1543</x:v>
      </x:c>
      <x:c r="F348" s="25" t="s">
        <x:v>2130</x:v>
      </x:c>
      <x:c r="G348" s="25" t="s">
        <x:v>1537</x:v>
      </x:c>
      <x:c r="H348" s="25" t="str">
        <x:f>IFERROR(VLOOKUP(O348,'정보화기기 명부'!A$2:B$187,2,FALSE),"")</x:f>
        <x:v/>
      </x:c>
      <x:c r="I348" s="123"/>
      <x:c r="J348" s="25"/>
      <x:c r="K348" s="25"/>
      <x:c r="L348" s="25">
        <x:v>20120113</x:v>
      </x:c>
      <x:c r="M348" s="123">
        <x:v>954616</x:v>
      </x:c>
      <x:c r="N348" s="25" t="s">
        <x:v>2045</x:v>
      </x:c>
      <x:c r="O348" s="25" t="s">
        <x:v>1720</x:v>
      </x:c>
      <x:c r="P348" s="157">
        <x:v>570</x:v>
      </x:c>
      <x:c r="Q348" s="25" t="s">
        <x:v>815</x:v>
      </x:c>
      <x:c r="R348" s="25" t="s">
        <x:v>2107</x:v>
      </x:c>
      <x:c r="S348" s="25" t="s">
        <x:v>1628</x:v>
      </x:c>
      <x:c r="T348" s="25" t="s">
        <x:v>1730</x:v>
      </x:c>
      <x:c r="U348" s="25"/>
      <x:c r="V348" s="25" t="s">
        <x:v>797</x:v>
      </x:c>
    </x:row>
    <x:row r="349" spans="1:22" ht="13.5" customHeight="1">
      <x:c r="A349" s="25" t="str">
        <x:f>O349</x:f>
        <x:v>구 검색용1</x:v>
      </x:c>
      <x:c r="B349" s="25" t="str">
        <x:f>L349&amp;"-"&amp;TEXT(P349,"0000")</x:f>
        <x:v>20120113-0569</x:v>
      </x:c>
      <x:c r="C349" s="25" t="s">
        <x:v>1978</x:v>
      </x:c>
      <x:c r="D349" s="25" t="s">
        <x:v>1533</x:v>
      </x:c>
      <x:c r="E349" s="25" t="s">
        <x:v>1568</x:v>
      </x:c>
      <x:c r="F349" s="25" t="s">
        <x:v>2130</x:v>
      </x:c>
      <x:c r="G349" s="25" t="s">
        <x:v>1537</x:v>
      </x:c>
      <x:c r="H349" s="25" t="str">
        <x:f>IFERROR(VLOOKUP(O349,'정보화기기 명부'!A$2:B$187,2,FALSE),"")</x:f>
        <x:v/>
      </x:c>
      <x:c r="I349" s="123"/>
      <x:c r="J349" s="25" t="s">
        <x:v>1640</x:v>
      </x:c>
      <x:c r="K349" s="25">
        <x:v>2020.0699999999999</x:v>
      </x:c>
      <x:c r="L349" s="25">
        <x:v>20120113</x:v>
      </x:c>
      <x:c r="M349" s="123">
        <x:v>954617</x:v>
      </x:c>
      <x:c r="N349" s="25" t="s">
        <x:v>2045</x:v>
      </x:c>
      <x:c r="O349" s="25" t="s">
        <x:v>1718</x:v>
      </x:c>
      <x:c r="P349" s="157">
        <x:v>569</x:v>
      </x:c>
      <x:c r="Q349" s="25" t="s">
        <x:v>815</x:v>
      </x:c>
      <x:c r="R349" s="25" t="s">
        <x:v>2107</x:v>
      </x:c>
      <x:c r="S349" s="25" t="s">
        <x:v>1628</x:v>
      </x:c>
      <x:c r="T349" s="25" t="s">
        <x:v>1730</x:v>
      </x:c>
      <x:c r="U349" s="25"/>
      <x:c r="V349" s="25" t="s">
        <x:v>797</x:v>
      </x:c>
    </x:row>
    <x:row r="350" spans="1:22" ht="13.5" customHeight="1">
      <x:c r="A350" s="13" t="str">
        <x:f>O350</x:f>
        <x:v>3컴교사용2</x:v>
      </x:c>
      <x:c r="B350" s="25" t="str">
        <x:f>L350&amp;"-"&amp;TEXT(P350,"0000")</x:f>
        <x:v>20120113-0568</x:v>
      </x:c>
      <x:c r="C350" s="13" t="s">
        <x:v>1978</x:v>
      </x:c>
      <x:c r="D350" s="15" t="s">
        <x:v>1533</x:v>
      </x:c>
      <x:c r="E350" s="13" t="s">
        <x:v>1251</x:v>
      </x:c>
      <x:c r="F350" s="13" t="s">
        <x:v>2130</x:v>
      </x:c>
      <x:c r="G350" s="13" t="s">
        <x:v>1537</x:v>
      </x:c>
      <x:c r="H350" s="13" t="str">
        <x:f>IFERROR(VLOOKUP(O350,'정보화기기 명부'!A$2:B$187,2,FALSE),"")</x:f>
        <x:v/>
      </x:c>
      <x:c r="I350" s="22"/>
      <x:c r="J350" s="13" t="s">
        <x:v>1751</x:v>
      </x:c>
      <x:c r="K350" s="25" t="s">
        <x:v>532</x:v>
      </x:c>
      <x:c r="L350" s="133">
        <x:v>20120113</x:v>
      </x:c>
      <x:c r="M350" s="22">
        <x:v>954617</x:v>
      </x:c>
      <x:c r="N350" s="13" t="s">
        <x:v>2045</x:v>
      </x:c>
      <x:c r="O350" s="13" t="s">
        <x:v>1724</x:v>
      </x:c>
      <x:c r="P350" s="202">
        <x:v>568</x:v>
      </x:c>
      <x:c r="Q350" s="13" t="s">
        <x:v>3145</x:v>
      </x:c>
      <x:c r="R350" s="13" t="s">
        <x:v>2107</x:v>
      </x:c>
      <x:c r="S350" s="13" t="s">
        <x:v>1628</x:v>
      </x:c>
      <x:c r="T350" s="13" t="s">
        <x:v>1730</x:v>
      </x:c>
      <x:c r="U350" s="25"/>
      <x:c r="V350" s="25" t="s">
        <x:v>797</x:v>
      </x:c>
    </x:row>
    <x:row r="351" spans="1:26" ht="13.5" customHeight="1">
      <x:c r="A351" s="13" t="str">
        <x:f>O351</x:f>
        <x:v>3층실습용 27</x:v>
      </x:c>
      <x:c r="B351" s="25" t="str">
        <x:f>L351&amp;"-"&amp;TEXT(P351,"0000")</x:f>
        <x:v>20120101-0615</x:v>
      </x:c>
      <x:c r="C351" s="13" t="s">
        <x:v>1978</x:v>
      </x:c>
      <x:c r="D351" s="140" t="s">
        <x:v>1533</x:v>
      </x:c>
      <x:c r="E351" s="13" t="s">
        <x:v>1568</x:v>
      </x:c>
      <x:c r="F351" s="13" t="s">
        <x:v>2130</x:v>
      </x:c>
      <x:c r="G351" s="13" t="s">
        <x:v>1537</x:v>
      </x:c>
      <x:c r="H351" s="13" t="str">
        <x:f>IFERROR(VLOOKUP(O351,'정보화기기 명부'!A$2:B$187,2,FALSE),"")</x:f>
        <x:v/>
      </x:c>
      <x:c r="I351" s="22"/>
      <x:c r="J351" s="13" t="s">
        <x:v>1751</x:v>
      </x:c>
      <x:c r="K351" s="25" t="s">
        <x:v>532</x:v>
      </x:c>
      <x:c r="L351" s="133">
        <x:v>20120101</x:v>
      </x:c>
      <x:c r="M351" s="22">
        <x:v>954617</x:v>
      </x:c>
      <x:c r="N351" s="13" t="s">
        <x:v>2045</x:v>
      </x:c>
      <x:c r="O351" s="13" t="s">
        <x:v>528</x:v>
      </x:c>
      <x:c r="P351" s="202">
        <x:v>615</x:v>
      </x:c>
      <x:c r="Q351" s="13" t="s">
        <x:v>3145</x:v>
      </x:c>
      <x:c r="R351" s="13" t="s">
        <x:v>2107</x:v>
      </x:c>
      <x:c r="S351" s="13" t="s">
        <x:v>1628</x:v>
      </x:c>
      <x:c r="T351" s="13" t="s">
        <x:v>1730</x:v>
      </x:c>
      <x:c r="U351" s="13"/>
      <x:c r="V351" s="13" t="s">
        <x:v>797</x:v>
      </x:c>
      <x:c r="W351" s="14"/>
      <x:c r="X351" s="14"/>
      <x:c r="Y351" s="14"/>
      <x:c r="Z351" s="14"/>
    </x:row>
    <x:row r="352" spans="1:26" ht="13.5" customHeight="1">
      <x:c r="A352" s="13" t="str">
        <x:f>O352</x:f>
        <x:v>MBL용 8</x:v>
      </x:c>
      <x:c r="B352" s="25" t="str">
        <x:f>L352&amp;"-"&amp;TEXT(P352,"0000")</x:f>
        <x:v>20120101-0573</x:v>
      </x:c>
      <x:c r="C352" s="13" t="s">
        <x:v>1564</x:v>
      </x:c>
      <x:c r="D352" s="13" t="s">
        <x:v>1533</x:v>
      </x:c>
      <x:c r="E352" s="13" t="s">
        <x:v>1568</x:v>
      </x:c>
      <x:c r="F352" s="13" t="s">
        <x:v>3319</x:v>
      </x:c>
      <x:c r="G352" s="13" t="s">
        <x:v>1289</x:v>
      </x:c>
      <x:c r="H352" s="13" t="str">
        <x:f>IFERROR(VLOOKUP(O352,'정보화기기 명부'!A$2:B$187,2,FALSE),"")</x:f>
        <x:v/>
      </x:c>
      <x:c r="I352" s="22"/>
      <x:c r="J352" s="13" t="s">
        <x:v>1640</x:v>
      </x:c>
      <x:c r="K352" s="13"/>
      <x:c r="L352" s="13">
        <x:v>20120101</x:v>
      </x:c>
      <x:c r="M352" s="22">
        <x:v>1120000</x:v>
      </x:c>
      <x:c r="N352" s="13" t="s">
        <x:v>1965</x:v>
      </x:c>
      <x:c r="O352" s="13" t="s">
        <x:v>1728</x:v>
      </x:c>
      <x:c r="P352" s="202">
        <x:v>573</x:v>
      </x:c>
      <x:c r="Q352" s="13" t="s">
        <x:v>3145</x:v>
      </x:c>
      <x:c r="R352" s="13" t="s">
        <x:v>1694</x:v>
      </x:c>
      <x:c r="S352" s="13" t="s">
        <x:v>1628</x:v>
      </x:c>
      <x:c r="T352" s="13" t="s">
        <x:v>2037</x:v>
      </x:c>
      <x:c r="U352" s="13"/>
      <x:c r="V352" s="13" t="s">
        <x:v>1688</x:v>
      </x:c>
      <x:c r="W352" s="14"/>
      <x:c r="X352" s="14"/>
      <x:c r="Y352" s="14"/>
      <x:c r="Z352" s="14"/>
    </x:row>
    <x:row r="353" spans="1:26" s="14" customFormat="1" ht="13.5" customHeight="1">
      <x:c r="A353" s="25" t="str">
        <x:f>O353</x:f>
        <x:v>구남인일</x:v>
      </x:c>
      <x:c r="B353" s="25" t="str">
        <x:f>L353&amp;"-"&amp;TEXT(P353,"0000")</x:f>
        <x:v>20111006-0566</x:v>
      </x:c>
      <x:c r="C353" s="25" t="s">
        <x:v>1978</x:v>
      </x:c>
      <x:c r="D353" s="25" t="s">
        <x:v>1533</x:v>
      </x:c>
      <x:c r="E353" s="25" t="s">
        <x:v>1543</x:v>
      </x:c>
      <x:c r="F353" s="25" t="s">
        <x:v>2218</x:v>
      </x:c>
      <x:c r="G353" s="25" t="s">
        <x:v>1537</x:v>
      </x:c>
      <x:c r="H353" s="25" t="str">
        <x:f>IFERROR(VLOOKUP(O353,'정보화기기 명부'!A$2:B$187,2,FALSE),"")</x:f>
        <x:v/>
      </x:c>
      <x:c r="I353" s="123"/>
      <x:c r="J353" s="25"/>
      <x:c r="K353" s="25"/>
      <x:c r="L353" s="25">
        <x:v>20111006</x:v>
      </x:c>
      <x:c r="M353" s="123">
        <x:v>1036290</x:v>
      </x:c>
      <x:c r="N353" s="25" t="s">
        <x:v>2034</x:v>
      </x:c>
      <x:c r="O353" s="25" t="s">
        <x:v>1693</x:v>
      </x:c>
      <x:c r="P353" s="157">
        <x:v>566</x:v>
      </x:c>
      <x:c r="Q353" s="25" t="s">
        <x:v>1713</x:v>
      </x:c>
      <x:c r="R353" s="25" t="s">
        <x:v>1689</x:v>
      </x:c>
      <x:c r="S353" s="25" t="s">
        <x:v>1738</x:v>
      </x:c>
      <x:c r="T353" s="25" t="s">
        <x:v>1802</x:v>
      </x:c>
      <x:c r="U353" s="25"/>
      <x:c r="V353" s="25" t="s">
        <x:v>1688</x:v>
      </x:c>
      <x:c r="W353" s="91"/>
      <x:c r="X353" s="91"/>
      <x:c r="Y353" s="91"/>
      <x:c r="Z353" s="91"/>
    </x:row>
    <x:row r="354" spans="1:22" s="14" customFormat="1" ht="13.5" customHeight="1">
      <x:c r="A354" s="13" t="str">
        <x:f>O354</x:f>
        <x:v>이병훈</x:v>
      </x:c>
      <x:c r="B354" s="25" t="str">
        <x:f>L354&amp;"-"&amp;TEXT(P354,"0000")</x:f>
        <x:v>20110927-0567</x:v>
      </x:c>
      <x:c r="C354" s="13" t="s">
        <x:v>1978</x:v>
      </x:c>
      <x:c r="D354" s="13" t="s">
        <x:v>1533</x:v>
      </x:c>
      <x:c r="E354" s="13" t="s">
        <x:v>1543</x:v>
      </x:c>
      <x:c r="F354" s="13" t="s">
        <x:v>2158</x:v>
      </x:c>
      <x:c r="G354" s="13" t="s">
        <x:v>1537</x:v>
      </x:c>
      <x:c r="H354" s="13" t="str">
        <x:f>IFERROR(VLOOKUP(O354,'정보화기기 명부'!A$2:B$187,2,FALSE),"")</x:f>
        <x:v/>
      </x:c>
      <x:c r="I354" s="22"/>
      <x:c r="J354" s="13"/>
      <x:c r="K354" s="13"/>
      <x:c r="L354" s="13">
        <x:v>20110927</x:v>
      </x:c>
      <x:c r="M354" s="22">
        <x:v>1377940</x:v>
      </x:c>
      <x:c r="N354" s="13" t="s">
        <x:v>2034</x:v>
      </x:c>
      <x:c r="O354" s="13" t="s">
        <x:v>1295</x:v>
      </x:c>
      <x:c r="P354" s="202">
        <x:v>567</x:v>
      </x:c>
      <x:c r="Q354" s="13" t="s">
        <x:v>1713</x:v>
      </x:c>
      <x:c r="R354" s="13" t="s">
        <x:v>1615</x:v>
      </x:c>
      <x:c r="S354" s="13" t="s">
        <x:v>1738</x:v>
      </x:c>
      <x:c r="T354" s="13" t="s">
        <x:v>1802</x:v>
      </x:c>
      <x:c r="U354" s="13"/>
      <x:c r="V354" s="13" t="s">
        <x:v>1688</x:v>
      </x:c>
    </x:row>
    <x:row r="355" spans="1:26" s="14" customFormat="1" ht="13.5" customHeight="1">
      <x:c r="A355" s="25" t="str">
        <x:f>O355</x:f>
        <x:v>파일 서버</x:v>
      </x:c>
      <x:c r="B355" s="25" t="str">
        <x:f>L355&amp;"-"&amp;TEXT(P355,"0000")</x:f>
        <x:v>20110905-0565</x:v>
      </x:c>
      <x:c r="C355" s="25" t="s">
        <x:v>1978</x:v>
      </x:c>
      <x:c r="D355" s="25" t="s">
        <x:v>1533</x:v>
      </x:c>
      <x:c r="E355" s="25" t="s">
        <x:v>1543</x:v>
      </x:c>
      <x:c r="F355" s="25" t="s">
        <x:v>2158</x:v>
      </x:c>
      <x:c r="G355" s="93" t="s">
        <x:v>1537</x:v>
      </x:c>
      <x:c r="H355" s="25" t="str">
        <x:f>IFERROR(VLOOKUP(O355,'정보화기기 명부'!A$2:B$187,2,FALSE),"")</x:f>
        <x:v>정보교육부</x:v>
      </x:c>
      <x:c r="I355" s="123"/>
      <x:c r="J355" s="88"/>
      <x:c r="K355" s="25">
        <x:v>2020.0699999999999</x:v>
      </x:c>
      <x:c r="L355" s="25">
        <x:v>20110905</x:v>
      </x:c>
      <x:c r="M355" s="123">
        <x:v>1376650</x:v>
      </x:c>
      <x:c r="N355" s="25" t="s">
        <x:v>2034</x:v>
      </x:c>
      <x:c r="O355" s="25" t="s">
        <x:v>1617</x:v>
      </x:c>
      <x:c r="P355" s="157">
        <x:v>565</x:v>
      </x:c>
      <x:c r="Q355" s="25" t="s">
        <x:v>3270</x:v>
      </x:c>
      <x:c r="R355" s="25" t="s">
        <x:v>1615</x:v>
      </x:c>
      <x:c r="S355" s="25" t="s">
        <x:v>1738</x:v>
      </x:c>
      <x:c r="T355" s="25" t="s">
        <x:v>1802</x:v>
      </x:c>
      <x:c r="U355" s="25"/>
      <x:c r="V355" s="25" t="s">
        <x:v>1688</x:v>
      </x:c>
      <x:c r="W355" s="91"/>
      <x:c r="X355" s="91"/>
      <x:c r="Y355" s="91"/>
      <x:c r="Z355" s="91"/>
    </x:row>
    <x:row r="356" spans="1:22" s="14" customFormat="1" ht="13.5" customHeight="1">
      <x:c r="A356" s="13" t="str">
        <x:f>O356</x:f>
        <x:v>이선영</x:v>
      </x:c>
      <x:c r="B356" s="25" t="str">
        <x:f>L356&amp;"-"&amp;TEXT(P356,"0000")</x:f>
        <x:v>20110905-0564</x:v>
      </x:c>
      <x:c r="C356" s="13" t="s">
        <x:v>1564</x:v>
      </x:c>
      <x:c r="D356" s="13" t="s">
        <x:v>1533</x:v>
      </x:c>
      <x:c r="E356" s="13" t="s">
        <x:v>1251</x:v>
      </x:c>
      <x:c r="F356" s="13" t="s">
        <x:v>2174</x:v>
      </x:c>
      <x:c r="G356" s="13" t="s">
        <x:v>1537</x:v>
      </x:c>
      <x:c r="H356" s="13" t="str">
        <x:f>IFERROR(VLOOKUP(O356,'정보화기기 명부'!A$2:B$187,2,FALSE),"")</x:f>
        <x:v/>
      </x:c>
      <x:c r="I356" s="22"/>
      <x:c r="J356" s="13"/>
      <x:c r="K356" s="13"/>
      <x:c r="L356" s="13">
        <x:v>20110905</x:v>
      </x:c>
      <x:c r="M356" s="22">
        <x:v>1256070</x:v>
      </x:c>
      <x:c r="N356" s="13" t="s">
        <x:v>2034</x:v>
      </x:c>
      <x:c r="O356" s="13" t="s">
        <x:v>1310</x:v>
      </x:c>
      <x:c r="P356" s="202">
        <x:v>564</x:v>
      </x:c>
      <x:c r="Q356" s="13" t="s">
        <x:v>1713</x:v>
      </x:c>
      <x:c r="R356" s="13" t="s">
        <x:v>1690</x:v>
      </x:c>
      <x:c r="S356" s="13" t="s">
        <x:v>1738</x:v>
      </x:c>
      <x:c r="T356" s="13" t="s">
        <x:v>2037</x:v>
      </x:c>
      <x:c r="U356" s="13"/>
      <x:c r="V356" s="13" t="s">
        <x:v>1688</x:v>
      </x:c>
    </x:row>
    <x:row r="357" spans="1:26" s="14" customFormat="1" ht="13.5" customHeight="1">
      <x:c r="A357" s="25" t="str">
        <x:f>O357</x:f>
        <x:v>도움반 실습용6</x:v>
      </x:c>
      <x:c r="B357" s="25" t="str">
        <x:f>L357&amp;"-"&amp;TEXT(P357,"0000")</x:f>
        <x:v>20110627-0561</x:v>
      </x:c>
      <x:c r="C357" s="25" t="s">
        <x:v>1978</x:v>
      </x:c>
      <x:c r="D357" s="25" t="s">
        <x:v>1533</x:v>
      </x:c>
      <x:c r="E357" s="25" t="s">
        <x:v>1568</x:v>
      </x:c>
      <x:c r="F357" s="25" t="s">
        <x:v>2169</x:v>
      </x:c>
      <x:c r="G357" s="25" t="s">
        <x:v>1537</x:v>
      </x:c>
      <x:c r="H357" s="25" t="str">
        <x:f>IFERROR(VLOOKUP(O357,'정보화기기 명부'!A$2:B$187,2,FALSE),"")</x:f>
        <x:v/>
      </x:c>
      <x:c r="I357" s="123"/>
      <x:c r="J357" s="25" t="s">
        <x:v>1640</x:v>
      </x:c>
      <x:c r="K357" s="25"/>
      <x:c r="L357" s="25">
        <x:v>20110627</x:v>
      </x:c>
      <x:c r="M357" s="123">
        <x:v>1498940</x:v>
      </x:c>
      <x:c r="N357" s="25" t="s">
        <x:v>2034</x:v>
      </x:c>
      <x:c r="O357" s="25" t="s">
        <x:v>561</x:v>
      </x:c>
      <x:c r="P357" s="157">
        <x:v>561</x:v>
      </x:c>
      <x:c r="Q357" s="25" t="s">
        <x:v>815</x:v>
      </x:c>
      <x:c r="R357" s="25" t="s">
        <x:v>1615</x:v>
      </x:c>
      <x:c r="S357" s="25" t="s">
        <x:v>1738</x:v>
      </x:c>
      <x:c r="T357" s="25" t="s">
        <x:v>2031</x:v>
      </x:c>
      <x:c r="U357" s="25"/>
      <x:c r="V357" s="25" t="s">
        <x:v>1688</x:v>
      </x:c>
      <x:c r="W357" s="91"/>
      <x:c r="X357" s="91"/>
      <x:c r="Y357" s="91"/>
      <x:c r="Z357" s="91"/>
    </x:row>
    <x:row r="358" spans="1:22" s="14" customFormat="1" ht="13.5" customHeight="1">
      <x:c r="A358" s="13" t="str">
        <x:f>O358</x:f>
        <x:v>김혜은</x:v>
      </x:c>
      <x:c r="B358" s="25" t="str">
        <x:f>L358&amp;"-"&amp;TEXT(P358,"0000")</x:f>
        <x:v>20110530-0562</x:v>
      </x:c>
      <x:c r="C358" s="13" t="s">
        <x:v>1564</x:v>
      </x:c>
      <x:c r="D358" s="13" t="s">
        <x:v>1533</x:v>
      </x:c>
      <x:c r="E358" s="13" t="s">
        <x:v>1568</x:v>
      </x:c>
      <x:c r="F358" s="13" t="s">
        <x:v>2129</x:v>
      </x:c>
      <x:c r="G358" s="13" t="s">
        <x:v>1537</x:v>
      </x:c>
      <x:c r="H358" s="13" t="str">
        <x:f>IFERROR(VLOOKUP(O358,'정보화기기 명부'!A$2:B$187,2,FALSE),"")</x:f>
        <x:v/>
      </x:c>
      <x:c r="I358" s="22"/>
      <x:c r="J358" s="13" t="s">
        <x:v>1751</x:v>
      </x:c>
      <x:c r="K358" s="13"/>
      <x:c r="L358" s="13">
        <x:v>20110530</x:v>
      </x:c>
      <x:c r="M358" s="22">
        <x:v>1467095</x:v>
      </x:c>
      <x:c r="N358" s="13" t="s">
        <x:v>2045</x:v>
      </x:c>
      <x:c r="O358" s="13" t="s">
        <x:v>1244</x:v>
      </x:c>
      <x:c r="P358" s="202">
        <x:v>562</x:v>
      </x:c>
      <x:c r="Q358" s="13" t="s">
        <x:v>1713</x:v>
      </x:c>
      <x:c r="R358" s="13" t="s">
        <x:v>1690</x:v>
      </x:c>
      <x:c r="S358" s="13" t="s">
        <x:v>1723</x:v>
      </x:c>
      <x:c r="T358" s="13" t="s">
        <x:v>2037</x:v>
      </x:c>
      <x:c r="U358" s="13"/>
      <x:c r="V358" s="13" t="s">
        <x:v>1688</x:v>
      </x:c>
    </x:row>
    <x:row r="359" spans="1:22" s="14" customFormat="1" ht="13.5" customHeight="1">
      <x:c r="A359" s="13" t="str">
        <x:f>O359</x:f>
        <x:v>김혜은</x:v>
      </x:c>
      <x:c r="B359" s="25" t="str">
        <x:f>L359&amp;"-"&amp;TEXT(P359,"0000")</x:f>
        <x:v>20110530-0563</x:v>
      </x:c>
      <x:c r="C359" s="13" t="s">
        <x:v>1564</x:v>
      </x:c>
      <x:c r="D359" s="13" t="s">
        <x:v>1533</x:v>
      </x:c>
      <x:c r="E359" s="13" t="s">
        <x:v>1568</x:v>
      </x:c>
      <x:c r="F359" s="13" t="s">
        <x:v>2129</x:v>
      </x:c>
      <x:c r="G359" s="13" t="s">
        <x:v>1537</x:v>
      </x:c>
      <x:c r="H359" s="13" t="str">
        <x:f>IFERROR(VLOOKUP(O359,'정보화기기 명부'!A$2:B$187,2,FALSE),"")</x:f>
        <x:v/>
      </x:c>
      <x:c r="I359" s="22"/>
      <x:c r="J359" s="13" t="s">
        <x:v>1751</x:v>
      </x:c>
      <x:c r="K359" s="13"/>
      <x:c r="L359" s="13">
        <x:v>20110530</x:v>
      </x:c>
      <x:c r="M359" s="22">
        <x:v>1467095</x:v>
      </x:c>
      <x:c r="N359" s="13" t="s">
        <x:v>2045</x:v>
      </x:c>
      <x:c r="O359" s="13" t="s">
        <x:v>1244</x:v>
      </x:c>
      <x:c r="P359" s="202">
        <x:v>563</x:v>
      </x:c>
      <x:c r="Q359" s="13" t="s">
        <x:v>1713</x:v>
      </x:c>
      <x:c r="R359" s="13" t="s">
        <x:v>1690</x:v>
      </x:c>
      <x:c r="S359" s="13" t="s">
        <x:v>1723</x:v>
      </x:c>
      <x:c r="T359" s="13" t="s">
        <x:v>2037</x:v>
      </x:c>
      <x:c r="U359" s="13"/>
      <x:c r="V359" s="13" t="s">
        <x:v>1688</x:v>
      </x:c>
    </x:row>
    <x:row r="360" spans="1:22" s="14" customFormat="1" ht="13.5" customHeight="1">
      <x:c r="A360" s="13" t="str">
        <x:f>O360</x:f>
        <x:v>홍승식</x:v>
      </x:c>
      <x:c r="B360" s="25" t="str">
        <x:f>L360&amp;"-"&amp;TEXT(P360,"0000")</x:f>
        <x:v>20110304-0559</x:v>
      </x:c>
      <x:c r="C360" s="13" t="s">
        <x:v>1564</x:v>
      </x:c>
      <x:c r="D360" s="13" t="s">
        <x:v>1533</x:v>
      </x:c>
      <x:c r="E360" s="13" t="s">
        <x:v>1251</x:v>
      </x:c>
      <x:c r="F360" s="13" t="s">
        <x:v>3234</x:v>
      </x:c>
      <x:c r="G360" s="13" t="s">
        <x:v>1266</x:v>
      </x:c>
      <x:c r="H360" s="13" t="str">
        <x:f>IFERROR(VLOOKUP(O360,'정보화기기 명부'!A$2:B$187,2,FALSE),"")</x:f>
        <x:v/>
      </x:c>
      <x:c r="I360" s="22"/>
      <x:c r="J360" s="13"/>
      <x:c r="K360" s="13"/>
      <x:c r="L360" s="13">
        <x:v>20110304</x:v>
      </x:c>
      <x:c r="M360" s="22">
        <x:v>1125440</x:v>
      </x:c>
      <x:c r="N360" s="13" t="s">
        <x:v>2045</x:v>
      </x:c>
      <x:c r="O360" s="13" t="s">
        <x:v>1261</x:v>
      </x:c>
      <x:c r="P360" s="202">
        <x:v>559</x:v>
      </x:c>
      <x:c r="Q360" s="13" t="s">
        <x:v>815</x:v>
      </x:c>
      <x:c r="R360" s="13" t="s">
        <x:v>2080</x:v>
      </x:c>
      <x:c r="S360" s="13" t="s">
        <x:v>1723</x:v>
      </x:c>
      <x:c r="T360" s="13" t="s">
        <x:v>1735</x:v>
      </x:c>
      <x:c r="U360" s="13"/>
      <x:c r="V360" s="13" t="s">
        <x:v>1688</x:v>
      </x:c>
    </x:row>
    <x:row r="361" spans="1:22" s="14" customFormat="1" ht="13.5" customHeight="1">
      <x:c r="A361" s="13"/>
      <x:c r="B361" s="25" t="str">
        <x:f>L361&amp;"-"&amp;TEXT(P361,"0000")</x:f>
        <x:v>20110216-0557</x:v>
      </x:c>
      <x:c r="C361" s="13" t="s">
        <x:v>1978</x:v>
      </x:c>
      <x:c r="D361" s="13" t="s">
        <x:v>1533</x:v>
      </x:c>
      <x:c r="E361" s="13" t="s">
        <x:v>1543</x:v>
      </x:c>
      <x:c r="F361" s="25" t="s">
        <x:v>3080</x:v>
      </x:c>
      <x:c r="G361" s="13" t="s">
        <x:v>1266</x:v>
      </x:c>
      <x:c r="H361" s="13" t="str">
        <x:f>IFERROR(VLOOKUP(O361,'정보화기기 명부'!A$2:B$187,2,FALSE),"")</x:f>
        <x:v/>
      </x:c>
      <x:c r="I361" s="22"/>
      <x:c r="J361" s="13"/>
      <x:c r="K361" s="13"/>
      <x:c r="L361" s="13">
        <x:v>20110216</x:v>
      </x:c>
      <x:c r="M361" s="22">
        <x:v>1296260</x:v>
      </x:c>
      <x:c r="N361" s="13" t="s">
        <x:v>2034</x:v>
      </x:c>
      <x:c r="O361" s="13" t="s">
        <x:v>1319</x:v>
      </x:c>
      <x:c r="P361" s="202">
        <x:v>557</x:v>
      </x:c>
      <x:c r="Q361" s="13" t="s">
        <x:v>572</x:v>
      </x:c>
      <x:c r="R361" s="13" t="s">
        <x:v>1752</x:v>
      </x:c>
      <x:c r="S361" s="13" t="s">
        <x:v>1738</x:v>
      </x:c>
      <x:c r="T361" s="13" t="s">
        <x:v>2037</x:v>
      </x:c>
      <x:c r="U361" s="13"/>
      <x:c r="V361" s="13" t="s">
        <x:v>1688</x:v>
      </x:c>
    </x:row>
    <x:row r="362" spans="1:22" s="14" customFormat="1" ht="13.5" customHeight="1">
      <x:c r="A362" s="13" t="str">
        <x:f>O362</x:f>
        <x:v>야구부코치</x:v>
      </x:c>
      <x:c r="B362" s="25" t="str">
        <x:f>L362&amp;"-"&amp;TEXT(P362,"0000")</x:f>
        <x:v>20110216-0558</x:v>
      </x:c>
      <x:c r="C362" s="13" t="s">
        <x:v>1564</x:v>
      </x:c>
      <x:c r="D362" s="13" t="s">
        <x:v>1533</x:v>
      </x:c>
      <x:c r="E362" s="13" t="s">
        <x:v>1543</x:v>
      </x:c>
      <x:c r="F362" s="13" t="s">
        <x:v>3261</x:v>
      </x:c>
      <x:c r="G362" s="13" t="s">
        <x:v>1266</x:v>
      </x:c>
      <x:c r="H362" s="13" t="str">
        <x:f>IFERROR(VLOOKUP(O362,'정보화기기 명부'!A$2:B$187,2,FALSE),"")</x:f>
        <x:v/>
      </x:c>
      <x:c r="I362" s="22"/>
      <x:c r="J362" s="13"/>
      <x:c r="K362" s="13"/>
      <x:c r="L362" s="13">
        <x:v>20110216</x:v>
      </x:c>
      <x:c r="M362" s="22">
        <x:v>1316360</x:v>
      </x:c>
      <x:c r="N362" s="13" t="s">
        <x:v>2045</x:v>
      </x:c>
      <x:c r="O362" s="13" t="s">
        <x:v>1703</x:v>
      </x:c>
      <x:c r="P362" s="202">
        <x:v>558</x:v>
      </x:c>
      <x:c r="Q362" s="13" t="s">
        <x:v>1713</x:v>
      </x:c>
      <x:c r="R362" s="13" t="s">
        <x:v>1704</x:v>
      </x:c>
      <x:c r="S362" s="13" t="s">
        <x:v>1726</x:v>
      </x:c>
      <x:c r="T362" s="13" t="s">
        <x:v>1735</x:v>
      </x:c>
      <x:c r="U362" s="13"/>
      <x:c r="V362" s="13" t="s">
        <x:v>1688</x:v>
      </x:c>
    </x:row>
    <x:row r="363" spans="1:22" s="14" customFormat="1" ht="13.5" customHeight="1">
      <x:c r="A363" s="13" t="str">
        <x:f>O363</x:f>
        <x:v>정보부보관</x:v>
      </x:c>
      <x:c r="B363" s="25" t="str">
        <x:f>L363&amp;"-"&amp;TEXT(P363,"0000")</x:f>
        <x:v>20110103-0555</x:v>
      </x:c>
      <x:c r="C363" s="13" t="s">
        <x:v>1564</x:v>
      </x:c>
      <x:c r="D363" s="13" t="s">
        <x:v>1533</x:v>
      </x:c>
      <x:c r="E363" s="13" t="s">
        <x:v>1543</x:v>
      </x:c>
      <x:c r="F363" s="13" t="s">
        <x:v>2193</x:v>
      </x:c>
      <x:c r="G363" s="13" t="s">
        <x:v>1537</x:v>
      </x:c>
      <x:c r="H363" s="13" t="str">
        <x:f>IFERROR(VLOOKUP(O363,'정보화기기 명부'!A$2:B$187,2,FALSE),"")</x:f>
        <x:v/>
      </x:c>
      <x:c r="I363" s="22"/>
      <x:c r="J363" s="13"/>
      <x:c r="K363" s="13"/>
      <x:c r="L363" s="13">
        <x:v>20110103</x:v>
      </x:c>
      <x:c r="M363" s="22">
        <x:v>1230000</x:v>
      </x:c>
      <x:c r="N363" s="13" t="s">
        <x:v>2034</x:v>
      </x:c>
      <x:c r="O363" s="13" t="s">
        <x:v>1737</x:v>
      </x:c>
      <x:c r="P363" s="202">
        <x:v>555</x:v>
      </x:c>
      <x:c r="Q363" s="13" t="s">
        <x:v>1713</x:v>
      </x:c>
      <x:c r="R363" s="13" t="s">
        <x:v>1694</x:v>
      </x:c>
      <x:c r="S363" s="13" t="s">
        <x:v>1726</x:v>
      </x:c>
      <x:c r="T363" s="13" t="s">
        <x:v>1735</x:v>
      </x:c>
      <x:c r="U363" s="13"/>
      <x:c r="V363" s="13" t="s">
        <x:v>1688</x:v>
      </x:c>
    </x:row>
    <x:row r="364" spans="1:22" s="14" customFormat="1" ht="13.5" customHeight="1">
      <x:c r="A364" s="13" t="str">
        <x:f>O364</x:f>
        <x:v>정보부보관</x:v>
      </x:c>
      <x:c r="B364" s="25" t="str">
        <x:f>L364&amp;"-"&amp;TEXT(P364,"0000")</x:f>
        <x:v>20110103-0556</x:v>
      </x:c>
      <x:c r="C364" s="13" t="s">
        <x:v>1564</x:v>
      </x:c>
      <x:c r="D364" s="13" t="s">
        <x:v>1533</x:v>
      </x:c>
      <x:c r="E364" s="13" t="s">
        <x:v>1543</x:v>
      </x:c>
      <x:c r="F364" s="13" t="s">
        <x:v>2193</x:v>
      </x:c>
      <x:c r="G364" s="13" t="s">
        <x:v>1537</x:v>
      </x:c>
      <x:c r="H364" s="13" t="str">
        <x:f>IFERROR(VLOOKUP(O364,'정보화기기 명부'!A$2:B$187,2,FALSE),"")</x:f>
        <x:v/>
      </x:c>
      <x:c r="I364" s="22"/>
      <x:c r="J364" s="13"/>
      <x:c r="K364" s="13"/>
      <x:c r="L364" s="13">
        <x:v>20110103</x:v>
      </x:c>
      <x:c r="M364" s="22">
        <x:v>1241950</x:v>
      </x:c>
      <x:c r="N364" s="13" t="s">
        <x:v>2034</x:v>
      </x:c>
      <x:c r="O364" s="13" t="s">
        <x:v>1737</x:v>
      </x:c>
      <x:c r="P364" s="202">
        <x:v>556</x:v>
      </x:c>
      <x:c r="Q364" s="13" t="s">
        <x:v>1713</x:v>
      </x:c>
      <x:c r="R364" s="13" t="s">
        <x:v>1694</x:v>
      </x:c>
      <x:c r="S364" s="13" t="s">
        <x:v>1726</x:v>
      </x:c>
      <x:c r="T364" s="13" t="s">
        <x:v>1735</x:v>
      </x:c>
      <x:c r="U364" s="13"/>
      <x:c r="V364" s="13" t="s">
        <x:v>2030</x:v>
      </x:c>
    </x:row>
    <x:row r="365" spans="1:22" s="14" customFormat="1" ht="13.5" customHeight="1">
      <x:c r="A365" s="13"/>
      <x:c r="B365" s="25" t="str">
        <x:f>L365&amp;"-"&amp;TEXT(P365,"0000")</x:f>
        <x:v>20100726-0552</x:v>
      </x:c>
      <x:c r="C365" s="13" t="s">
        <x:v>1978</x:v>
      </x:c>
      <x:c r="D365" s="13" t="s">
        <x:v>1533</x:v>
      </x:c>
      <x:c r="E365" s="13" t="s">
        <x:v>1543</x:v>
      </x:c>
      <x:c r="F365" s="13" t="s">
        <x:v>2164</x:v>
      </x:c>
      <x:c r="G365" s="13" t="s">
        <x:v>1537</x:v>
      </x:c>
      <x:c r="H365" s="13" t="str">
        <x:f>IFERROR(VLOOKUP(O365,'정보화기기 명부'!A$2:B$187,2,FALSE),"")</x:f>
        <x:v/>
      </x:c>
      <x:c r="I365" s="22"/>
      <x:c r="J365" s="13"/>
      <x:c r="K365" s="13"/>
      <x:c r="L365" s="13">
        <x:v>20100726</x:v>
      </x:c>
      <x:c r="M365" s="22">
        <x:v>980000</x:v>
      </x:c>
      <x:c r="N365" s="13" t="s">
        <x:v>2034</x:v>
      </x:c>
      <x:c r="O365" s="13" t="s">
        <x:v>1282</x:v>
      </x:c>
      <x:c r="P365" s="202">
        <x:v>552</x:v>
      </x:c>
      <x:c r="Q365" s="13" t="s">
        <x:v>572</x:v>
      </x:c>
      <x:c r="R365" s="13" t="s">
        <x:v>1757</x:v>
      </x:c>
      <x:c r="S365" s="13" t="s">
        <x:v>1726</x:v>
      </x:c>
      <x:c r="T365" s="13" t="s">
        <x:v>2037</x:v>
      </x:c>
      <x:c r="U365" s="13"/>
      <x:c r="V365" s="13" t="s">
        <x:v>1688</x:v>
      </x:c>
    </x:row>
    <x:row r="366" spans="1:22" s="14" customFormat="1" ht="13.5" customHeight="1">
      <x:c r="A366" s="13"/>
      <x:c r="B366" s="25" t="str">
        <x:f>L366&amp;"-"&amp;TEXT(P366,"0000")</x:f>
        <x:v>20100726-0551</x:v>
      </x:c>
      <x:c r="C366" s="13" t="s">
        <x:v>1978</x:v>
      </x:c>
      <x:c r="D366" s="13" t="s">
        <x:v>1533</x:v>
      </x:c>
      <x:c r="E366" s="13" t="s">
        <x:v>1543</x:v>
      </x:c>
      <x:c r="F366" s="13" t="s">
        <x:v>2164</x:v>
      </x:c>
      <x:c r="G366" s="13" t="s">
        <x:v>1537</x:v>
      </x:c>
      <x:c r="H366" s="13" t="str">
        <x:f>IFERROR(VLOOKUP(O366,'정보화기기 명부'!A$2:B$187,2,FALSE),"")</x:f>
        <x:v/>
      </x:c>
      <x:c r="I366" s="22"/>
      <x:c r="J366" s="13"/>
      <x:c r="K366" s="13"/>
      <x:c r="L366" s="13">
        <x:v>20100726</x:v>
      </x:c>
      <x:c r="M366" s="22">
        <x:v>980000</x:v>
      </x:c>
      <x:c r="N366" s="13" t="s">
        <x:v>2034</x:v>
      </x:c>
      <x:c r="O366" s="13" t="s">
        <x:v>1282</x:v>
      </x:c>
      <x:c r="P366" s="202">
        <x:v>551</x:v>
      </x:c>
      <x:c r="Q366" s="13" t="s">
        <x:v>1713</x:v>
      </x:c>
      <x:c r="R366" s="13" t="s">
        <x:v>1757</x:v>
      </x:c>
      <x:c r="S366" s="13" t="s">
        <x:v>1726</x:v>
      </x:c>
      <x:c r="T366" s="13" t="s">
        <x:v>2037</x:v>
      </x:c>
      <x:c r="U366" s="13"/>
      <x:c r="V366" s="13" t="s">
        <x:v>1688</x:v>
      </x:c>
    </x:row>
    <x:row r="367" spans="1:22" s="14" customFormat="1" ht="13.5" customHeight="1">
      <x:c r="A367" s="13" t="str">
        <x:f>O367</x:f>
        <x:v>성적처리컴</x:v>
      </x:c>
      <x:c r="B367" s="25" t="str">
        <x:f>L367&amp;"-"&amp;TEXT(P367,"0000")</x:f>
        <x:v>20100726-0550</x:v>
      </x:c>
      <x:c r="C367" s="13" t="s">
        <x:v>1978</x:v>
      </x:c>
      <x:c r="D367" s="21" t="s">
        <x:v>1533</x:v>
      </x:c>
      <x:c r="E367" s="13" t="s">
        <x:v>1543</x:v>
      </x:c>
      <x:c r="F367" s="13" t="s">
        <x:v>2164</x:v>
      </x:c>
      <x:c r="G367" s="13" t="s">
        <x:v>1537</x:v>
      </x:c>
      <x:c r="H367" s="13" t="str">
        <x:f>IFERROR(VLOOKUP(O367,'정보화기기 명부'!A$2:B$187,2,FALSE),"")</x:f>
        <x:v/>
      </x:c>
      <x:c r="I367" s="22"/>
      <x:c r="J367" s="13"/>
      <x:c r="K367" s="13"/>
      <x:c r="L367" s="13">
        <x:v>20100726</x:v>
      </x:c>
      <x:c r="M367" s="22">
        <x:v>980000</x:v>
      </x:c>
      <x:c r="N367" s="13" t="s">
        <x:v>2034</x:v>
      </x:c>
      <x:c r="O367" s="13" t="s">
        <x:v>1714</x:v>
      </x:c>
      <x:c r="P367" s="202">
        <x:v>550</x:v>
      </x:c>
      <x:c r="Q367" s="13" t="s">
        <x:v>1713</x:v>
      </x:c>
      <x:c r="R367" s="13" t="s">
        <x:v>1757</x:v>
      </x:c>
      <x:c r="S367" s="13" t="s">
        <x:v>1726</x:v>
      </x:c>
      <x:c r="T367" s="13" t="s">
        <x:v>2037</x:v>
      </x:c>
      <x:c r="U367" s="13"/>
      <x:c r="V367" s="13" t="s">
        <x:v>1688</x:v>
      </x:c>
    </x:row>
    <x:row r="368" spans="1:26" s="14" customFormat="1" ht="13.5" customHeight="1">
      <x:c r="A368" s="25" t="str">
        <x:f>O368</x:f>
        <x:v>구 조연형</x:v>
      </x:c>
      <x:c r="B368" s="25" t="str">
        <x:f>L368&amp;"-"&amp;TEXT(P368,"0000")</x:f>
        <x:v>20100726-0549</x:v>
      </x:c>
      <x:c r="C368" s="25" t="s">
        <x:v>1978</x:v>
      </x:c>
      <x:c r="D368" s="25" t="s">
        <x:v>1533</x:v>
      </x:c>
      <x:c r="E368" s="25" t="s">
        <x:v>1543</x:v>
      </x:c>
      <x:c r="F368" s="25" t="s">
        <x:v>3220</x:v>
      </x:c>
      <x:c r="G368" s="25" t="s">
        <x:v>1289</x:v>
      </x:c>
      <x:c r="H368" s="25" t="str">
        <x:f>IFERROR(VLOOKUP(O368,'정보화기기 명부'!A$2:B$187,2,FALSE),"")</x:f>
        <x:v/>
      </x:c>
      <x:c r="I368" s="123"/>
      <x:c r="J368" s="25"/>
      <x:c r="K368" s="25"/>
      <x:c r="L368" s="25">
        <x:v>20100726</x:v>
      </x:c>
      <x:c r="M368" s="123">
        <x:v>1090000</x:v>
      </x:c>
      <x:c r="N368" s="25" t="s">
        <x:v>2034</x:v>
      </x:c>
      <x:c r="O368" s="25" t="s">
        <x:v>1725</x:v>
      </x:c>
      <x:c r="P368" s="157">
        <x:v>549</x:v>
      </x:c>
      <x:c r="Q368" s="25" t="s">
        <x:v>815</x:v>
      </x:c>
      <x:c r="R368" s="25" t="s">
        <x:v>1689</x:v>
      </x:c>
      <x:c r="S368" s="25" t="s">
        <x:v>1723</x:v>
      </x:c>
      <x:c r="T368" s="25" t="s">
        <x:v>1735</x:v>
      </x:c>
      <x:c r="U368" s="25"/>
      <x:c r="V368" s="25" t="s">
        <x:v>1688</x:v>
      </x:c>
      <x:c r="W368" s="91"/>
      <x:c r="X368" s="91"/>
      <x:c r="Y368" s="91"/>
      <x:c r="Z368" s="91"/>
    </x:row>
    <x:row r="369" spans="1:22" s="14" customFormat="1" ht="13.5" customHeight="1">
      <x:c r="A369" s="13" t="str">
        <x:f>O369</x:f>
        <x:v>정보부보관</x:v>
      </x:c>
      <x:c r="B369" s="25" t="str">
        <x:f>L369&amp;"-"&amp;TEXT(P369,"0000")</x:f>
        <x:v>20100519-0547</x:v>
      </x:c>
      <x:c r="C369" s="13" t="s">
        <x:v>1564</x:v>
      </x:c>
      <x:c r="D369" s="13" t="s">
        <x:v>1533</x:v>
      </x:c>
      <x:c r="E369" s="13" t="s">
        <x:v>1251</x:v>
      </x:c>
      <x:c r="F369" s="25" t="s">
        <x:v>3083</x:v>
      </x:c>
      <x:c r="G369" s="13" t="s">
        <x:v>1575</x:v>
      </x:c>
      <x:c r="H369" s="13" t="str">
        <x:f>IFERROR(VLOOKUP(O369,'정보화기기 명부'!A$2:B$187,2,FALSE),"")</x:f>
        <x:v/>
      </x:c>
      <x:c r="I369" s="22"/>
      <x:c r="J369" s="13"/>
      <x:c r="K369" s="13"/>
      <x:c r="L369" s="13">
        <x:v>20100519</x:v>
      </x:c>
      <x:c r="M369" s="22">
        <x:v>1130000</x:v>
      </x:c>
      <x:c r="N369" s="13" t="s">
        <x:v>2045</x:v>
      </x:c>
      <x:c r="O369" s="13" t="s">
        <x:v>1737</x:v>
      </x:c>
      <x:c r="P369" s="202">
        <x:v>547</x:v>
      </x:c>
      <x:c r="Q369" s="13" t="s">
        <x:v>1713</x:v>
      </x:c>
      <x:c r="R369" s="13" t="s">
        <x:v>1767</x:v>
      </x:c>
      <x:c r="S369" s="13" t="s">
        <x:v>1726</x:v>
      </x:c>
      <x:c r="T369" s="13" t="s">
        <x:v>1632</x:v>
      </x:c>
      <x:c r="U369" s="13"/>
      <x:c r="V369" s="13" t="s">
        <x:v>1688</x:v>
      </x:c>
    </x:row>
    <x:row r="370" spans="1:26" s="14" customFormat="1" ht="13.5" customHeight="1">
      <x:c r="A370" s="25" t="str">
        <x:f>O370</x:f>
        <x:v>도움반 실습용5</x:v>
      </x:c>
      <x:c r="B370" s="25" t="str">
        <x:f>L370&amp;"-"&amp;TEXT(P370,"0000")</x:f>
        <x:v>20100226-0544</x:v>
      </x:c>
      <x:c r="C370" s="25" t="s">
        <x:v>1978</x:v>
      </x:c>
      <x:c r="D370" s="25" t="s">
        <x:v>1533</x:v>
      </x:c>
      <x:c r="E370" s="25" t="s">
        <x:v>1568</x:v>
      </x:c>
      <x:c r="F370" s="25" t="s">
        <x:v>568</x:v>
      </x:c>
      <x:c r="G370" s="25" t="s">
        <x:v>1646</x:v>
      </x:c>
      <x:c r="H370" s="25" t="str">
        <x:f>IFERROR(VLOOKUP(O370,'정보화기기 명부'!A$2:B$187,2,FALSE),"")</x:f>
        <x:v/>
      </x:c>
      <x:c r="I370" s="123"/>
      <x:c r="J370" s="25" t="s">
        <x:v>1640</x:v>
      </x:c>
      <x:c r="K370" s="25">
        <x:v>2020.0699999999999</x:v>
      </x:c>
      <x:c r="L370" s="25">
        <x:v>20100226</x:v>
      </x:c>
      <x:c r="M370" s="123">
        <x:v>880000</x:v>
      </x:c>
      <x:c r="N370" s="25" t="s">
        <x:v>2045</x:v>
      </x:c>
      <x:c r="O370" s="25" t="s">
        <x:v>573</x:v>
      </x:c>
      <x:c r="P370" s="157">
        <x:v>544</x:v>
      </x:c>
      <x:c r="Q370" s="25" t="s">
        <x:v>815</x:v>
      </x:c>
      <x:c r="R370" s="25" t="s">
        <x:v>1690</x:v>
      </x:c>
      <x:c r="S370" s="25" t="s">
        <x:v>1726</x:v>
      </x:c>
      <x:c r="T370" s="25" t="s">
        <x:v>1735</x:v>
      </x:c>
      <x:c r="U370" s="25"/>
      <x:c r="V370" s="25" t="s">
        <x:v>1688</x:v>
      </x:c>
      <x:c r="W370" s="91"/>
      <x:c r="X370" s="91"/>
      <x:c r="Y370" s="91"/>
      <x:c r="Z370" s="91"/>
    </x:row>
    <x:row r="371" spans="1:26" s="14" customFormat="1" ht="13.5" customHeight="1">
      <x:c r="A371" s="25" t="str">
        <x:f>O371</x:f>
        <x:v>도움반 실습용4</x:v>
      </x:c>
      <x:c r="B371" s="25" t="str">
        <x:f>L371&amp;"-"&amp;TEXT(P371,"0000")</x:f>
        <x:v>20100226-0543</x:v>
      </x:c>
      <x:c r="C371" s="25" t="s">
        <x:v>1978</x:v>
      </x:c>
      <x:c r="D371" s="25" t="s">
        <x:v>1533</x:v>
      </x:c>
      <x:c r="E371" s="25" t="s">
        <x:v>1568</x:v>
      </x:c>
      <x:c r="F371" s="25" t="s">
        <x:v>568</x:v>
      </x:c>
      <x:c r="G371" s="25" t="s">
        <x:v>1646</x:v>
      </x:c>
      <x:c r="H371" s="25" t="str">
        <x:f>IFERROR(VLOOKUP(O371,'정보화기기 명부'!A$2:B$187,2,FALSE),"")</x:f>
        <x:v/>
      </x:c>
      <x:c r="I371" s="123"/>
      <x:c r="J371" s="25" t="s">
        <x:v>1640</x:v>
      </x:c>
      <x:c r="K371" s="25">
        <x:v>2020.0699999999999</x:v>
      </x:c>
      <x:c r="L371" s="25">
        <x:v>20100226</x:v>
      </x:c>
      <x:c r="M371" s="123">
        <x:v>880000</x:v>
      </x:c>
      <x:c r="N371" s="25" t="s">
        <x:v>2045</x:v>
      </x:c>
      <x:c r="O371" s="25" t="s">
        <x:v>559</x:v>
      </x:c>
      <x:c r="P371" s="157">
        <x:v>543</x:v>
      </x:c>
      <x:c r="Q371" s="25" t="s">
        <x:v>815</x:v>
      </x:c>
      <x:c r="R371" s="25" t="s">
        <x:v>1690</x:v>
      </x:c>
      <x:c r="S371" s="25" t="s">
        <x:v>1726</x:v>
      </x:c>
      <x:c r="T371" s="25" t="s">
        <x:v>1735</x:v>
      </x:c>
      <x:c r="U371" s="25"/>
      <x:c r="V371" s="25" t="s">
        <x:v>1688</x:v>
      </x:c>
      <x:c r="W371" s="91"/>
      <x:c r="X371" s="91"/>
      <x:c r="Y371" s="91"/>
      <x:c r="Z371" s="91"/>
    </x:row>
    <x:row r="372" spans="1:26" s="14" customFormat="1" ht="13.5" customHeight="1">
      <x:c r="A372" s="25" t="str">
        <x:f>O372</x:f>
        <x:v>도움반 실습용3</x:v>
      </x:c>
      <x:c r="B372" s="25" t="str">
        <x:f>L372&amp;"-"&amp;TEXT(P372,"0000")</x:f>
        <x:v>20100226-0542</x:v>
      </x:c>
      <x:c r="C372" s="25" t="s">
        <x:v>1978</x:v>
      </x:c>
      <x:c r="D372" s="25" t="s">
        <x:v>1533</x:v>
      </x:c>
      <x:c r="E372" s="25" t="s">
        <x:v>1568</x:v>
      </x:c>
      <x:c r="F372" s="25" t="s">
        <x:v>568</x:v>
      </x:c>
      <x:c r="G372" s="25" t="s">
        <x:v>1646</x:v>
      </x:c>
      <x:c r="H372" s="25" t="str">
        <x:f>IFERROR(VLOOKUP(O372,'정보화기기 명부'!A$2:B$187,2,FALSE),"")</x:f>
        <x:v/>
      </x:c>
      <x:c r="I372" s="123"/>
      <x:c r="J372" s="25" t="s">
        <x:v>1640</x:v>
      </x:c>
      <x:c r="K372" s="25">
        <x:v>2020.0699999999999</x:v>
      </x:c>
      <x:c r="L372" s="25">
        <x:v>20100226</x:v>
      </x:c>
      <x:c r="M372" s="123">
        <x:v>880000</x:v>
      </x:c>
      <x:c r="N372" s="25" t="s">
        <x:v>2045</x:v>
      </x:c>
      <x:c r="O372" s="25" t="s">
        <x:v>582</x:v>
      </x:c>
      <x:c r="P372" s="157">
        <x:v>542</x:v>
      </x:c>
      <x:c r="Q372" s="25" t="s">
        <x:v>815</x:v>
      </x:c>
      <x:c r="R372" s="25" t="s">
        <x:v>1690</x:v>
      </x:c>
      <x:c r="S372" s="25" t="s">
        <x:v>1726</x:v>
      </x:c>
      <x:c r="T372" s="25" t="s">
        <x:v>1735</x:v>
      </x:c>
      <x:c r="U372" s="25"/>
      <x:c r="V372" s="25" t="s">
        <x:v>1688</x:v>
      </x:c>
      <x:c r="W372" s="91"/>
      <x:c r="X372" s="91"/>
      <x:c r="Y372" s="91"/>
      <x:c r="Z372" s="91"/>
    </x:row>
    <x:row r="373" spans="1:26" s="14" customFormat="1" ht="13.5" customHeight="1">
      <x:c r="A373" s="25" t="str">
        <x:f>O373</x:f>
        <x:v>도움반 실습용2</x:v>
      </x:c>
      <x:c r="B373" s="25" t="str">
        <x:f>L373&amp;"-"&amp;TEXT(P373,"0000")</x:f>
        <x:v>20100226-0541</x:v>
      </x:c>
      <x:c r="C373" s="25" t="s">
        <x:v>1978</x:v>
      </x:c>
      <x:c r="D373" s="25" t="s">
        <x:v>1533</x:v>
      </x:c>
      <x:c r="E373" s="25" t="s">
        <x:v>1568</x:v>
      </x:c>
      <x:c r="F373" s="25" t="s">
        <x:v>568</x:v>
      </x:c>
      <x:c r="G373" s="25" t="s">
        <x:v>1646</x:v>
      </x:c>
      <x:c r="H373" s="25" t="str">
        <x:f>IFERROR(VLOOKUP(O373,'정보화기기 명부'!A$2:B$187,2,FALSE),"")</x:f>
        <x:v/>
      </x:c>
      <x:c r="I373" s="123"/>
      <x:c r="J373" s="25" t="s">
        <x:v>1640</x:v>
      </x:c>
      <x:c r="K373" s="25"/>
      <x:c r="L373" s="25">
        <x:v>20100226</x:v>
      </x:c>
      <x:c r="M373" s="123">
        <x:v>880000</x:v>
      </x:c>
      <x:c r="N373" s="25" t="s">
        <x:v>2045</x:v>
      </x:c>
      <x:c r="O373" s="25" t="s">
        <x:v>575</x:v>
      </x:c>
      <x:c r="P373" s="157">
        <x:v>541</x:v>
      </x:c>
      <x:c r="Q373" s="25" t="s">
        <x:v>815</x:v>
      </x:c>
      <x:c r="R373" s="25" t="s">
        <x:v>1690</x:v>
      </x:c>
      <x:c r="S373" s="25" t="s">
        <x:v>1726</x:v>
      </x:c>
      <x:c r="T373" s="25" t="s">
        <x:v>1735</x:v>
      </x:c>
      <x:c r="U373" s="25"/>
      <x:c r="V373" s="25" t="s">
        <x:v>1688</x:v>
      </x:c>
      <x:c r="W373" s="91"/>
      <x:c r="X373" s="91"/>
      <x:c r="Y373" s="91"/>
      <x:c r="Z373" s="91"/>
    </x:row>
    <x:row r="374" spans="1:26" s="14" customFormat="1" customHeight="1">
      <x:c r="A374" s="25" t="str">
        <x:f>O374</x:f>
        <x:v>도움반 실습용1</x:v>
      </x:c>
      <x:c r="B374" s="25" t="str">
        <x:f>L374&amp;"-"&amp;TEXT(P374,"0000")</x:f>
        <x:v>20100226-0540</x:v>
      </x:c>
      <x:c r="C374" s="25" t="s">
        <x:v>1978</x:v>
      </x:c>
      <x:c r="D374" s="25" t="s">
        <x:v>1533</x:v>
      </x:c>
      <x:c r="E374" s="25" t="s">
        <x:v>1568</x:v>
      </x:c>
      <x:c r="F374" s="25" t="s">
        <x:v>568</x:v>
      </x:c>
      <x:c r="G374" s="25" t="s">
        <x:v>1646</x:v>
      </x:c>
      <x:c r="H374" s="25" t="str">
        <x:f>IFERROR(VLOOKUP(O374,'정보화기기 명부'!A$2:B$187,2,FALSE),"")</x:f>
        <x:v/>
      </x:c>
      <x:c r="I374" s="123"/>
      <x:c r="J374" s="25" t="s">
        <x:v>1640</x:v>
      </x:c>
      <x:c r="K374" s="25">
        <x:v>2020.0699999999999</x:v>
      </x:c>
      <x:c r="L374" s="25">
        <x:v>20100226</x:v>
      </x:c>
      <x:c r="M374" s="123">
        <x:v>880000</x:v>
      </x:c>
      <x:c r="N374" s="25" t="s">
        <x:v>2045</x:v>
      </x:c>
      <x:c r="O374" s="25" t="s">
        <x:v>553</x:v>
      </x:c>
      <x:c r="P374" s="157">
        <x:v>540</x:v>
      </x:c>
      <x:c r="Q374" s="25" t="s">
        <x:v>815</x:v>
      </x:c>
      <x:c r="R374" s="25" t="s">
        <x:v>1690</x:v>
      </x:c>
      <x:c r="S374" s="25" t="s">
        <x:v>1726</x:v>
      </x:c>
      <x:c r="T374" s="25" t="s">
        <x:v>1735</x:v>
      </x:c>
      <x:c r="U374" s="25"/>
      <x:c r="V374" s="25" t="s">
        <x:v>1688</x:v>
      </x:c>
      <x:c r="W374" s="91"/>
      <x:c r="X374" s="91"/>
      <x:c r="Y374" s="91"/>
      <x:c r="Z374" s="91"/>
    </x:row>
    <x:row r="375" spans="1:26" s="14" customFormat="1" customHeight="1">
      <x:c r="A375" s="25" t="str">
        <x:f>O375</x:f>
        <x:v>권철수</x:v>
      </x:c>
      <x:c r="B375" s="25" t="str">
        <x:f>L375&amp;"-"&amp;TEXT(P375,"0000")</x:f>
        <x:v>20091230-0545</x:v>
      </x:c>
      <x:c r="C375" s="25" t="s">
        <x:v>1978</x:v>
      </x:c>
      <x:c r="D375" s="25" t="s">
        <x:v>1533</x:v>
      </x:c>
      <x:c r="E375" s="25" t="s">
        <x:v>1543</x:v>
      </x:c>
      <x:c r="F375" s="25" t="s">
        <x:v>2228</x:v>
      </x:c>
      <x:c r="G375" s="93" t="s">
        <x:v>1289</x:v>
      </x:c>
      <x:c r="H375" s="25" t="str">
        <x:f>IFERROR(VLOOKUP(O375,'정보화기기 명부'!A$2:B$187,2,FALSE),"")</x:f>
        <x:v/>
      </x:c>
      <x:c r="I375" s="25"/>
      <x:c r="J375" s="88"/>
      <x:c r="K375" s="25"/>
      <x:c r="L375" s="25">
        <x:v>20091230</x:v>
      </x:c>
      <x:c r="M375" s="25" t="s">
        <x:v>1732</x:v>
      </x:c>
      <x:c r="N375" s="25" t="s">
        <x:v>2034</x:v>
      </x:c>
      <x:c r="O375" s="25" t="s">
        <x:v>1557</x:v>
      </x:c>
      <x:c r="P375" s="157">
        <x:v>545</x:v>
      </x:c>
      <x:c r="Q375" s="25" t="s">
        <x:v>572</x:v>
      </x:c>
      <x:c r="R375" s="25" t="s">
        <x:v>1757</x:v>
      </x:c>
      <x:c r="S375" s="25" t="s">
        <x:v>1726</x:v>
      </x:c>
      <x:c r="T375" s="25" t="s">
        <x:v>1735</x:v>
      </x:c>
      <x:c r="U375" s="25"/>
      <x:c r="V375" s="25" t="s">
        <x:v>1688</x:v>
      </x:c>
      <x:c r="W375" s="91"/>
      <x:c r="X375" s="91"/>
      <x:c r="Y375" s="91"/>
      <x:c r="Z375" s="91"/>
    </x:row>
    <x:row r="376" spans="1:22" s="14" customFormat="1" customHeight="1">
      <x:c r="A376" s="13"/>
      <x:c r="B376" s="25" t="str">
        <x:f>L376&amp;"-"&amp;TEXT(P376,"0000")</x:f>
        <x:v>20091201-0548</x:v>
      </x:c>
      <x:c r="C376" s="13" t="s">
        <x:v>1978</x:v>
      </x:c>
      <x:c r="D376" s="21" t="s">
        <x:v>1533</x:v>
      </x:c>
      <x:c r="E376" s="13" t="s">
        <x:v>1543</x:v>
      </x:c>
      <x:c r="F376" s="13" t="s">
        <x:v>1762</x:v>
      </x:c>
      <x:c r="G376" s="13" t="s">
        <x:v>1278</x:v>
      </x:c>
      <x:c r="H376" s="13" t="str">
        <x:f>IFERROR(VLOOKUP(O376,'정보화기기 명부'!A$2:B$187,2,FALSE),"")</x:f>
        <x:v/>
      </x:c>
      <x:c r="I376" s="13"/>
      <x:c r="J376" s="13"/>
      <x:c r="K376" s="13"/>
      <x:c r="L376" s="13">
        <x:v>20091201</x:v>
      </x:c>
      <x:c r="M376" s="13" t="s">
        <x:v>563</x:v>
      </x:c>
      <x:c r="N376" s="13" t="s">
        <x:v>2034</x:v>
      </x:c>
      <x:c r="O376" s="13" t="s">
        <x:v>3147</x:v>
      </x:c>
      <x:c r="P376" s="202">
        <x:v>548</x:v>
      </x:c>
      <x:c r="Q376" s="13" t="s">
        <x:v>1713</x:v>
      </x:c>
      <x:c r="R376" s="13" t="s">
        <x:v>1690</x:v>
      </x:c>
      <x:c r="S376" s="13" t="s">
        <x:v>1738</x:v>
      </x:c>
      <x:c r="T376" s="13" t="s">
        <x:v>2031</x:v>
      </x:c>
      <x:c r="U376" s="13"/>
      <x:c r="V376" s="13" t="s">
        <x:v>1688</x:v>
      </x:c>
    </x:row>
    <x:row r="377" spans="1:22" s="14" customFormat="1" customHeight="1">
      <x:c r="A377" s="13"/>
      <x:c r="B377" s="25" t="str">
        <x:f>L377&amp;"-"&amp;TEXT(P377,"0000")</x:f>
        <x:v>20091013-0546</x:v>
      </x:c>
      <x:c r="C377" s="13" t="s">
        <x:v>1978</x:v>
      </x:c>
      <x:c r="D377" s="13" t="s">
        <x:v>1533</x:v>
      </x:c>
      <x:c r="E377" s="13" t="s">
        <x:v>1543</x:v>
      </x:c>
      <x:c r="F377" s="13" t="s">
        <x:v>1762</x:v>
      </x:c>
      <x:c r="G377" s="18" t="s">
        <x:v>1274</x:v>
      </x:c>
      <x:c r="H377" s="13" t="str">
        <x:f>IFERROR(VLOOKUP(O377,'정보화기기 명부'!A$2:B$187,2,FALSE),"")</x:f>
        <x:v/>
      </x:c>
      <x:c r="I377" s="13"/>
      <x:c r="J377" s="17"/>
      <x:c r="K377" s="13"/>
      <x:c r="L377" s="13">
        <x:v>20091013</x:v>
      </x:c>
      <x:c r="M377" s="13" t="s">
        <x:v>570</x:v>
      </x:c>
      <x:c r="N377" s="13" t="s">
        <x:v>2034</x:v>
      </x:c>
      <x:c r="O377" s="13" t="s">
        <x:v>1482</x:v>
      </x:c>
      <x:c r="P377" s="202">
        <x:v>546</x:v>
      </x:c>
      <x:c r="Q377" s="13" t="s">
        <x:v>572</x:v>
      </x:c>
      <x:c r="R377" s="13" t="s">
        <x:v>1690</x:v>
      </x:c>
      <x:c r="S377" s="13" t="s">
        <x:v>1738</x:v>
      </x:c>
      <x:c r="T377" s="13" t="s">
        <x:v>2114</x:v>
      </x:c>
      <x:c r="U377" s="13"/>
      <x:c r="V377" s="13" t="s">
        <x:v>1688</x:v>
      </x:c>
    </x:row>
    <x:row r="378" spans="1:22" s="14" customFormat="1" customHeight="1">
      <x:c r="A378" s="13" t="str">
        <x:f>O378</x:f>
        <x:v>정보부보관</x:v>
      </x:c>
      <x:c r="B378" s="25" t="str">
        <x:f>L378&amp;"-"&amp;TEXT(P378,"0000")</x:f>
        <x:v>20090515-0497</x:v>
      </x:c>
      <x:c r="C378" s="13" t="s">
        <x:v>1564</x:v>
      </x:c>
      <x:c r="D378" s="13" t="s">
        <x:v>1533</x:v>
      </x:c>
      <x:c r="E378" s="13" t="s">
        <x:v>1251</x:v>
      </x:c>
      <x:c r="F378" s="13" t="s">
        <x:v>2159</x:v>
      </x:c>
      <x:c r="G378" s="18" t="s">
        <x:v>1537</x:v>
      </x:c>
      <x:c r="H378" s="13" t="str">
        <x:f>IFERROR(VLOOKUP(O378,'정보화기기 명부'!A$2:B$187,2,FALSE),"")</x:f>
        <x:v/>
      </x:c>
      <x:c r="I378" s="13"/>
      <x:c r="J378" s="17"/>
      <x:c r="K378" s="13"/>
      <x:c r="L378" s="13">
        <x:v>20090515</x:v>
      </x:c>
      <x:c r="M378" s="13" t="s">
        <x:v>569</x:v>
      </x:c>
      <x:c r="N378" s="13" t="s">
        <x:v>1965</x:v>
      </x:c>
      <x:c r="O378" s="13" t="s">
        <x:v>1737</x:v>
      </x:c>
      <x:c r="P378" s="202">
        <x:v>497</x:v>
      </x:c>
      <x:c r="Q378" s="13" t="s">
        <x:v>1713</x:v>
      </x:c>
      <x:c r="R378" s="13" t="s">
        <x:v>1736</x:v>
      </x:c>
      <x:c r="S378" s="13" t="s">
        <x:v>1726</x:v>
      </x:c>
      <x:c r="T378" s="13" t="s">
        <x:v>1773</x:v>
      </x:c>
      <x:c r="U378" s="13"/>
      <x:c r="V378" s="13" t="s">
        <x:v>797</x:v>
      </x:c>
    </x:row>
    <x:row r="379" spans="1:22" s="14" customFormat="1" customHeight="1">
      <x:c r="A379" s="13" t="str">
        <x:f>O379</x:f>
        <x:v>정보부보관</x:v>
      </x:c>
      <x:c r="B379" s="25" t="str">
        <x:f>L379&amp;"-"&amp;TEXT(P379,"0000")</x:f>
        <x:v>20090515-0498</x:v>
      </x:c>
      <x:c r="C379" s="13" t="s">
        <x:v>1564</x:v>
      </x:c>
      <x:c r="D379" s="13" t="s">
        <x:v>1533</x:v>
      </x:c>
      <x:c r="E379" s="13" t="s">
        <x:v>1251</x:v>
      </x:c>
      <x:c r="F379" s="13" t="s">
        <x:v>2159</x:v>
      </x:c>
      <x:c r="G379" s="18" t="s">
        <x:v>1537</x:v>
      </x:c>
      <x:c r="H379" s="13" t="str">
        <x:f>IFERROR(VLOOKUP(O379,'정보화기기 명부'!A$2:B$187,2,FALSE),"")</x:f>
        <x:v/>
      </x:c>
      <x:c r="I379" s="13"/>
      <x:c r="J379" s="17"/>
      <x:c r="K379" s="13"/>
      <x:c r="L379" s="13">
        <x:v>20090515</x:v>
      </x:c>
      <x:c r="M379" s="13" t="s">
        <x:v>569</x:v>
      </x:c>
      <x:c r="N379" s="13" t="s">
        <x:v>1965</x:v>
      </x:c>
      <x:c r="O379" s="13" t="s">
        <x:v>1737</x:v>
      </x:c>
      <x:c r="P379" s="202">
        <x:v>498</x:v>
      </x:c>
      <x:c r="Q379" s="13" t="s">
        <x:v>1713</x:v>
      </x:c>
      <x:c r="R379" s="13" t="s">
        <x:v>1736</x:v>
      </x:c>
      <x:c r="S379" s="13" t="s">
        <x:v>1726</x:v>
      </x:c>
      <x:c r="T379" s="13" t="s">
        <x:v>1773</x:v>
      </x:c>
      <x:c r="U379" s="13"/>
      <x:c r="V379" s="13" t="s">
        <x:v>797</x:v>
      </x:c>
    </x:row>
    <x:row r="380" spans="1:22" s="14" customFormat="1" customHeight="1">
      <x:c r="A380" s="13" t="str">
        <x:f>O380</x:f>
        <x:v>정보부보관</x:v>
      </x:c>
      <x:c r="B380" s="25" t="str">
        <x:f>L380&amp;"-"&amp;TEXT(P380,"0000")</x:f>
        <x:v>20090515-0499</x:v>
      </x:c>
      <x:c r="C380" s="13" t="s">
        <x:v>1564</x:v>
      </x:c>
      <x:c r="D380" s="13" t="s">
        <x:v>1533</x:v>
      </x:c>
      <x:c r="E380" s="13" t="s">
        <x:v>1251</x:v>
      </x:c>
      <x:c r="F380" s="13" t="s">
        <x:v>2159</x:v>
      </x:c>
      <x:c r="G380" s="18" t="s">
        <x:v>1537</x:v>
      </x:c>
      <x:c r="H380" s="13" t="str">
        <x:f>IFERROR(VLOOKUP(O380,'정보화기기 명부'!A$2:B$187,2,FALSE),"")</x:f>
        <x:v/>
      </x:c>
      <x:c r="I380" s="13"/>
      <x:c r="J380" s="17"/>
      <x:c r="K380" s="13"/>
      <x:c r="L380" s="13">
        <x:v>20090515</x:v>
      </x:c>
      <x:c r="M380" s="13" t="s">
        <x:v>569</x:v>
      </x:c>
      <x:c r="N380" s="13" t="s">
        <x:v>1965</x:v>
      </x:c>
      <x:c r="O380" s="13" t="s">
        <x:v>1737</x:v>
      </x:c>
      <x:c r="P380" s="202">
        <x:v>499</x:v>
      </x:c>
      <x:c r="Q380" s="13" t="s">
        <x:v>1713</x:v>
      </x:c>
      <x:c r="R380" s="13" t="s">
        <x:v>1736</x:v>
      </x:c>
      <x:c r="S380" s="13" t="s">
        <x:v>1726</x:v>
      </x:c>
      <x:c r="T380" s="13" t="s">
        <x:v>1773</x:v>
      </x:c>
      <x:c r="U380" s="13"/>
      <x:c r="V380" s="13" t="s">
        <x:v>797</x:v>
      </x:c>
    </x:row>
    <x:row r="381" spans="1:22" s="14" customFormat="1" customHeight="1">
      <x:c r="A381" s="13" t="str">
        <x:f>O381</x:f>
        <x:v>정보부보관</x:v>
      </x:c>
      <x:c r="B381" s="25" t="str">
        <x:f>L381&amp;"-"&amp;TEXT(P381,"0000")</x:f>
        <x:v>20090515-0500</x:v>
      </x:c>
      <x:c r="C381" s="13" t="s">
        <x:v>1564</x:v>
      </x:c>
      <x:c r="D381" s="13" t="s">
        <x:v>1533</x:v>
      </x:c>
      <x:c r="E381" s="13" t="s">
        <x:v>1251</x:v>
      </x:c>
      <x:c r="F381" s="13" t="s">
        <x:v>2159</x:v>
      </x:c>
      <x:c r="G381" s="18" t="s">
        <x:v>1537</x:v>
      </x:c>
      <x:c r="H381" s="13" t="str">
        <x:f>IFERROR(VLOOKUP(O381,'정보화기기 명부'!A$2:B$187,2,FALSE),"")</x:f>
        <x:v/>
      </x:c>
      <x:c r="I381" s="13"/>
      <x:c r="J381" s="17"/>
      <x:c r="K381" s="13"/>
      <x:c r="L381" s="13">
        <x:v>20090515</x:v>
      </x:c>
      <x:c r="M381" s="13" t="s">
        <x:v>569</x:v>
      </x:c>
      <x:c r="N381" s="13" t="s">
        <x:v>1965</x:v>
      </x:c>
      <x:c r="O381" s="13" t="s">
        <x:v>1737</x:v>
      </x:c>
      <x:c r="P381" s="202">
        <x:v>500</x:v>
      </x:c>
      <x:c r="Q381" s="13" t="s">
        <x:v>1713</x:v>
      </x:c>
      <x:c r="R381" s="13" t="s">
        <x:v>1736</x:v>
      </x:c>
      <x:c r="S381" s="13" t="s">
        <x:v>1726</x:v>
      </x:c>
      <x:c r="T381" s="13" t="s">
        <x:v>1773</x:v>
      </x:c>
      <x:c r="U381" s="13"/>
      <x:c r="V381" s="13" t="s">
        <x:v>797</x:v>
      </x:c>
    </x:row>
    <x:row r="382" spans="1:26" ht="13.5" customHeight="1">
      <x:c r="A382" s="13" t="str">
        <x:f>O382</x:f>
        <x:v>정보부보관</x:v>
      </x:c>
      <x:c r="B382" s="25" t="str">
        <x:f>L382&amp;"-"&amp;TEXT(P382,"0000")</x:f>
        <x:v>20090515-0501</x:v>
      </x:c>
      <x:c r="C382" s="13" t="s">
        <x:v>1564</x:v>
      </x:c>
      <x:c r="D382" s="13" t="s">
        <x:v>1533</x:v>
      </x:c>
      <x:c r="E382" s="13" t="s">
        <x:v>1251</x:v>
      </x:c>
      <x:c r="F382" s="13" t="s">
        <x:v>2159</x:v>
      </x:c>
      <x:c r="G382" s="18" t="s">
        <x:v>1537</x:v>
      </x:c>
      <x:c r="H382" s="13" t="str">
        <x:f>IFERROR(VLOOKUP(O382,'정보화기기 명부'!A$2:B$187,2,FALSE),"")</x:f>
        <x:v/>
      </x:c>
      <x:c r="I382" s="13"/>
      <x:c r="J382" s="17"/>
      <x:c r="K382" s="17"/>
      <x:c r="L382" s="13">
        <x:v>20090515</x:v>
      </x:c>
      <x:c r="M382" s="13" t="s">
        <x:v>569</x:v>
      </x:c>
      <x:c r="N382" s="13" t="s">
        <x:v>1965</x:v>
      </x:c>
      <x:c r="O382" s="13" t="s">
        <x:v>1737</x:v>
      </x:c>
      <x:c r="P382" s="202">
        <x:v>501</x:v>
      </x:c>
      <x:c r="Q382" s="13" t="s">
        <x:v>1713</x:v>
      </x:c>
      <x:c r="R382" s="13" t="s">
        <x:v>1736</x:v>
      </x:c>
      <x:c r="S382" s="13" t="s">
        <x:v>1726</x:v>
      </x:c>
      <x:c r="T382" s="13" t="s">
        <x:v>1773</x:v>
      </x:c>
      <x:c r="U382" s="13"/>
      <x:c r="V382" s="13" t="s">
        <x:v>797</x:v>
      </x:c>
      <x:c r="W382" s="14"/>
      <x:c r="X382" s="14"/>
      <x:c r="Y382" s="14"/>
      <x:c r="Z382" s="14"/>
    </x:row>
    <x:row r="383" spans="1:26" customHeight="1">
      <x:c r="A383" s="13" t="str">
        <x:f>O383</x:f>
        <x:v>정보부보관</x:v>
      </x:c>
      <x:c r="B383" s="25" t="str">
        <x:f>L383&amp;"-"&amp;TEXT(P383,"0000")</x:f>
        <x:v>20090515-0502</x:v>
      </x:c>
      <x:c r="C383" s="13" t="s">
        <x:v>1564</x:v>
      </x:c>
      <x:c r="D383" s="13" t="s">
        <x:v>1533</x:v>
      </x:c>
      <x:c r="E383" s="13" t="s">
        <x:v>1251</x:v>
      </x:c>
      <x:c r="F383" s="13" t="s">
        <x:v>2159</x:v>
      </x:c>
      <x:c r="G383" s="18" t="s">
        <x:v>1537</x:v>
      </x:c>
      <x:c r="H383" s="13" t="str">
        <x:f>IFERROR(VLOOKUP(O383,'정보화기기 명부'!A$2:B$187,2,FALSE),"")</x:f>
        <x:v/>
      </x:c>
      <x:c r="I383" s="13"/>
      <x:c r="J383" s="17"/>
      <x:c r="K383" s="13"/>
      <x:c r="L383" s="13">
        <x:v>20090515</x:v>
      </x:c>
      <x:c r="M383" s="13" t="s">
        <x:v>569</x:v>
      </x:c>
      <x:c r="N383" s="13" t="s">
        <x:v>1965</x:v>
      </x:c>
      <x:c r="O383" s="13" t="s">
        <x:v>1737</x:v>
      </x:c>
      <x:c r="P383" s="202">
        <x:v>502</x:v>
      </x:c>
      <x:c r="Q383" s="13" t="s">
        <x:v>1713</x:v>
      </x:c>
      <x:c r="R383" s="13" t="s">
        <x:v>1736</x:v>
      </x:c>
      <x:c r="S383" s="13" t="s">
        <x:v>1726</x:v>
      </x:c>
      <x:c r="T383" s="13" t="s">
        <x:v>1773</x:v>
      </x:c>
      <x:c r="U383" s="13"/>
      <x:c r="V383" s="13" t="s">
        <x:v>797</x:v>
      </x:c>
      <x:c r="W383" s="14"/>
      <x:c r="X383" s="14"/>
      <x:c r="Y383" s="14"/>
      <x:c r="Z383" s="14"/>
    </x:row>
    <x:row r="384" spans="1:26" customHeight="1">
      <x:c r="A384" s="13" t="str">
        <x:f>O384</x:f>
        <x:v>정보부보관</x:v>
      </x:c>
      <x:c r="B384" s="25" t="str">
        <x:f>L384&amp;"-"&amp;TEXT(P384,"0000")</x:f>
        <x:v>20090515-0503</x:v>
      </x:c>
      <x:c r="C384" s="13" t="s">
        <x:v>1564</x:v>
      </x:c>
      <x:c r="D384" s="13" t="s">
        <x:v>1533</x:v>
      </x:c>
      <x:c r="E384" s="13" t="s">
        <x:v>1251</x:v>
      </x:c>
      <x:c r="F384" s="13" t="s">
        <x:v>2159</x:v>
      </x:c>
      <x:c r="G384" s="18" t="s">
        <x:v>1537</x:v>
      </x:c>
      <x:c r="H384" s="13" t="str">
        <x:f>IFERROR(VLOOKUP(O384,'정보화기기 명부'!A$2:B$187,2,FALSE),"")</x:f>
        <x:v/>
      </x:c>
      <x:c r="I384" s="13"/>
      <x:c r="J384" s="17"/>
      <x:c r="K384" s="13"/>
      <x:c r="L384" s="13">
        <x:v>20090515</x:v>
      </x:c>
      <x:c r="M384" s="13" t="s">
        <x:v>569</x:v>
      </x:c>
      <x:c r="N384" s="13" t="s">
        <x:v>1965</x:v>
      </x:c>
      <x:c r="O384" s="13" t="s">
        <x:v>1737</x:v>
      </x:c>
      <x:c r="P384" s="202">
        <x:v>503</x:v>
      </x:c>
      <x:c r="Q384" s="13" t="s">
        <x:v>815</x:v>
      </x:c>
      <x:c r="R384" s="13" t="s">
        <x:v>1736</x:v>
      </x:c>
      <x:c r="S384" s="13" t="s">
        <x:v>1726</x:v>
      </x:c>
      <x:c r="T384" s="13" t="s">
        <x:v>1773</x:v>
      </x:c>
      <x:c r="U384" s="13"/>
      <x:c r="V384" s="13" t="s">
        <x:v>797</x:v>
      </x:c>
      <x:c r="W384" s="14"/>
      <x:c r="X384" s="14"/>
      <x:c r="Y384" s="14"/>
      <x:c r="Z384" s="14"/>
    </x:row>
    <x:row r="385" spans="1:26" customHeight="1">
      <x:c r="A385" s="13" t="str">
        <x:f>O385</x:f>
        <x:v>정보부보관</x:v>
      </x:c>
      <x:c r="B385" s="25" t="str">
        <x:f>L385&amp;"-"&amp;TEXT(P385,"0000")</x:f>
        <x:v>20090515-0504</x:v>
      </x:c>
      <x:c r="C385" s="13" t="s">
        <x:v>1564</x:v>
      </x:c>
      <x:c r="D385" s="13" t="s">
        <x:v>1533</x:v>
      </x:c>
      <x:c r="E385" s="13" t="s">
        <x:v>1251</x:v>
      </x:c>
      <x:c r="F385" s="13" t="s">
        <x:v>2159</x:v>
      </x:c>
      <x:c r="G385" s="18" t="s">
        <x:v>1537</x:v>
      </x:c>
      <x:c r="H385" s="13" t="str">
        <x:f>IFERROR(VLOOKUP(O385,'정보화기기 명부'!A$2:B$187,2,FALSE),"")</x:f>
        <x:v/>
      </x:c>
      <x:c r="I385" s="13"/>
      <x:c r="J385" s="17"/>
      <x:c r="K385" s="13"/>
      <x:c r="L385" s="13">
        <x:v>20090515</x:v>
      </x:c>
      <x:c r="M385" s="13" t="s">
        <x:v>569</x:v>
      </x:c>
      <x:c r="N385" s="13" t="s">
        <x:v>1965</x:v>
      </x:c>
      <x:c r="O385" s="13" t="s">
        <x:v>1737</x:v>
      </x:c>
      <x:c r="P385" s="202">
        <x:v>504</x:v>
      </x:c>
      <x:c r="Q385" s="13" t="s">
        <x:v>1713</x:v>
      </x:c>
      <x:c r="R385" s="13" t="s">
        <x:v>1736</x:v>
      </x:c>
      <x:c r="S385" s="13" t="s">
        <x:v>1726</x:v>
      </x:c>
      <x:c r="T385" s="13" t="s">
        <x:v>1773</x:v>
      </x:c>
      <x:c r="U385" s="13"/>
      <x:c r="V385" s="13" t="s">
        <x:v>797</x:v>
      </x:c>
      <x:c r="W385" s="14"/>
      <x:c r="X385" s="14"/>
      <x:c r="Y385" s="14"/>
      <x:c r="Z385" s="14"/>
    </x:row>
    <x:row r="386" spans="1:26" customHeight="1">
      <x:c r="A386" s="13" t="str">
        <x:f>O386</x:f>
        <x:v>정보부보관</x:v>
      </x:c>
      <x:c r="B386" s="25" t="str">
        <x:f>L386&amp;"-"&amp;TEXT(P386,"0000")</x:f>
        <x:v>20090515-0505</x:v>
      </x:c>
      <x:c r="C386" s="13" t="s">
        <x:v>1564</x:v>
      </x:c>
      <x:c r="D386" s="13" t="s">
        <x:v>1533</x:v>
      </x:c>
      <x:c r="E386" s="13" t="s">
        <x:v>1251</x:v>
      </x:c>
      <x:c r="F386" s="13" t="s">
        <x:v>2159</x:v>
      </x:c>
      <x:c r="G386" s="13" t="s">
        <x:v>1537</x:v>
      </x:c>
      <x:c r="H386" s="13" t="str">
        <x:f>IFERROR(VLOOKUP(O386,'정보화기기 명부'!A$2:B$187,2,FALSE),"")</x:f>
        <x:v/>
      </x:c>
      <x:c r="I386" s="13"/>
      <x:c r="J386" s="13"/>
      <x:c r="K386" s="13"/>
      <x:c r="L386" s="13">
        <x:v>20090515</x:v>
      </x:c>
      <x:c r="M386" s="13" t="s">
        <x:v>569</x:v>
      </x:c>
      <x:c r="N386" s="13" t="s">
        <x:v>1965</x:v>
      </x:c>
      <x:c r="O386" s="13" t="s">
        <x:v>1737</x:v>
      </x:c>
      <x:c r="P386" s="202">
        <x:v>505</x:v>
      </x:c>
      <x:c r="Q386" s="13" t="s">
        <x:v>1713</x:v>
      </x:c>
      <x:c r="R386" s="13" t="s">
        <x:v>1736</x:v>
      </x:c>
      <x:c r="S386" s="13" t="s">
        <x:v>1726</x:v>
      </x:c>
      <x:c r="T386" s="13" t="s">
        <x:v>1773</x:v>
      </x:c>
      <x:c r="U386" s="13"/>
      <x:c r="V386" s="13" t="s">
        <x:v>797</x:v>
      </x:c>
      <x:c r="W386" s="14"/>
      <x:c r="X386" s="14"/>
      <x:c r="Y386" s="14"/>
      <x:c r="Z386" s="14"/>
    </x:row>
    <x:row r="387" spans="1:26" customHeight="1">
      <x:c r="A387" s="13" t="str">
        <x:f>O387</x:f>
        <x:v>정보부보관</x:v>
      </x:c>
      <x:c r="B387" s="25" t="str">
        <x:f>L387&amp;"-"&amp;TEXT(P387,"0000")</x:f>
        <x:v>20090515-0506</x:v>
      </x:c>
      <x:c r="C387" s="13" t="s">
        <x:v>1564</x:v>
      </x:c>
      <x:c r="D387" s="13" t="s">
        <x:v>1533</x:v>
      </x:c>
      <x:c r="E387" s="13" t="s">
        <x:v>1251</x:v>
      </x:c>
      <x:c r="F387" s="13" t="s">
        <x:v>2159</x:v>
      </x:c>
      <x:c r="G387" s="13" t="s">
        <x:v>1537</x:v>
      </x:c>
      <x:c r="H387" s="13" t="str">
        <x:f>IFERROR(VLOOKUP(O387,'정보화기기 명부'!A$2:B$187,2,FALSE),"")</x:f>
        <x:v/>
      </x:c>
      <x:c r="I387" s="13"/>
      <x:c r="J387" s="13"/>
      <x:c r="K387" s="13"/>
      <x:c r="L387" s="13">
        <x:v>20090515</x:v>
      </x:c>
      <x:c r="M387" s="13" t="s">
        <x:v>569</x:v>
      </x:c>
      <x:c r="N387" s="13" t="s">
        <x:v>1965</x:v>
      </x:c>
      <x:c r="O387" s="13" t="s">
        <x:v>1737</x:v>
      </x:c>
      <x:c r="P387" s="202">
        <x:v>506</x:v>
      </x:c>
      <x:c r="Q387" s="13" t="s">
        <x:v>1713</x:v>
      </x:c>
      <x:c r="R387" s="13" t="s">
        <x:v>1736</x:v>
      </x:c>
      <x:c r="S387" s="13" t="s">
        <x:v>1726</x:v>
      </x:c>
      <x:c r="T387" s="13" t="s">
        <x:v>1773</x:v>
      </x:c>
      <x:c r="U387" s="13"/>
      <x:c r="V387" s="13" t="s">
        <x:v>797</x:v>
      </x:c>
      <x:c r="W387" s="14"/>
      <x:c r="X387" s="14"/>
      <x:c r="Y387" s="14"/>
      <x:c r="Z387" s="14"/>
    </x:row>
    <x:row r="388" spans="1:26" ht="13.5" customHeight="1">
      <x:c r="A388" s="13"/>
      <x:c r="B388" s="25" t="str">
        <x:f>L388&amp;"-"&amp;TEXT(P388,"0000")</x:f>
        <x:v>20090515-0534</x:v>
      </x:c>
      <x:c r="C388" s="13" t="s">
        <x:v>1978</x:v>
      </x:c>
      <x:c r="D388" s="13" t="s">
        <x:v>1533</x:v>
      </x:c>
      <x:c r="E388" s="13" t="s">
        <x:v>1568</x:v>
      </x:c>
      <x:c r="F388" s="13" t="s">
        <x:v>2160</x:v>
      </x:c>
      <x:c r="G388" s="18" t="s">
        <x:v>1537</x:v>
      </x:c>
      <x:c r="H388" s="13" t="str">
        <x:f>IFERROR(VLOOKUP(O388,'정보화기기 명부'!A$2:B$187,2,FALSE),"")</x:f>
        <x:v/>
      </x:c>
      <x:c r="I388" s="13"/>
      <x:c r="J388" s="17" t="s">
        <x:v>1751</x:v>
      </x:c>
      <x:c r="K388" s="17"/>
      <x:c r="L388" s="13">
        <x:v>20090515</x:v>
      </x:c>
      <x:c r="M388" s="13" t="s">
        <x:v>556</x:v>
      </x:c>
      <x:c r="N388" s="13" t="s">
        <x:v>1965</x:v>
      </x:c>
      <x:c r="O388" s="13" t="s">
        <x:v>3147</x:v>
      </x:c>
      <x:c r="P388" s="202">
        <x:v>534</x:v>
      </x:c>
      <x:c r="Q388" s="13" t="s">
        <x:v>572</x:v>
      </x:c>
      <x:c r="R388" s="13" t="s">
        <x:v>1704</x:v>
      </x:c>
      <x:c r="S388" s="13" t="s">
        <x:v>1726</x:v>
      </x:c>
      <x:c r="T388" s="13" t="s">
        <x:v>1632</x:v>
      </x:c>
      <x:c r="U388" s="13"/>
      <x:c r="V388" s="13" t="s">
        <x:v>797</x:v>
      </x:c>
      <x:c r="W388" s="14"/>
      <x:c r="X388" s="14"/>
      <x:c r="Y388" s="14"/>
      <x:c r="Z388" s="14"/>
    </x:row>
    <x:row r="389" spans="1:26" ht="13.5" customHeight="1">
      <x:c r="A389" s="13"/>
      <x:c r="B389" s="25" t="str">
        <x:f>L389&amp;"-"&amp;TEXT(P389,"0000")</x:f>
        <x:v>20090515-0533</x:v>
      </x:c>
      <x:c r="C389" s="13" t="s">
        <x:v>1978</x:v>
      </x:c>
      <x:c r="D389" s="13" t="s">
        <x:v>1533</x:v>
      </x:c>
      <x:c r="E389" s="13" t="s">
        <x:v>1568</x:v>
      </x:c>
      <x:c r="F389" s="20" t="s">
        <x:v>2160</x:v>
      </x:c>
      <x:c r="G389" s="13" t="s">
        <x:v>1537</x:v>
      </x:c>
      <x:c r="H389" s="13" t="str">
        <x:f>IFERROR(VLOOKUP(O389,'정보화기기 명부'!A$2:B$187,2,FALSE),"")</x:f>
        <x:v/>
      </x:c>
      <x:c r="I389" s="13"/>
      <x:c r="J389" s="13" t="s">
        <x:v>1751</x:v>
      </x:c>
      <x:c r="K389" s="13"/>
      <x:c r="L389" s="13">
        <x:v>20090515</x:v>
      </x:c>
      <x:c r="M389" s="13" t="s">
        <x:v>556</x:v>
      </x:c>
      <x:c r="N389" s="13" t="s">
        <x:v>1965</x:v>
      </x:c>
      <x:c r="O389" s="13" t="s">
        <x:v>3147</x:v>
      </x:c>
      <x:c r="P389" s="202">
        <x:v>533</x:v>
      </x:c>
      <x:c r="Q389" s="13" t="s">
        <x:v>572</x:v>
      </x:c>
      <x:c r="R389" s="13" t="s">
        <x:v>1704</x:v>
      </x:c>
      <x:c r="S389" s="13" t="s">
        <x:v>1726</x:v>
      </x:c>
      <x:c r="T389" s="13" t="s">
        <x:v>1632</x:v>
      </x:c>
      <x:c r="U389" s="13"/>
      <x:c r="V389" s="13" t="s">
        <x:v>797</x:v>
      </x:c>
      <x:c r="W389" s="14"/>
      <x:c r="X389" s="14"/>
      <x:c r="Y389" s="14"/>
      <x:c r="Z389" s="14"/>
    </x:row>
    <x:row r="390" spans="1:26" ht="13.5" customHeight="1">
      <x:c r="A390" s="13" t="str">
        <x:f>O390</x:f>
        <x:v>김현재</x:v>
      </x:c>
      <x:c r="B390" s="25" t="str">
        <x:f>L390&amp;"-"&amp;TEXT(P390,"0000")</x:f>
        <x:v>20090515-0532</x:v>
      </x:c>
      <x:c r="C390" s="13" t="s">
        <x:v>1978</x:v>
      </x:c>
      <x:c r="D390" s="13" t="s">
        <x:v>1533</x:v>
      </x:c>
      <x:c r="E390" s="13" t="s">
        <x:v>1543</x:v>
      </x:c>
      <x:c r="F390" s="13" t="s">
        <x:v>2160</x:v>
      </x:c>
      <x:c r="G390" s="13" t="s">
        <x:v>1537</x:v>
      </x:c>
      <x:c r="H390" s="13" t="str">
        <x:f>IFERROR(VLOOKUP(O390,'정보화기기 명부'!A$2:B$187,2,FALSE),"")</x:f>
        <x:v/>
      </x:c>
      <x:c r="I390" s="13"/>
      <x:c r="J390" s="13"/>
      <x:c r="K390" s="13"/>
      <x:c r="L390" s="13">
        <x:v>20090515</x:v>
      </x:c>
      <x:c r="M390" s="13" t="s">
        <x:v>556</x:v>
      </x:c>
      <x:c r="N390" s="13" t="s">
        <x:v>1965</x:v>
      </x:c>
      <x:c r="O390" s="13" t="s">
        <x:v>1279</x:v>
      </x:c>
      <x:c r="P390" s="202">
        <x:v>532</x:v>
      </x:c>
      <x:c r="Q390" s="13" t="s">
        <x:v>572</x:v>
      </x:c>
      <x:c r="R390" s="13" t="s">
        <x:v>1704</x:v>
      </x:c>
      <x:c r="S390" s="13" t="s">
        <x:v>1726</x:v>
      </x:c>
      <x:c r="T390" s="13" t="s">
        <x:v>1632</x:v>
      </x:c>
      <x:c r="U390" s="13"/>
      <x:c r="V390" s="13" t="s">
        <x:v>797</x:v>
      </x:c>
      <x:c r="W390" s="14"/>
      <x:c r="X390" s="14"/>
      <x:c r="Y390" s="14"/>
      <x:c r="Z390" s="14"/>
    </x:row>
    <x:row r="391" spans="1:26" ht="13.5" customHeight="1">
      <x:c r="A391" s="13"/>
      <x:c r="B391" s="25" t="str">
        <x:f>L391&amp;"-"&amp;TEXT(P391,"0000")</x:f>
        <x:v>20090515-0531</x:v>
      </x:c>
      <x:c r="C391" s="13" t="s">
        <x:v>1978</x:v>
      </x:c>
      <x:c r="D391" s="13" t="s">
        <x:v>1533</x:v>
      </x:c>
      <x:c r="E391" s="13" t="s">
        <x:v>1568</x:v>
      </x:c>
      <x:c r="F391" s="13" t="s">
        <x:v>2160</x:v>
      </x:c>
      <x:c r="G391" s="13" t="s">
        <x:v>1537</x:v>
      </x:c>
      <x:c r="H391" s="13" t="str">
        <x:f>IFERROR(VLOOKUP(O391,'정보화기기 명부'!A$2:B$187,2,FALSE),"")</x:f>
        <x:v/>
      </x:c>
      <x:c r="I391" s="13"/>
      <x:c r="J391" s="13" t="s">
        <x:v>1751</x:v>
      </x:c>
      <x:c r="K391" s="13"/>
      <x:c r="L391" s="13">
        <x:v>20090515</x:v>
      </x:c>
      <x:c r="M391" s="13" t="s">
        <x:v>556</x:v>
      </x:c>
      <x:c r="N391" s="13" t="s">
        <x:v>1965</x:v>
      </x:c>
      <x:c r="O391" s="13" t="s">
        <x:v>3147</x:v>
      </x:c>
      <x:c r="P391" s="202">
        <x:v>531</x:v>
      </x:c>
      <x:c r="Q391" s="13" t="s">
        <x:v>572</x:v>
      </x:c>
      <x:c r="R391" s="13" t="s">
        <x:v>1704</x:v>
      </x:c>
      <x:c r="S391" s="13" t="s">
        <x:v>1726</x:v>
      </x:c>
      <x:c r="T391" s="13" t="s">
        <x:v>1632</x:v>
      </x:c>
      <x:c r="U391" s="13"/>
      <x:c r="V391" s="13" t="s">
        <x:v>797</x:v>
      </x:c>
      <x:c r="W391" s="14"/>
      <x:c r="X391" s="14"/>
      <x:c r="Y391" s="14"/>
      <x:c r="Z391" s="14"/>
    </x:row>
    <x:row r="392" spans="1:26" ht="13.5" customHeight="1">
      <x:c r="A392" s="13"/>
      <x:c r="B392" s="25" t="str">
        <x:f>L392&amp;"-"&amp;TEXT(P392,"0000")</x:f>
        <x:v>20090515-0530</x:v>
      </x:c>
      <x:c r="C392" s="13" t="s">
        <x:v>1978</x:v>
      </x:c>
      <x:c r="D392" s="13" t="s">
        <x:v>1533</x:v>
      </x:c>
      <x:c r="E392" s="13" t="s">
        <x:v>1568</x:v>
      </x:c>
      <x:c r="F392" s="13" t="s">
        <x:v>2160</x:v>
      </x:c>
      <x:c r="G392" s="13" t="s">
        <x:v>1537</x:v>
      </x:c>
      <x:c r="H392" s="13" t="str">
        <x:f>IFERROR(VLOOKUP(O392,'정보화기기 명부'!A$2:B$187,2,FALSE),"")</x:f>
        <x:v/>
      </x:c>
      <x:c r="I392" s="13"/>
      <x:c r="J392" s="13" t="s">
        <x:v>1751</x:v>
      </x:c>
      <x:c r="K392" s="13"/>
      <x:c r="L392" s="13">
        <x:v>20090515</x:v>
      </x:c>
      <x:c r="M392" s="13" t="s">
        <x:v>556</x:v>
      </x:c>
      <x:c r="N392" s="13" t="s">
        <x:v>1965</x:v>
      </x:c>
      <x:c r="O392" s="13" t="s">
        <x:v>1283</x:v>
      </x:c>
      <x:c r="P392" s="202">
        <x:v>530</x:v>
      </x:c>
      <x:c r="Q392" s="13" t="s">
        <x:v>572</x:v>
      </x:c>
      <x:c r="R392" s="13" t="s">
        <x:v>1704</x:v>
      </x:c>
      <x:c r="S392" s="13" t="s">
        <x:v>1726</x:v>
      </x:c>
      <x:c r="T392" s="13" t="s">
        <x:v>1632</x:v>
      </x:c>
      <x:c r="U392" s="13"/>
      <x:c r="V392" s="13" t="s">
        <x:v>797</x:v>
      </x:c>
      <x:c r="W392" s="14"/>
      <x:c r="X392" s="14"/>
      <x:c r="Y392" s="14"/>
      <x:c r="Z392" s="14"/>
    </x:row>
    <x:row r="393" spans="1:26" ht="13.5" customHeight="1">
      <x:c r="A393" s="13"/>
      <x:c r="B393" s="25" t="str">
        <x:f>L393&amp;"-"&amp;TEXT(P393,"0000")</x:f>
        <x:v>20090515-0529</x:v>
      </x:c>
      <x:c r="C393" s="13" t="s">
        <x:v>1978</x:v>
      </x:c>
      <x:c r="D393" s="13" t="s">
        <x:v>1533</x:v>
      </x:c>
      <x:c r="E393" s="13" t="s">
        <x:v>1568</x:v>
      </x:c>
      <x:c r="F393" s="13" t="s">
        <x:v>2160</x:v>
      </x:c>
      <x:c r="G393" s="13" t="s">
        <x:v>1537</x:v>
      </x:c>
      <x:c r="H393" s="13" t="str">
        <x:f>IFERROR(VLOOKUP(O393,'정보화기기 명부'!A$2:B$187,2,FALSE),"")</x:f>
        <x:v/>
      </x:c>
      <x:c r="I393" s="13"/>
      <x:c r="J393" s="13" t="s">
        <x:v>1751</x:v>
      </x:c>
      <x:c r="K393" s="13"/>
      <x:c r="L393" s="13">
        <x:v>20090515</x:v>
      </x:c>
      <x:c r="M393" s="13" t="s">
        <x:v>556</x:v>
      </x:c>
      <x:c r="N393" s="13" t="s">
        <x:v>1965</x:v>
      </x:c>
      <x:c r="O393" s="13" t="s">
        <x:v>3147</x:v>
      </x:c>
      <x:c r="P393" s="202">
        <x:v>529</x:v>
      </x:c>
      <x:c r="Q393" s="13" t="s">
        <x:v>572</x:v>
      </x:c>
      <x:c r="R393" s="13" t="s">
        <x:v>1704</x:v>
      </x:c>
      <x:c r="S393" s="13" t="s">
        <x:v>1726</x:v>
      </x:c>
      <x:c r="T393" s="13" t="s">
        <x:v>1632</x:v>
      </x:c>
      <x:c r="U393" s="13"/>
      <x:c r="V393" s="13" t="s">
        <x:v>797</x:v>
      </x:c>
      <x:c r="W393" s="14"/>
      <x:c r="X393" s="14"/>
      <x:c r="Y393" s="14"/>
      <x:c r="Z393" s="14"/>
    </x:row>
    <x:row r="394" spans="1:26" ht="13.5" customHeight="1">
      <x:c r="A394" s="13"/>
      <x:c r="B394" s="25" t="str">
        <x:f>L394&amp;"-"&amp;TEXT(P394,"0000")</x:f>
        <x:v>20090515-0528</x:v>
      </x:c>
      <x:c r="C394" s="13" t="s">
        <x:v>1978</x:v>
      </x:c>
      <x:c r="D394" s="13" t="s">
        <x:v>1533</x:v>
      </x:c>
      <x:c r="E394" s="13" t="s">
        <x:v>1568</x:v>
      </x:c>
      <x:c r="F394" s="19" t="s">
        <x:v>2160</x:v>
      </x:c>
      <x:c r="G394" s="13" t="s">
        <x:v>1537</x:v>
      </x:c>
      <x:c r="H394" s="13" t="str">
        <x:f>IFERROR(VLOOKUP(O394,'정보화기기 명부'!A$2:B$187,2,FALSE),"")</x:f>
        <x:v/>
      </x:c>
      <x:c r="I394" s="13"/>
      <x:c r="J394" s="13" t="s">
        <x:v>1751</x:v>
      </x:c>
      <x:c r="K394" s="13"/>
      <x:c r="L394" s="13">
        <x:v>20090515</x:v>
      </x:c>
      <x:c r="M394" s="13" t="s">
        <x:v>556</x:v>
      </x:c>
      <x:c r="N394" s="13" t="s">
        <x:v>1965</x:v>
      </x:c>
      <x:c r="O394" s="13" t="s">
        <x:v>3147</x:v>
      </x:c>
      <x:c r="P394" s="202">
        <x:v>528</x:v>
      </x:c>
      <x:c r="Q394" s="13" t="s">
        <x:v>572</x:v>
      </x:c>
      <x:c r="R394" s="13" t="s">
        <x:v>1704</x:v>
      </x:c>
      <x:c r="S394" s="13" t="s">
        <x:v>1726</x:v>
      </x:c>
      <x:c r="T394" s="13" t="s">
        <x:v>1632</x:v>
      </x:c>
      <x:c r="U394" s="13"/>
      <x:c r="V394" s="13" t="s">
        <x:v>797</x:v>
      </x:c>
      <x:c r="W394" s="14"/>
      <x:c r="X394" s="14"/>
      <x:c r="Y394" s="14"/>
      <x:c r="Z394" s="14"/>
    </x:row>
    <x:row r="395" spans="1:22" s="14" customFormat="1" ht="13.5" customHeight="1">
      <x:c r="A395" s="13"/>
      <x:c r="B395" s="25" t="str">
        <x:f>L395&amp;"-"&amp;TEXT(P395,"0000")</x:f>
        <x:v>20090515-0527</x:v>
      </x:c>
      <x:c r="C395" s="13" t="s">
        <x:v>1978</x:v>
      </x:c>
      <x:c r="D395" s="13" t="s">
        <x:v>1533</x:v>
      </x:c>
      <x:c r="E395" s="13" t="s">
        <x:v>1568</x:v>
      </x:c>
      <x:c r="F395" s="13" t="s">
        <x:v>2160</x:v>
      </x:c>
      <x:c r="G395" s="18" t="s">
        <x:v>1537</x:v>
      </x:c>
      <x:c r="H395" s="13" t="str">
        <x:f>IFERROR(VLOOKUP(O395,'정보화기기 명부'!A$2:B$187,2,FALSE),"")</x:f>
        <x:v/>
      </x:c>
      <x:c r="I395" s="13"/>
      <x:c r="J395" s="17" t="s">
        <x:v>1751</x:v>
      </x:c>
      <x:c r="K395" s="13"/>
      <x:c r="L395" s="13">
        <x:v>20090515</x:v>
      </x:c>
      <x:c r="M395" s="13" t="s">
        <x:v>556</x:v>
      </x:c>
      <x:c r="N395" s="13" t="s">
        <x:v>1965</x:v>
      </x:c>
      <x:c r="O395" s="13" t="s">
        <x:v>3147</x:v>
      </x:c>
      <x:c r="P395" s="202">
        <x:v>527</x:v>
      </x:c>
      <x:c r="Q395" s="13" t="s">
        <x:v>572</x:v>
      </x:c>
      <x:c r="R395" s="13" t="s">
        <x:v>1704</x:v>
      </x:c>
      <x:c r="S395" s="13" t="s">
        <x:v>1726</x:v>
      </x:c>
      <x:c r="T395" s="13" t="s">
        <x:v>1632</x:v>
      </x:c>
      <x:c r="U395" s="13"/>
      <x:c r="V395" s="13" t="s">
        <x:v>797</x:v>
      </x:c>
    </x:row>
    <x:row r="396" spans="1:22" s="14" customFormat="1" ht="13.5" customHeight="1">
      <x:c r="A396" s="13"/>
      <x:c r="B396" s="25" t="str">
        <x:f>L396&amp;"-"&amp;TEXT(P396,"0000")</x:f>
        <x:v>20090515-0526</x:v>
      </x:c>
      <x:c r="C396" s="13" t="s">
        <x:v>1978</x:v>
      </x:c>
      <x:c r="D396" s="13" t="s">
        <x:v>1533</x:v>
      </x:c>
      <x:c r="E396" s="13" t="s">
        <x:v>1568</x:v>
      </x:c>
      <x:c r="F396" s="13" t="s">
        <x:v>2160</x:v>
      </x:c>
      <x:c r="G396" s="18" t="s">
        <x:v>1537</x:v>
      </x:c>
      <x:c r="H396" s="13" t="str">
        <x:f>IFERROR(VLOOKUP(O396,'정보화기기 명부'!A$2:B$187,2,FALSE),"")</x:f>
        <x:v/>
      </x:c>
      <x:c r="I396" s="13"/>
      <x:c r="J396" s="17" t="s">
        <x:v>1751</x:v>
      </x:c>
      <x:c r="K396" s="17"/>
      <x:c r="L396" s="13">
        <x:v>20090515</x:v>
      </x:c>
      <x:c r="M396" s="13" t="s">
        <x:v>556</x:v>
      </x:c>
      <x:c r="N396" s="13" t="s">
        <x:v>1965</x:v>
      </x:c>
      <x:c r="O396" s="13" t="s">
        <x:v>3147</x:v>
      </x:c>
      <x:c r="P396" s="202">
        <x:v>526</x:v>
      </x:c>
      <x:c r="Q396" s="13" t="s">
        <x:v>572</x:v>
      </x:c>
      <x:c r="R396" s="13" t="s">
        <x:v>1704</x:v>
      </x:c>
      <x:c r="S396" s="13" t="s">
        <x:v>1726</x:v>
      </x:c>
      <x:c r="T396" s="13" t="s">
        <x:v>1632</x:v>
      </x:c>
      <x:c r="U396" s="13"/>
      <x:c r="V396" s="13" t="s">
        <x:v>797</x:v>
      </x:c>
    </x:row>
    <x:row r="397" spans="1:26" ht="13.5" customHeight="1">
      <x:c r="A397" s="13"/>
      <x:c r="B397" s="25" t="str">
        <x:f>L397&amp;"-"&amp;TEXT(P397,"0000")</x:f>
        <x:v>20090515-0525</x:v>
      </x:c>
      <x:c r="C397" s="13" t="s">
        <x:v>1978</x:v>
      </x:c>
      <x:c r="D397" s="13" t="s">
        <x:v>1533</x:v>
      </x:c>
      <x:c r="E397" s="13" t="s">
        <x:v>1568</x:v>
      </x:c>
      <x:c r="F397" s="13" t="s">
        <x:v>2160</x:v>
      </x:c>
      <x:c r="G397" s="18" t="s">
        <x:v>1537</x:v>
      </x:c>
      <x:c r="H397" s="13" t="str">
        <x:f>IFERROR(VLOOKUP(O397,'정보화기기 명부'!A$2:B$187,2,FALSE),"")</x:f>
        <x:v/>
      </x:c>
      <x:c r="I397" s="13"/>
      <x:c r="J397" s="17" t="s">
        <x:v>1751</x:v>
      </x:c>
      <x:c r="K397" s="17"/>
      <x:c r="L397" s="13">
        <x:v>20090515</x:v>
      </x:c>
      <x:c r="M397" s="13" t="s">
        <x:v>556</x:v>
      </x:c>
      <x:c r="N397" s="13" t="s">
        <x:v>1965</x:v>
      </x:c>
      <x:c r="O397" s="13" t="s">
        <x:v>3147</x:v>
      </x:c>
      <x:c r="P397" s="202">
        <x:v>525</x:v>
      </x:c>
      <x:c r="Q397" s="13" t="s">
        <x:v>572</x:v>
      </x:c>
      <x:c r="R397" s="13" t="s">
        <x:v>1704</x:v>
      </x:c>
      <x:c r="S397" s="13" t="s">
        <x:v>1726</x:v>
      </x:c>
      <x:c r="T397" s="13" t="s">
        <x:v>1632</x:v>
      </x:c>
      <x:c r="U397" s="13"/>
      <x:c r="V397" s="13" t="s">
        <x:v>797</x:v>
      </x:c>
      <x:c r="W397" s="14"/>
      <x:c r="X397" s="14"/>
      <x:c r="Y397" s="14"/>
      <x:c r="Z397" s="14"/>
    </x:row>
    <x:row r="398" spans="1:22" s="14" customFormat="1" ht="13.5" customHeight="1">
      <x:c r="A398" s="13"/>
      <x:c r="B398" s="25" t="str">
        <x:f>L398&amp;"-"&amp;TEXT(P398,"0000")</x:f>
        <x:v>20090515-0524</x:v>
      </x:c>
      <x:c r="C398" s="13" t="s">
        <x:v>1978</x:v>
      </x:c>
      <x:c r="D398" s="13" t="s">
        <x:v>1533</x:v>
      </x:c>
      <x:c r="E398" s="13" t="s">
        <x:v>1568</x:v>
      </x:c>
      <x:c r="F398" s="13" t="s">
        <x:v>2160</x:v>
      </x:c>
      <x:c r="G398" s="13" t="s">
        <x:v>1537</x:v>
      </x:c>
      <x:c r="H398" s="13" t="str">
        <x:f>IFERROR(VLOOKUP(O398,'정보화기기 명부'!A$2:B$187,2,FALSE),"")</x:f>
        <x:v/>
      </x:c>
      <x:c r="I398" s="13"/>
      <x:c r="J398" s="13" t="s">
        <x:v>1751</x:v>
      </x:c>
      <x:c r="K398" s="13"/>
      <x:c r="L398" s="13">
        <x:v>20090515</x:v>
      </x:c>
      <x:c r="M398" s="13" t="s">
        <x:v>556</x:v>
      </x:c>
      <x:c r="N398" s="13" t="s">
        <x:v>1965</x:v>
      </x:c>
      <x:c r="O398" s="13" t="s">
        <x:v>1306</x:v>
      </x:c>
      <x:c r="P398" s="202">
        <x:v>524</x:v>
      </x:c>
      <x:c r="Q398" s="13" t="s">
        <x:v>572</x:v>
      </x:c>
      <x:c r="R398" s="13" t="s">
        <x:v>1704</x:v>
      </x:c>
      <x:c r="S398" s="13" t="s">
        <x:v>1726</x:v>
      </x:c>
      <x:c r="T398" s="13" t="s">
        <x:v>1632</x:v>
      </x:c>
      <x:c r="U398" s="13"/>
      <x:c r="V398" s="13" t="s">
        <x:v>797</x:v>
      </x:c>
    </x:row>
    <x:row r="399" spans="1:26" ht="13.5" customHeight="1">
      <x:c r="A399" s="13"/>
      <x:c r="B399" s="25" t="str">
        <x:f>L399&amp;"-"&amp;TEXT(P399,"0000")</x:f>
        <x:v>20090515-0523</x:v>
      </x:c>
      <x:c r="C399" s="13" t="s">
        <x:v>1978</x:v>
      </x:c>
      <x:c r="D399" s="13" t="s">
        <x:v>1533</x:v>
      </x:c>
      <x:c r="E399" s="13" t="s">
        <x:v>1568</x:v>
      </x:c>
      <x:c r="F399" s="13" t="s">
        <x:v>2160</x:v>
      </x:c>
      <x:c r="G399" s="18" t="s">
        <x:v>1537</x:v>
      </x:c>
      <x:c r="H399" s="13" t="str">
        <x:f>IFERROR(VLOOKUP(O399,'정보화기기 명부'!A$2:B$187,2,FALSE),"")</x:f>
        <x:v/>
      </x:c>
      <x:c r="I399" s="13"/>
      <x:c r="J399" s="17" t="s">
        <x:v>1751</x:v>
      </x:c>
      <x:c r="K399" s="13"/>
      <x:c r="L399" s="13">
        <x:v>20090515</x:v>
      </x:c>
      <x:c r="M399" s="13" t="s">
        <x:v>556</x:v>
      </x:c>
      <x:c r="N399" s="13" t="s">
        <x:v>1965</x:v>
      </x:c>
      <x:c r="O399" s="13" t="s">
        <x:v>3147</x:v>
      </x:c>
      <x:c r="P399" s="202">
        <x:v>523</x:v>
      </x:c>
      <x:c r="Q399" s="13" t="s">
        <x:v>572</x:v>
      </x:c>
      <x:c r="R399" s="13" t="s">
        <x:v>1704</x:v>
      </x:c>
      <x:c r="S399" s="13" t="s">
        <x:v>1726</x:v>
      </x:c>
      <x:c r="T399" s="13" t="s">
        <x:v>1632</x:v>
      </x:c>
      <x:c r="U399" s="13"/>
      <x:c r="V399" s="13" t="s">
        <x:v>797</x:v>
      </x:c>
      <x:c r="W399" s="14"/>
      <x:c r="X399" s="14"/>
      <x:c r="Y399" s="14"/>
      <x:c r="Z399" s="14"/>
    </x:row>
    <x:row r="400" spans="1:22" s="14" customFormat="1" ht="13.5" customHeight="1">
      <x:c r="A400" s="13"/>
      <x:c r="B400" s="25" t="str">
        <x:f>L400&amp;"-"&amp;TEXT(P400,"0000")</x:f>
        <x:v>20090515-0522</x:v>
      </x:c>
      <x:c r="C400" s="13" t="s">
        <x:v>1978</x:v>
      </x:c>
      <x:c r="D400" s="13" t="s">
        <x:v>1533</x:v>
      </x:c>
      <x:c r="E400" s="13" t="s">
        <x:v>1568</x:v>
      </x:c>
      <x:c r="F400" s="13" t="s">
        <x:v>2160</x:v>
      </x:c>
      <x:c r="G400" s="18" t="s">
        <x:v>1537</x:v>
      </x:c>
      <x:c r="H400" s="13" t="str">
        <x:f>IFERROR(VLOOKUP(O400,'정보화기기 명부'!A$2:B$187,2,FALSE),"")</x:f>
        <x:v/>
      </x:c>
      <x:c r="I400" s="13"/>
      <x:c r="J400" s="17" t="s">
        <x:v>1751</x:v>
      </x:c>
      <x:c r="K400" s="17"/>
      <x:c r="L400" s="13">
        <x:v>20090515</x:v>
      </x:c>
      <x:c r="M400" s="13" t="s">
        <x:v>556</x:v>
      </x:c>
      <x:c r="N400" s="13" t="s">
        <x:v>1965</x:v>
      </x:c>
      <x:c r="O400" s="13" t="s">
        <x:v>3147</x:v>
      </x:c>
      <x:c r="P400" s="202">
        <x:v>522</x:v>
      </x:c>
      <x:c r="Q400" s="13" t="s">
        <x:v>572</x:v>
      </x:c>
      <x:c r="R400" s="13" t="s">
        <x:v>1704</x:v>
      </x:c>
      <x:c r="S400" s="13" t="s">
        <x:v>1726</x:v>
      </x:c>
      <x:c r="T400" s="13" t="s">
        <x:v>1632</x:v>
      </x:c>
      <x:c r="U400" s="13"/>
      <x:c r="V400" s="13" t="s">
        <x:v>797</x:v>
      </x:c>
    </x:row>
    <x:row r="401" spans="1:26" ht="13.5" customHeight="1">
      <x:c r="A401" s="13" t="str">
        <x:f>O401</x:f>
        <x:v>정보부보관</x:v>
      </x:c>
      <x:c r="B401" s="25" t="str">
        <x:f>L401&amp;"-"&amp;TEXT(P401,"0000")</x:f>
        <x:v>20090515-0507</x:v>
      </x:c>
      <x:c r="C401" s="13" t="s">
        <x:v>1564</x:v>
      </x:c>
      <x:c r="D401" s="21" t="s">
        <x:v>1533</x:v>
      </x:c>
      <x:c r="E401" s="13" t="s">
        <x:v>1251</x:v>
      </x:c>
      <x:c r="F401" s="20" t="s">
        <x:v>2159</x:v>
      </x:c>
      <x:c r="G401" s="13" t="s">
        <x:v>1537</x:v>
      </x:c>
      <x:c r="H401" s="13" t="str">
        <x:f>IFERROR(VLOOKUP(O401,'정보화기기 명부'!A$2:B$187,2,FALSE),"")</x:f>
        <x:v/>
      </x:c>
      <x:c r="I401" s="13"/>
      <x:c r="J401" s="13"/>
      <x:c r="K401" s="17"/>
      <x:c r="L401" s="13">
        <x:v>20090515</x:v>
      </x:c>
      <x:c r="M401" s="13" t="s">
        <x:v>569</x:v>
      </x:c>
      <x:c r="N401" s="13" t="s">
        <x:v>1965</x:v>
      </x:c>
      <x:c r="O401" s="13" t="s">
        <x:v>1737</x:v>
      </x:c>
      <x:c r="P401" s="202">
        <x:v>507</x:v>
      </x:c>
      <x:c r="Q401" s="13" t="s">
        <x:v>815</x:v>
      </x:c>
      <x:c r="R401" s="13" t="s">
        <x:v>1736</x:v>
      </x:c>
      <x:c r="S401" s="13" t="s">
        <x:v>1726</x:v>
      </x:c>
      <x:c r="T401" s="13" t="s">
        <x:v>1773</x:v>
      </x:c>
      <x:c r="U401" s="13"/>
      <x:c r="V401" s="13" t="s">
        <x:v>797</x:v>
      </x:c>
      <x:c r="W401" s="14"/>
      <x:c r="X401" s="14"/>
      <x:c r="Y401" s="14"/>
      <x:c r="Z401" s="14"/>
    </x:row>
    <x:row r="402" spans="1:22" s="14" customFormat="1" ht="13.5" customHeight="1">
      <x:c r="A402" s="13" t="str">
        <x:f>O402</x:f>
        <x:v>정보부보관</x:v>
      </x:c>
      <x:c r="B402" s="25" t="str">
        <x:f>L402&amp;"-"&amp;TEXT(P402,"0000")</x:f>
        <x:v>20090515-0508</x:v>
      </x:c>
      <x:c r="C402" s="13" t="s">
        <x:v>1564</x:v>
      </x:c>
      <x:c r="D402" s="13" t="s">
        <x:v>1533</x:v>
      </x:c>
      <x:c r="E402" s="13" t="s">
        <x:v>1251</x:v>
      </x:c>
      <x:c r="F402" s="13" t="s">
        <x:v>2159</x:v>
      </x:c>
      <x:c r="G402" s="13" t="s">
        <x:v>1537</x:v>
      </x:c>
      <x:c r="H402" s="13" t="str">
        <x:f>IFERROR(VLOOKUP(O402,'정보화기기 명부'!A$2:B$187,2,FALSE),"")</x:f>
        <x:v/>
      </x:c>
      <x:c r="I402" s="13"/>
      <x:c r="J402" s="13"/>
      <x:c r="K402" s="13"/>
      <x:c r="L402" s="13">
        <x:v>20090515</x:v>
      </x:c>
      <x:c r="M402" s="13" t="s">
        <x:v>569</x:v>
      </x:c>
      <x:c r="N402" s="13" t="s">
        <x:v>1965</x:v>
      </x:c>
      <x:c r="O402" s="13" t="s">
        <x:v>1737</x:v>
      </x:c>
      <x:c r="P402" s="202">
        <x:v>508</x:v>
      </x:c>
      <x:c r="Q402" s="13" t="s">
        <x:v>1713</x:v>
      </x:c>
      <x:c r="R402" s="13" t="s">
        <x:v>1736</x:v>
      </x:c>
      <x:c r="S402" s="13" t="s">
        <x:v>1726</x:v>
      </x:c>
      <x:c r="T402" s="13" t="s">
        <x:v>1773</x:v>
      </x:c>
      <x:c r="U402" s="13"/>
      <x:c r="V402" s="13" t="s">
        <x:v>797</x:v>
      </x:c>
    </x:row>
    <x:row r="403" spans="1:22" s="14" customFormat="1" ht="13.5" customHeight="1">
      <x:c r="A403" s="13" t="str">
        <x:f>O403</x:f>
        <x:v>정보부보관</x:v>
      </x:c>
      <x:c r="B403" s="25" t="str">
        <x:f>L403&amp;"-"&amp;TEXT(P403,"0000")</x:f>
        <x:v>20090515-0509</x:v>
      </x:c>
      <x:c r="C403" s="13" t="s">
        <x:v>1564</x:v>
      </x:c>
      <x:c r="D403" s="13" t="s">
        <x:v>1533</x:v>
      </x:c>
      <x:c r="E403" s="13" t="s">
        <x:v>1251</x:v>
      </x:c>
      <x:c r="F403" s="13" t="s">
        <x:v>2159</x:v>
      </x:c>
      <x:c r="G403" s="13" t="s">
        <x:v>1537</x:v>
      </x:c>
      <x:c r="H403" s="13" t="str">
        <x:f>IFERROR(VLOOKUP(O403,'정보화기기 명부'!A$2:B$187,2,FALSE),"")</x:f>
        <x:v/>
      </x:c>
      <x:c r="I403" s="13"/>
      <x:c r="J403" s="13"/>
      <x:c r="K403" s="13"/>
      <x:c r="L403" s="13">
        <x:v>20090515</x:v>
      </x:c>
      <x:c r="M403" s="13" t="s">
        <x:v>569</x:v>
      </x:c>
      <x:c r="N403" s="13" t="s">
        <x:v>1965</x:v>
      </x:c>
      <x:c r="O403" s="13" t="s">
        <x:v>1737</x:v>
      </x:c>
      <x:c r="P403" s="202">
        <x:v>509</x:v>
      </x:c>
      <x:c r="Q403" s="13" t="s">
        <x:v>1713</x:v>
      </x:c>
      <x:c r="R403" s="13" t="s">
        <x:v>1736</x:v>
      </x:c>
      <x:c r="S403" s="13" t="s">
        <x:v>1726</x:v>
      </x:c>
      <x:c r="T403" s="13" t="s">
        <x:v>1773</x:v>
      </x:c>
      <x:c r="U403" s="13"/>
      <x:c r="V403" s="13" t="s">
        <x:v>797</x:v>
      </x:c>
    </x:row>
    <x:row r="404" spans="1:22" s="14" customFormat="1" ht="13.5" customHeight="1">
      <x:c r="A404" s="13" t="str">
        <x:f>O404</x:f>
        <x:v>정보부보관</x:v>
      </x:c>
      <x:c r="B404" s="25" t="str">
        <x:f>L404&amp;"-"&amp;TEXT(P404,"0000")</x:f>
        <x:v>20090515-0510</x:v>
      </x:c>
      <x:c r="C404" s="13" t="s">
        <x:v>1564</x:v>
      </x:c>
      <x:c r="D404" s="13" t="s">
        <x:v>1533</x:v>
      </x:c>
      <x:c r="E404" s="13" t="s">
        <x:v>1251</x:v>
      </x:c>
      <x:c r="F404" s="13" t="s">
        <x:v>2159</x:v>
      </x:c>
      <x:c r="G404" s="13" t="s">
        <x:v>1537</x:v>
      </x:c>
      <x:c r="H404" s="13" t="str">
        <x:f>IFERROR(VLOOKUP(O404,'정보화기기 명부'!A$2:B$187,2,FALSE),"")</x:f>
        <x:v/>
      </x:c>
      <x:c r="I404" s="13"/>
      <x:c r="J404" s="13"/>
      <x:c r="K404" s="13"/>
      <x:c r="L404" s="13">
        <x:v>20090515</x:v>
      </x:c>
      <x:c r="M404" s="13" t="s">
        <x:v>569</x:v>
      </x:c>
      <x:c r="N404" s="13" t="s">
        <x:v>1965</x:v>
      </x:c>
      <x:c r="O404" s="13" t="s">
        <x:v>1737</x:v>
      </x:c>
      <x:c r="P404" s="202">
        <x:v>510</x:v>
      </x:c>
      <x:c r="Q404" s="13" t="s">
        <x:v>1713</x:v>
      </x:c>
      <x:c r="R404" s="13" t="s">
        <x:v>1736</x:v>
      </x:c>
      <x:c r="S404" s="13" t="s">
        <x:v>1726</x:v>
      </x:c>
      <x:c r="T404" s="13" t="s">
        <x:v>1773</x:v>
      </x:c>
      <x:c r="U404" s="13"/>
      <x:c r="V404" s="13" t="s">
        <x:v>797</x:v>
      </x:c>
    </x:row>
    <x:row r="405" spans="1:22" s="14" customFormat="1" ht="13.5" customHeight="1">
      <x:c r="A405" s="13" t="str">
        <x:f>O405</x:f>
        <x:v>정보부보관</x:v>
      </x:c>
      <x:c r="B405" s="25" t="str">
        <x:f>L405&amp;"-"&amp;TEXT(P405,"0000")</x:f>
        <x:v>20090515-0511</x:v>
      </x:c>
      <x:c r="C405" s="13" t="s">
        <x:v>1564</x:v>
      </x:c>
      <x:c r="D405" s="13" t="s">
        <x:v>1533</x:v>
      </x:c>
      <x:c r="E405" s="13" t="s">
        <x:v>1251</x:v>
      </x:c>
      <x:c r="F405" s="13" t="s">
        <x:v>2159</x:v>
      </x:c>
      <x:c r="G405" s="13" t="s">
        <x:v>1537</x:v>
      </x:c>
      <x:c r="H405" s="13" t="str">
        <x:f>IFERROR(VLOOKUP(O405,'정보화기기 명부'!A$2:B$187,2,FALSE),"")</x:f>
        <x:v/>
      </x:c>
      <x:c r="I405" s="13"/>
      <x:c r="J405" s="13"/>
      <x:c r="K405" s="13"/>
      <x:c r="L405" s="13">
        <x:v>20090515</x:v>
      </x:c>
      <x:c r="M405" s="13" t="s">
        <x:v>569</x:v>
      </x:c>
      <x:c r="N405" s="13" t="s">
        <x:v>1965</x:v>
      </x:c>
      <x:c r="O405" s="13" t="s">
        <x:v>1737</x:v>
      </x:c>
      <x:c r="P405" s="202">
        <x:v>511</x:v>
      </x:c>
      <x:c r="Q405" s="13" t="s">
        <x:v>1713</x:v>
      </x:c>
      <x:c r="R405" s="13" t="s">
        <x:v>1736</x:v>
      </x:c>
      <x:c r="S405" s="13" t="s">
        <x:v>1726</x:v>
      </x:c>
      <x:c r="T405" s="13" t="s">
        <x:v>1773</x:v>
      </x:c>
      <x:c r="U405" s="13"/>
      <x:c r="V405" s="13" t="s">
        <x:v>797</x:v>
      </x:c>
    </x:row>
    <x:row r="406" spans="1:22" s="14" customFormat="1" ht="13.5" customHeight="1">
      <x:c r="A406" s="13" t="str">
        <x:f>O406</x:f>
        <x:v>정보부보관</x:v>
      </x:c>
      <x:c r="B406" s="25" t="str">
        <x:f>L406&amp;"-"&amp;TEXT(P406,"0000")</x:f>
        <x:v>20090515-0512</x:v>
      </x:c>
      <x:c r="C406" s="13" t="s">
        <x:v>1564</x:v>
      </x:c>
      <x:c r="D406" s="13" t="s">
        <x:v>1533</x:v>
      </x:c>
      <x:c r="E406" s="13" t="s">
        <x:v>1251</x:v>
      </x:c>
      <x:c r="F406" s="13" t="s">
        <x:v>2159</x:v>
      </x:c>
      <x:c r="G406" s="13" t="s">
        <x:v>1537</x:v>
      </x:c>
      <x:c r="H406" s="13" t="str">
        <x:f>IFERROR(VLOOKUP(O406,'정보화기기 명부'!A$2:B$187,2,FALSE),"")</x:f>
        <x:v/>
      </x:c>
      <x:c r="I406" s="13"/>
      <x:c r="J406" s="13"/>
      <x:c r="K406" s="13"/>
      <x:c r="L406" s="13">
        <x:v>20090515</x:v>
      </x:c>
      <x:c r="M406" s="13" t="s">
        <x:v>569</x:v>
      </x:c>
      <x:c r="N406" s="13" t="s">
        <x:v>1965</x:v>
      </x:c>
      <x:c r="O406" s="13" t="s">
        <x:v>1737</x:v>
      </x:c>
      <x:c r="P406" s="202">
        <x:v>512</x:v>
      </x:c>
      <x:c r="Q406" s="13" t="s">
        <x:v>815</x:v>
      </x:c>
      <x:c r="R406" s="13" t="s">
        <x:v>1736</x:v>
      </x:c>
      <x:c r="S406" s="13" t="s">
        <x:v>1726</x:v>
      </x:c>
      <x:c r="T406" s="13" t="s">
        <x:v>1773</x:v>
      </x:c>
      <x:c r="U406" s="13"/>
      <x:c r="V406" s="13" t="s">
        <x:v>797</x:v>
      </x:c>
    </x:row>
    <x:row r="407" spans="1:22" s="14" customFormat="1" ht="13.5" customHeight="1">
      <x:c r="A407" s="13" t="str">
        <x:f>O407</x:f>
        <x:v>정보부보관</x:v>
      </x:c>
      <x:c r="B407" s="25" t="str">
        <x:f>L407&amp;"-"&amp;TEXT(P407,"0000")</x:f>
        <x:v>20090515-0513</x:v>
      </x:c>
      <x:c r="C407" s="13" t="s">
        <x:v>1564</x:v>
      </x:c>
      <x:c r="D407" s="13" t="s">
        <x:v>1533</x:v>
      </x:c>
      <x:c r="E407" s="13" t="s">
        <x:v>1251</x:v>
      </x:c>
      <x:c r="F407" s="13" t="s">
        <x:v>2159</x:v>
      </x:c>
      <x:c r="G407" s="13" t="s">
        <x:v>1537</x:v>
      </x:c>
      <x:c r="H407" s="13" t="str">
        <x:f>IFERROR(VLOOKUP(O407,'정보화기기 명부'!A$2:B$187,2,FALSE),"")</x:f>
        <x:v/>
      </x:c>
      <x:c r="I407" s="13"/>
      <x:c r="J407" s="13"/>
      <x:c r="K407" s="13"/>
      <x:c r="L407" s="13">
        <x:v>20090515</x:v>
      </x:c>
      <x:c r="M407" s="13" t="s">
        <x:v>569</x:v>
      </x:c>
      <x:c r="N407" s="13" t="s">
        <x:v>1965</x:v>
      </x:c>
      <x:c r="O407" s="13" t="s">
        <x:v>1737</x:v>
      </x:c>
      <x:c r="P407" s="202">
        <x:v>513</x:v>
      </x:c>
      <x:c r="Q407" s="13" t="s">
        <x:v>1713</x:v>
      </x:c>
      <x:c r="R407" s="13" t="s">
        <x:v>1736</x:v>
      </x:c>
      <x:c r="S407" s="13" t="s">
        <x:v>1726</x:v>
      </x:c>
      <x:c r="T407" s="13" t="s">
        <x:v>1773</x:v>
      </x:c>
      <x:c r="U407" s="13"/>
      <x:c r="V407" s="13" t="s">
        <x:v>797</x:v>
      </x:c>
    </x:row>
    <x:row r="408" spans="1:22" s="14" customFormat="1" ht="13.5" customHeight="1">
      <x:c r="A408" s="13" t="str">
        <x:f>O408</x:f>
        <x:v>정보부보관</x:v>
      </x:c>
      <x:c r="B408" s="25" t="str">
        <x:f>L408&amp;"-"&amp;TEXT(P408,"0000")</x:f>
        <x:v>20090515-0514</x:v>
      </x:c>
      <x:c r="C408" s="13" t="s">
        <x:v>1564</x:v>
      </x:c>
      <x:c r="D408" s="13" t="s">
        <x:v>1533</x:v>
      </x:c>
      <x:c r="E408" s="13" t="s">
        <x:v>1251</x:v>
      </x:c>
      <x:c r="F408" s="19" t="s">
        <x:v>2159</x:v>
      </x:c>
      <x:c r="G408" s="13" t="s">
        <x:v>1537</x:v>
      </x:c>
      <x:c r="H408" s="13" t="str">
        <x:f>IFERROR(VLOOKUP(O408,'정보화기기 명부'!A$2:B$187,2,FALSE),"")</x:f>
        <x:v/>
      </x:c>
      <x:c r="I408" s="13"/>
      <x:c r="J408" s="13"/>
      <x:c r="K408" s="13"/>
      <x:c r="L408" s="13">
        <x:v>20090515</x:v>
      </x:c>
      <x:c r="M408" s="13" t="s">
        <x:v>569</x:v>
      </x:c>
      <x:c r="N408" s="13" t="s">
        <x:v>1965</x:v>
      </x:c>
      <x:c r="O408" s="13" t="s">
        <x:v>1737</x:v>
      </x:c>
      <x:c r="P408" s="202">
        <x:v>514</x:v>
      </x:c>
      <x:c r="Q408" s="13" t="s">
        <x:v>1713</x:v>
      </x:c>
      <x:c r="R408" s="13" t="s">
        <x:v>1736</x:v>
      </x:c>
      <x:c r="S408" s="13" t="s">
        <x:v>1726</x:v>
      </x:c>
      <x:c r="T408" s="13" t="s">
        <x:v>1773</x:v>
      </x:c>
      <x:c r="U408" s="13"/>
      <x:c r="V408" s="13" t="s">
        <x:v>797</x:v>
      </x:c>
    </x:row>
    <x:row r="409" spans="1:22" s="14" customFormat="1" ht="13.5" customHeight="1">
      <x:c r="A409" s="13" t="str">
        <x:f>O409</x:f>
        <x:v>정보부보관</x:v>
      </x:c>
      <x:c r="B409" s="25" t="str">
        <x:f>L409&amp;"-"&amp;TEXT(P409,"0000")</x:f>
        <x:v>20090515-0515</x:v>
      </x:c>
      <x:c r="C409" s="13" t="s">
        <x:v>1564</x:v>
      </x:c>
      <x:c r="D409" s="13" t="s">
        <x:v>1533</x:v>
      </x:c>
      <x:c r="E409" s="13" t="s">
        <x:v>1251</x:v>
      </x:c>
      <x:c r="F409" s="13" t="s">
        <x:v>2159</x:v>
      </x:c>
      <x:c r="G409" s="18" t="s">
        <x:v>1537</x:v>
      </x:c>
      <x:c r="H409" s="13" t="str">
        <x:f>IFERROR(VLOOKUP(O409,'정보화기기 명부'!A$2:B$187,2,FALSE),"")</x:f>
        <x:v/>
      </x:c>
      <x:c r="I409" s="13"/>
      <x:c r="J409" s="17"/>
      <x:c r="K409" s="17"/>
      <x:c r="L409" s="13">
        <x:v>20090515</x:v>
      </x:c>
      <x:c r="M409" s="13" t="s">
        <x:v>569</x:v>
      </x:c>
      <x:c r="N409" s="13" t="s">
        <x:v>1965</x:v>
      </x:c>
      <x:c r="O409" s="13" t="s">
        <x:v>1737</x:v>
      </x:c>
      <x:c r="P409" s="202">
        <x:v>515</x:v>
      </x:c>
      <x:c r="Q409" s="13" t="s">
        <x:v>1713</x:v>
      </x:c>
      <x:c r="R409" s="13" t="s">
        <x:v>1736</x:v>
      </x:c>
      <x:c r="S409" s="13" t="s">
        <x:v>1726</x:v>
      </x:c>
      <x:c r="T409" s="13" t="s">
        <x:v>1773</x:v>
      </x:c>
      <x:c r="U409" s="13"/>
      <x:c r="V409" s="13" t="s">
        <x:v>797</x:v>
      </x:c>
    </x:row>
    <x:row r="410" spans="1:22" s="14" customFormat="1" ht="13.5" customHeight="1">
      <x:c r="A410" s="13" t="str">
        <x:f>O410</x:f>
        <x:v>정보부보관</x:v>
      </x:c>
      <x:c r="B410" s="25" t="str">
        <x:f>L410&amp;"-"&amp;TEXT(P410,"0000")</x:f>
        <x:v>20090515-0516</x:v>
      </x:c>
      <x:c r="C410" s="13" t="s">
        <x:v>1564</x:v>
      </x:c>
      <x:c r="D410" s="13" t="s">
        <x:v>1533</x:v>
      </x:c>
      <x:c r="E410" s="13" t="s">
        <x:v>1251</x:v>
      </x:c>
      <x:c r="F410" s="13" t="s">
        <x:v>2159</x:v>
      </x:c>
      <x:c r="G410" s="18" t="s">
        <x:v>1537</x:v>
      </x:c>
      <x:c r="H410" s="13" t="str">
        <x:f>IFERROR(VLOOKUP(O410,'정보화기기 명부'!A$2:B$187,2,FALSE),"")</x:f>
        <x:v/>
      </x:c>
      <x:c r="I410" s="13"/>
      <x:c r="J410" s="17"/>
      <x:c r="K410" s="17"/>
      <x:c r="L410" s="13">
        <x:v>20090515</x:v>
      </x:c>
      <x:c r="M410" s="13" t="s">
        <x:v>569</x:v>
      </x:c>
      <x:c r="N410" s="13" t="s">
        <x:v>1965</x:v>
      </x:c>
      <x:c r="O410" s="13" t="s">
        <x:v>1737</x:v>
      </x:c>
      <x:c r="P410" s="202">
        <x:v>516</x:v>
      </x:c>
      <x:c r="Q410" s="13" t="s">
        <x:v>1713</x:v>
      </x:c>
      <x:c r="R410" s="13" t="s">
        <x:v>1736</x:v>
      </x:c>
      <x:c r="S410" s="13" t="s">
        <x:v>1726</x:v>
      </x:c>
      <x:c r="T410" s="13" t="s">
        <x:v>1773</x:v>
      </x:c>
      <x:c r="U410" s="13"/>
      <x:c r="V410" s="13" t="s">
        <x:v>797</x:v>
      </x:c>
    </x:row>
    <x:row r="411" spans="1:22" s="14" customFormat="1" ht="13.5" customHeight="1">
      <x:c r="A411" s="13" t="str">
        <x:f>O411</x:f>
        <x:v>정보부보관</x:v>
      </x:c>
      <x:c r="B411" s="25" t="str">
        <x:f>L411&amp;"-"&amp;TEXT(P411,"0000")</x:f>
        <x:v>20090515-0517</x:v>
      </x:c>
      <x:c r="C411" s="13" t="s">
        <x:v>1564</x:v>
      </x:c>
      <x:c r="D411" s="13" t="s">
        <x:v>1533</x:v>
      </x:c>
      <x:c r="E411" s="13" t="s">
        <x:v>1251</x:v>
      </x:c>
      <x:c r="F411" s="13" t="s">
        <x:v>2159</x:v>
      </x:c>
      <x:c r="G411" s="18" t="s">
        <x:v>1537</x:v>
      </x:c>
      <x:c r="H411" s="13" t="str">
        <x:f>IFERROR(VLOOKUP(O411,'정보화기기 명부'!A$2:B$187,2,FALSE),"")</x:f>
        <x:v/>
      </x:c>
      <x:c r="I411" s="13"/>
      <x:c r="J411" s="17"/>
      <x:c r="K411" s="17"/>
      <x:c r="L411" s="13">
        <x:v>20090515</x:v>
      </x:c>
      <x:c r="M411" s="13" t="s">
        <x:v>569</x:v>
      </x:c>
      <x:c r="N411" s="13" t="s">
        <x:v>1965</x:v>
      </x:c>
      <x:c r="O411" s="13" t="s">
        <x:v>1737</x:v>
      </x:c>
      <x:c r="P411" s="202">
        <x:v>517</x:v>
      </x:c>
      <x:c r="Q411" s="13" t="s">
        <x:v>1713</x:v>
      </x:c>
      <x:c r="R411" s="13" t="s">
        <x:v>1736</x:v>
      </x:c>
      <x:c r="S411" s="13" t="s">
        <x:v>1726</x:v>
      </x:c>
      <x:c r="T411" s="13" t="s">
        <x:v>1773</x:v>
      </x:c>
      <x:c r="U411" s="13"/>
      <x:c r="V411" s="13" t="s">
        <x:v>797</x:v>
      </x:c>
    </x:row>
    <x:row r="412" spans="1:26" ht="13.5" customHeight="1">
      <x:c r="A412" s="13" t="str">
        <x:f>O412</x:f>
        <x:v>정보부보관</x:v>
      </x:c>
      <x:c r="B412" s="25" t="str">
        <x:f>L412&amp;"-"&amp;TEXT(P412,"0000")</x:f>
        <x:v>20090515-0518</x:v>
      </x:c>
      <x:c r="C412" s="13" t="s">
        <x:v>1564</x:v>
      </x:c>
      <x:c r="D412" s="13" t="s">
        <x:v>1533</x:v>
      </x:c>
      <x:c r="E412" s="13" t="s">
        <x:v>1251</x:v>
      </x:c>
      <x:c r="F412" s="13" t="s">
        <x:v>2159</x:v>
      </x:c>
      <x:c r="G412" s="18" t="s">
        <x:v>1537</x:v>
      </x:c>
      <x:c r="H412" s="13" t="str">
        <x:f>IFERROR(VLOOKUP(O412,'정보화기기 명부'!A$2:B$187,2,FALSE),"")</x:f>
        <x:v/>
      </x:c>
      <x:c r="I412" s="13"/>
      <x:c r="J412" s="17"/>
      <x:c r="K412" s="13"/>
      <x:c r="L412" s="13">
        <x:v>20090515</x:v>
      </x:c>
      <x:c r="M412" s="13" t="s">
        <x:v>569</x:v>
      </x:c>
      <x:c r="N412" s="13" t="s">
        <x:v>1965</x:v>
      </x:c>
      <x:c r="O412" s="13" t="s">
        <x:v>1737</x:v>
      </x:c>
      <x:c r="P412" s="202">
        <x:v>518</x:v>
      </x:c>
      <x:c r="Q412" s="13" t="s">
        <x:v>1713</x:v>
      </x:c>
      <x:c r="R412" s="13" t="s">
        <x:v>1736</x:v>
      </x:c>
      <x:c r="S412" s="13" t="s">
        <x:v>1726</x:v>
      </x:c>
      <x:c r="T412" s="13" t="s">
        <x:v>1773</x:v>
      </x:c>
      <x:c r="U412" s="13"/>
      <x:c r="V412" s="13" t="s">
        <x:v>797</x:v>
      </x:c>
      <x:c r="W412" s="14"/>
      <x:c r="X412" s="14"/>
      <x:c r="Y412" s="14"/>
      <x:c r="Z412" s="14"/>
    </x:row>
    <x:row r="413" spans="1:22" s="14" customFormat="1" ht="13.5" customHeight="1">
      <x:c r="A413" s="13" t="str">
        <x:f>O413</x:f>
        <x:v>정보부보관</x:v>
      </x:c>
      <x:c r="B413" s="25" t="str">
        <x:f>L413&amp;"-"&amp;TEXT(P413,"0000")</x:f>
        <x:v>20090515-0519</x:v>
      </x:c>
      <x:c r="C413" s="13" t="s">
        <x:v>1564</x:v>
      </x:c>
      <x:c r="D413" s="13" t="s">
        <x:v>1533</x:v>
      </x:c>
      <x:c r="E413" s="13" t="s">
        <x:v>1251</x:v>
      </x:c>
      <x:c r="F413" s="13" t="s">
        <x:v>2159</x:v>
      </x:c>
      <x:c r="G413" s="18" t="s">
        <x:v>1537</x:v>
      </x:c>
      <x:c r="H413" s="13" t="str">
        <x:f>IFERROR(VLOOKUP(O413,'정보화기기 명부'!A$2:B$187,2,FALSE),"")</x:f>
        <x:v/>
      </x:c>
      <x:c r="I413" s="13"/>
      <x:c r="J413" s="17"/>
      <x:c r="K413" s="17"/>
      <x:c r="L413" s="13">
        <x:v>20090515</x:v>
      </x:c>
      <x:c r="M413" s="13" t="s">
        <x:v>569</x:v>
      </x:c>
      <x:c r="N413" s="13" t="s">
        <x:v>1965</x:v>
      </x:c>
      <x:c r="O413" s="13" t="s">
        <x:v>1737</x:v>
      </x:c>
      <x:c r="P413" s="202">
        <x:v>519</x:v>
      </x:c>
      <x:c r="Q413" s="13" t="s">
        <x:v>1713</x:v>
      </x:c>
      <x:c r="R413" s="13" t="s">
        <x:v>1736</x:v>
      </x:c>
      <x:c r="S413" s="13" t="s">
        <x:v>1726</x:v>
      </x:c>
      <x:c r="T413" s="13" t="s">
        <x:v>1773</x:v>
      </x:c>
      <x:c r="U413" s="13"/>
      <x:c r="V413" s="13" t="s">
        <x:v>797</x:v>
      </x:c>
    </x:row>
    <x:row r="414" spans="1:26" ht="13.5" customHeight="1">
      <x:c r="A414" s="13" t="str">
        <x:f>O414</x:f>
        <x:v>정보부보관</x:v>
      </x:c>
      <x:c r="B414" s="25" t="str">
        <x:f>L414&amp;"-"&amp;TEXT(P414,"0000")</x:f>
        <x:v>20090515-0520</x:v>
      </x:c>
      <x:c r="C414" s="13" t="s">
        <x:v>1564</x:v>
      </x:c>
      <x:c r="D414" s="13" t="s">
        <x:v>1533</x:v>
      </x:c>
      <x:c r="E414" s="13" t="s">
        <x:v>1251</x:v>
      </x:c>
      <x:c r="F414" s="13" t="s">
        <x:v>2159</x:v>
      </x:c>
      <x:c r="G414" s="18" t="s">
        <x:v>1537</x:v>
      </x:c>
      <x:c r="H414" s="13" t="str">
        <x:f>IFERROR(VLOOKUP(O414,'정보화기기 명부'!A$2:B$187,2,FALSE),"")</x:f>
        <x:v/>
      </x:c>
      <x:c r="I414" s="13"/>
      <x:c r="J414" s="17"/>
      <x:c r="K414" s="13"/>
      <x:c r="L414" s="13">
        <x:v>20090515</x:v>
      </x:c>
      <x:c r="M414" s="13" t="s">
        <x:v>569</x:v>
      </x:c>
      <x:c r="N414" s="13" t="s">
        <x:v>1965</x:v>
      </x:c>
      <x:c r="O414" s="13" t="s">
        <x:v>1737</x:v>
      </x:c>
      <x:c r="P414" s="202">
        <x:v>520</x:v>
      </x:c>
      <x:c r="Q414" s="13" t="s">
        <x:v>815</x:v>
      </x:c>
      <x:c r="R414" s="13" t="s">
        <x:v>1736</x:v>
      </x:c>
      <x:c r="S414" s="13" t="s">
        <x:v>1726</x:v>
      </x:c>
      <x:c r="T414" s="13" t="s">
        <x:v>1773</x:v>
      </x:c>
      <x:c r="U414" s="13"/>
      <x:c r="V414" s="13" t="s">
        <x:v>797</x:v>
      </x:c>
      <x:c r="W414" s="14"/>
      <x:c r="X414" s="14"/>
      <x:c r="Y414" s="14"/>
      <x:c r="Z414" s="14"/>
    </x:row>
    <x:row r="415" spans="1:26" ht="13.5" customHeight="1">
      <x:c r="A415" s="13" t="str">
        <x:f>O415</x:f>
        <x:v>정보부보관</x:v>
      </x:c>
      <x:c r="B415" s="25" t="str">
        <x:f>L415&amp;"-"&amp;TEXT(P415,"0000")</x:f>
        <x:v>20090515-0521</x:v>
      </x:c>
      <x:c r="C415" s="13" t="s">
        <x:v>1564</x:v>
      </x:c>
      <x:c r="D415" s="13" t="s">
        <x:v>1533</x:v>
      </x:c>
      <x:c r="E415" s="13" t="s">
        <x:v>1251</x:v>
      </x:c>
      <x:c r="F415" s="13" t="s">
        <x:v>2159</x:v>
      </x:c>
      <x:c r="G415" s="18" t="s">
        <x:v>1537</x:v>
      </x:c>
      <x:c r="H415" s="13" t="str">
        <x:f>IFERROR(VLOOKUP(O415,'정보화기기 명부'!A$2:B$187,2,FALSE),"")</x:f>
        <x:v/>
      </x:c>
      <x:c r="I415" s="13"/>
      <x:c r="J415" s="17"/>
      <x:c r="K415" s="13"/>
      <x:c r="L415" s="13">
        <x:v>20090515</x:v>
      </x:c>
      <x:c r="M415" s="13" t="s">
        <x:v>569</x:v>
      </x:c>
      <x:c r="N415" s="13" t="s">
        <x:v>1965</x:v>
      </x:c>
      <x:c r="O415" s="13" t="s">
        <x:v>1737</x:v>
      </x:c>
      <x:c r="P415" s="202">
        <x:v>521</x:v>
      </x:c>
      <x:c r="Q415" s="13" t="s">
        <x:v>815</x:v>
      </x:c>
      <x:c r="R415" s="13" t="s">
        <x:v>1736</x:v>
      </x:c>
      <x:c r="S415" s="13" t="s">
        <x:v>1726</x:v>
      </x:c>
      <x:c r="T415" s="13" t="s">
        <x:v>1773</x:v>
      </x:c>
      <x:c r="U415" s="13"/>
      <x:c r="V415" s="13" t="s">
        <x:v>797</x:v>
      </x:c>
      <x:c r="W415" s="14"/>
      <x:c r="X415" s="14"/>
      <x:c r="Y415" s="14"/>
      <x:c r="Z415" s="14"/>
    </x:row>
    <x:row r="416" spans="1:26" ht="13.5" customHeight="1">
      <x:c r="A416" s="13" t="str">
        <x:f>O416</x:f>
        <x:v>이경규(벌점관리)</x:v>
      </x:c>
      <x:c r="B416" s="25" t="str">
        <x:f>L416&amp;"-"&amp;TEXT(P416,"0000")</x:f>
        <x:v>20090320-0496</x:v>
      </x:c>
      <x:c r="C416" s="13" t="s">
        <x:v>1978</x:v>
      </x:c>
      <x:c r="D416" s="21" t="s">
        <x:v>1533</x:v>
      </x:c>
      <x:c r="E416" s="13" t="s">
        <x:v>1543</x:v>
      </x:c>
      <x:c r="F416" s="13" t="s">
        <x:v>558</x:v>
      </x:c>
      <x:c r="G416" s="18" t="s">
        <x:v>557</x:v>
      </x:c>
      <x:c r="H416" s="13" t="str">
        <x:f>IFERROR(VLOOKUP(O416,'정보화기기 명부'!A$2:B$187,2,FALSE),"")</x:f>
        <x:v/>
      </x:c>
      <x:c r="I416" s="13"/>
      <x:c r="J416" s="17"/>
      <x:c r="K416" s="13"/>
      <x:c r="L416" s="13">
        <x:v>20090320</x:v>
      </x:c>
      <x:c r="M416" s="13" t="s">
        <x:v>1779</x:v>
      </x:c>
      <x:c r="N416" s="13" t="s">
        <x:v>1965</x:v>
      </x:c>
      <x:c r="O416" s="13" t="s">
        <x:v>554</x:v>
      </x:c>
      <x:c r="P416" s="202">
        <x:v>496</x:v>
      </x:c>
      <x:c r="Q416" s="13" t="s">
        <x:v>1743</x:v>
      </x:c>
      <x:c r="R416" s="13" t="s">
        <x:v>1733</x:v>
      </x:c>
      <x:c r="S416" s="13" t="s">
        <x:v>1813</x:v>
      </x:c>
      <x:c r="T416" s="13" t="s">
        <x:v>1773</x:v>
      </x:c>
      <x:c r="U416" s="13"/>
      <x:c r="V416" s="13" t="s">
        <x:v>2030</x:v>
      </x:c>
      <x:c r="W416" s="14"/>
      <x:c r="X416" s="14"/>
      <x:c r="Y416" s="14"/>
      <x:c r="Z416" s="14"/>
    </x:row>
    <x:row r="417" spans="1:26" ht="13.5" customHeight="1">
      <x:c r="A417" s="13" t="str">
        <x:f>O417</x:f>
        <x:v>정보부보관</x:v>
      </x:c>
      <x:c r="B417" s="25" t="str">
        <x:f>L417&amp;"-"&amp;TEXT(P417,"0000")</x:f>
        <x:v>20090305-0494</x:v>
      </x:c>
      <x:c r="C417" s="13" t="s">
        <x:v>1564</x:v>
      </x:c>
      <x:c r="D417" s="13" t="s">
        <x:v>1533</x:v>
      </x:c>
      <x:c r="E417" s="13" t="s">
        <x:v>1251</x:v>
      </x:c>
      <x:c r="F417" s="13" t="s">
        <x:v>2152</x:v>
      </x:c>
      <x:c r="G417" s="18" t="s">
        <x:v>1537</x:v>
      </x:c>
      <x:c r="H417" s="13" t="str">
        <x:f>IFERROR(VLOOKUP(O417,'정보화기기 명부'!A$2:B$187,2,FALSE),"")</x:f>
        <x:v/>
      </x:c>
      <x:c r="I417" s="13"/>
      <x:c r="J417" s="17"/>
      <x:c r="K417" s="17"/>
      <x:c r="L417" s="13">
        <x:v>20090305</x:v>
      </x:c>
      <x:c r="M417" s="13" t="s">
        <x:v>564</x:v>
      </x:c>
      <x:c r="N417" s="13" t="s">
        <x:v>2034</x:v>
      </x:c>
      <x:c r="O417" s="13" t="s">
        <x:v>1737</x:v>
      </x:c>
      <x:c r="P417" s="202">
        <x:v>494</x:v>
      </x:c>
      <x:c r="Q417" s="13" t="s">
        <x:v>1713</x:v>
      </x:c>
      <x:c r="R417" s="13" t="s">
        <x:v>1770</x:v>
      </x:c>
      <x:c r="S417" s="13" t="s">
        <x:v>1726</x:v>
      </x:c>
      <x:c r="T417" s="13" t="s">
        <x:v>1773</x:v>
      </x:c>
      <x:c r="U417" s="13"/>
      <x:c r="V417" s="13" t="s">
        <x:v>1688</x:v>
      </x:c>
      <x:c r="W417" s="14"/>
      <x:c r="X417" s="14"/>
      <x:c r="Y417" s="14"/>
      <x:c r="Z417" s="14"/>
    </x:row>
    <x:row r="418" spans="1:26" ht="13.5" customHeight="1">
      <x:c r="A418" s="13" t="str">
        <x:f>O418</x:f>
        <x:v>정보부보관</x:v>
      </x:c>
      <x:c r="B418" s="25" t="str">
        <x:f>L418&amp;"-"&amp;TEXT(P418,"0000")</x:f>
        <x:v>20090305-0495</x:v>
      </x:c>
      <x:c r="C418" s="13" t="s">
        <x:v>1564</x:v>
      </x:c>
      <x:c r="D418" s="13" t="s">
        <x:v>1533</x:v>
      </x:c>
      <x:c r="E418" s="13" t="s">
        <x:v>1251</x:v>
      </x:c>
      <x:c r="F418" s="13" t="s">
        <x:v>2152</x:v>
      </x:c>
      <x:c r="G418" s="18" t="s">
        <x:v>1537</x:v>
      </x:c>
      <x:c r="H418" s="13" t="str">
        <x:f>IFERROR(VLOOKUP(O418,'정보화기기 명부'!A$2:B$187,2,FALSE),"")</x:f>
        <x:v/>
      </x:c>
      <x:c r="I418" s="13"/>
      <x:c r="J418" s="17"/>
      <x:c r="K418" s="13"/>
      <x:c r="L418" s="13">
        <x:v>20090305</x:v>
      </x:c>
      <x:c r="M418" s="13" t="s">
        <x:v>564</x:v>
      </x:c>
      <x:c r="N418" s="13" t="s">
        <x:v>2034</x:v>
      </x:c>
      <x:c r="O418" s="13" t="s">
        <x:v>1737</x:v>
      </x:c>
      <x:c r="P418" s="202">
        <x:v>495</x:v>
      </x:c>
      <x:c r="Q418" s="13" t="s">
        <x:v>1713</x:v>
      </x:c>
      <x:c r="R418" s="13" t="s">
        <x:v>1770</x:v>
      </x:c>
      <x:c r="S418" s="13" t="s">
        <x:v>1726</x:v>
      </x:c>
      <x:c r="T418" s="13" t="s">
        <x:v>1773</x:v>
      </x:c>
      <x:c r="U418" s="13"/>
      <x:c r="V418" s="13" t="s">
        <x:v>1688</x:v>
      </x:c>
      <x:c r="W418" s="14"/>
      <x:c r="X418" s="14"/>
      <x:c r="Y418" s="14"/>
      <x:c r="Z418" s="14"/>
    </x:row>
    <x:row r="419" spans="1:26" ht="13.5" customHeight="1">
      <x:c r="A419" s="13"/>
      <x:c r="B419" s="25" t="str">
        <x:f>L419&amp;"-"&amp;TEXT(P419,"0000")</x:f>
        <x:v>20090305-0493</x:v>
      </x:c>
      <x:c r="C419" s="13" t="s">
        <x:v>1978</x:v>
      </x:c>
      <x:c r="D419" s="13" t="s">
        <x:v>1533</x:v>
      </x:c>
      <x:c r="E419" s="13" t="s">
        <x:v>1568</x:v>
      </x:c>
      <x:c r="F419" s="13" t="s">
        <x:v>2185</x:v>
      </x:c>
      <x:c r="G419" s="18" t="s">
        <x:v>1537</x:v>
      </x:c>
      <x:c r="H419" s="13" t="str">
        <x:f>IFERROR(VLOOKUP(O419,'정보화기기 명부'!A$2:B$187,2,FALSE),"")</x:f>
        <x:v/>
      </x:c>
      <x:c r="I419" s="13"/>
      <x:c r="J419" s="17" t="s">
        <x:v>1640</x:v>
      </x:c>
      <x:c r="K419" s="17"/>
      <x:c r="L419" s="13">
        <x:v>20090305</x:v>
      </x:c>
      <x:c r="M419" s="13" t="s">
        <x:v>1756</x:v>
      </x:c>
      <x:c r="N419" s="13" t="s">
        <x:v>2034</x:v>
      </x:c>
      <x:c r="O419" s="13" t="s">
        <x:v>1772</x:v>
      </x:c>
      <x:c r="P419" s="202">
        <x:v>493</x:v>
      </x:c>
      <x:c r="Q419" s="13" t="s">
        <x:v>1713</x:v>
      </x:c>
      <x:c r="R419" s="13" t="s">
        <x:v>1767</x:v>
      </x:c>
      <x:c r="S419" s="13" t="s">
        <x:v>1813</x:v>
      </x:c>
      <x:c r="T419" s="13" t="s">
        <x:v>1632</x:v>
      </x:c>
      <x:c r="U419" s="13"/>
      <x:c r="V419" s="13" t="s">
        <x:v>797</x:v>
      </x:c>
      <x:c r="W419" s="14"/>
      <x:c r="X419" s="14"/>
      <x:c r="Y419" s="14"/>
      <x:c r="Z419" s="14"/>
    </x:row>
    <x:row r="420" spans="1:22" s="14" customFormat="1" ht="13.5" customHeight="1">
      <x:c r="A420" s="13"/>
      <x:c r="B420" s="25" t="str">
        <x:f>L420&amp;"-"&amp;TEXT(P420,"0000")</x:f>
        <x:v>20090305-0492</x:v>
      </x:c>
      <x:c r="C420" s="13" t="s">
        <x:v>1978</x:v>
      </x:c>
      <x:c r="D420" s="13" t="s">
        <x:v>1533</x:v>
      </x:c>
      <x:c r="E420" s="13" t="s">
        <x:v>1568</x:v>
      </x:c>
      <x:c r="F420" s="13" t="s">
        <x:v>2185</x:v>
      </x:c>
      <x:c r="G420" s="18" t="s">
        <x:v>1537</x:v>
      </x:c>
      <x:c r="H420" s="13" t="str">
        <x:f>IFERROR(VLOOKUP(O420,'정보화기기 명부'!A$2:B$187,2,FALSE),"")</x:f>
        <x:v/>
      </x:c>
      <x:c r="I420" s="13"/>
      <x:c r="J420" s="17" t="s">
        <x:v>1640</x:v>
      </x:c>
      <x:c r="K420" s="17"/>
      <x:c r="L420" s="13">
        <x:v>20090305</x:v>
      </x:c>
      <x:c r="M420" s="13" t="s">
        <x:v>1756</x:v>
      </x:c>
      <x:c r="N420" s="13" t="s">
        <x:v>2034</x:v>
      </x:c>
      <x:c r="O420" s="13" t="s">
        <x:v>1772</x:v>
      </x:c>
      <x:c r="P420" s="202">
        <x:v>492</x:v>
      </x:c>
      <x:c r="Q420" s="13" t="s">
        <x:v>1713</x:v>
      </x:c>
      <x:c r="R420" s="13" t="s">
        <x:v>1767</x:v>
      </x:c>
      <x:c r="S420" s="13" t="s">
        <x:v>1813</x:v>
      </x:c>
      <x:c r="T420" s="13" t="s">
        <x:v>1632</x:v>
      </x:c>
      <x:c r="U420" s="13"/>
      <x:c r="V420" s="13" t="s">
        <x:v>797</x:v>
      </x:c>
    </x:row>
    <x:row r="421" spans="1:22" s="14" customFormat="1" ht="13.5" customHeight="1">
      <x:c r="A421" s="13"/>
      <x:c r="B421" s="25" t="str">
        <x:f>L421&amp;"-"&amp;TEXT(P421,"0000")</x:f>
        <x:v>20090305-0491</x:v>
      </x:c>
      <x:c r="C421" s="13" t="s">
        <x:v>1978</x:v>
      </x:c>
      <x:c r="D421" s="13" t="s">
        <x:v>1533</x:v>
      </x:c>
      <x:c r="E421" s="13" t="s">
        <x:v>1568</x:v>
      </x:c>
      <x:c r="F421" s="13" t="s">
        <x:v>2185</x:v>
      </x:c>
      <x:c r="G421" s="18" t="s">
        <x:v>1537</x:v>
      </x:c>
      <x:c r="H421" s="13" t="str">
        <x:f>IFERROR(VLOOKUP(O421,'정보화기기 명부'!A$2:B$187,2,FALSE),"")</x:f>
        <x:v/>
      </x:c>
      <x:c r="I421" s="13"/>
      <x:c r="J421" s="17" t="s">
        <x:v>1640</x:v>
      </x:c>
      <x:c r="K421" s="17"/>
      <x:c r="L421" s="13">
        <x:v>20090305</x:v>
      </x:c>
      <x:c r="M421" s="13" t="s">
        <x:v>1756</x:v>
      </x:c>
      <x:c r="N421" s="13" t="s">
        <x:v>2034</x:v>
      </x:c>
      <x:c r="O421" s="13" t="s">
        <x:v>1772</x:v>
      </x:c>
      <x:c r="P421" s="202">
        <x:v>491</x:v>
      </x:c>
      <x:c r="Q421" s="13" t="s">
        <x:v>1713</x:v>
      </x:c>
      <x:c r="R421" s="13" t="s">
        <x:v>1767</x:v>
      </x:c>
      <x:c r="S421" s="13" t="s">
        <x:v>1813</x:v>
      </x:c>
      <x:c r="T421" s="13" t="s">
        <x:v>1632</x:v>
      </x:c>
      <x:c r="U421" s="13"/>
      <x:c r="V421" s="13" t="s">
        <x:v>797</x:v>
      </x:c>
    </x:row>
    <x:row r="422" spans="1:22" s="14" customFormat="1" ht="13.5" customHeight="1">
      <x:c r="A422" s="13"/>
      <x:c r="B422" s="25" t="str">
        <x:f>L422&amp;"-"&amp;TEXT(P422,"0000")</x:f>
        <x:v>20090305-0490</x:v>
      </x:c>
      <x:c r="C422" s="13" t="s">
        <x:v>1978</x:v>
      </x:c>
      <x:c r="D422" s="13" t="s">
        <x:v>1533</x:v>
      </x:c>
      <x:c r="E422" s="13" t="s">
        <x:v>1568</x:v>
      </x:c>
      <x:c r="F422" s="13" t="s">
        <x:v>2185</x:v>
      </x:c>
      <x:c r="G422" s="18" t="s">
        <x:v>1537</x:v>
      </x:c>
      <x:c r="H422" s="13" t="str">
        <x:f>IFERROR(VLOOKUP(O422,'정보화기기 명부'!A$2:B$187,2,FALSE),"")</x:f>
        <x:v/>
      </x:c>
      <x:c r="I422" s="13"/>
      <x:c r="J422" s="17" t="s">
        <x:v>1640</x:v>
      </x:c>
      <x:c r="K422" s="17"/>
      <x:c r="L422" s="13">
        <x:v>20090305</x:v>
      </x:c>
      <x:c r="M422" s="13" t="s">
        <x:v>1756</x:v>
      </x:c>
      <x:c r="N422" s="13" t="s">
        <x:v>2034</x:v>
      </x:c>
      <x:c r="O422" s="13" t="s">
        <x:v>1772</x:v>
      </x:c>
      <x:c r="P422" s="202">
        <x:v>490</x:v>
      </x:c>
      <x:c r="Q422" s="13" t="s">
        <x:v>1713</x:v>
      </x:c>
      <x:c r="R422" s="13" t="s">
        <x:v>1767</x:v>
      </x:c>
      <x:c r="S422" s="13" t="s">
        <x:v>1813</x:v>
      </x:c>
      <x:c r="T422" s="13" t="s">
        <x:v>1632</x:v>
      </x:c>
      <x:c r="U422" s="13"/>
      <x:c r="V422" s="13" t="s">
        <x:v>797</x:v>
      </x:c>
    </x:row>
    <x:row r="423" spans="1:22" s="14" customFormat="1" ht="13.5" customHeight="1">
      <x:c r="A423" s="13" t="str">
        <x:f>O423</x:f>
        <x:v>정보부보관</x:v>
      </x:c>
      <x:c r="B423" s="25" t="str">
        <x:f>L423&amp;"-"&amp;TEXT(P423,"0000")</x:f>
        <x:v>20081224-0482</x:v>
      </x:c>
      <x:c r="C423" s="13" t="s">
        <x:v>1564</x:v>
      </x:c>
      <x:c r="D423" s="13" t="s">
        <x:v>1533</x:v>
      </x:c>
      <x:c r="E423" s="13" t="s">
        <x:v>1251</x:v>
      </x:c>
      <x:c r="F423" s="13" t="s">
        <x:v>2126</x:v>
      </x:c>
      <x:c r="G423" s="18" t="s">
        <x:v>1537</x:v>
      </x:c>
      <x:c r="H423" s="13" t="str">
        <x:f>IFERROR(VLOOKUP(O423,'정보화기기 명부'!A$2:B$187,2,FALSE),"")</x:f>
        <x:v/>
      </x:c>
      <x:c r="I423" s="13"/>
      <x:c r="J423" s="17"/>
      <x:c r="K423" s="17"/>
      <x:c r="L423" s="13">
        <x:v>20081224</x:v>
      </x:c>
      <x:c r="M423" s="13" t="s">
        <x:v>576</x:v>
      </x:c>
      <x:c r="N423" s="13" t="s">
        <x:v>2045</x:v>
      </x:c>
      <x:c r="O423" s="13" t="s">
        <x:v>1737</x:v>
      </x:c>
      <x:c r="P423" s="202">
        <x:v>482</x:v>
      </x:c>
      <x:c r="Q423" s="13" t="s">
        <x:v>815</x:v>
      </x:c>
      <x:c r="R423" s="13" t="s">
        <x:v>1770</x:v>
      </x:c>
      <x:c r="S423" s="13" t="s">
        <x:v>1726</x:v>
      </x:c>
      <x:c r="T423" s="13" t="s">
        <x:v>1773</x:v>
      </x:c>
      <x:c r="U423" s="13"/>
      <x:c r="V423" s="13" t="s">
        <x:v>1688</x:v>
      </x:c>
    </x:row>
    <x:row r="424" spans="1:22" s="14" customFormat="1" ht="13.5" customHeight="1">
      <x:c r="A424" s="13" t="str">
        <x:f>O424</x:f>
        <x:v>정보부보관</x:v>
      </x:c>
      <x:c r="B424" s="25" t="str">
        <x:f>L424&amp;"-"&amp;TEXT(P424,"0000")</x:f>
        <x:v>20081224-0483</x:v>
      </x:c>
      <x:c r="C424" s="13" t="s">
        <x:v>1564</x:v>
      </x:c>
      <x:c r="D424" s="13" t="s">
        <x:v>1533</x:v>
      </x:c>
      <x:c r="E424" s="13" t="s">
        <x:v>1251</x:v>
      </x:c>
      <x:c r="F424" s="13" t="s">
        <x:v>2126</x:v>
      </x:c>
      <x:c r="G424" s="18" t="s">
        <x:v>1537</x:v>
      </x:c>
      <x:c r="H424" s="13" t="str">
        <x:f>IFERROR(VLOOKUP(O424,'정보화기기 명부'!A$2:B$187,2,FALSE),"")</x:f>
        <x:v/>
      </x:c>
      <x:c r="I424" s="13"/>
      <x:c r="J424" s="17"/>
      <x:c r="K424" s="17"/>
      <x:c r="L424" s="13">
        <x:v>20081224</x:v>
      </x:c>
      <x:c r="M424" s="13" t="s">
        <x:v>576</x:v>
      </x:c>
      <x:c r="N424" s="13" t="s">
        <x:v>2045</x:v>
      </x:c>
      <x:c r="O424" s="13" t="s">
        <x:v>1737</x:v>
      </x:c>
      <x:c r="P424" s="202">
        <x:v>483</x:v>
      </x:c>
      <x:c r="Q424" s="13" t="s">
        <x:v>572</x:v>
      </x:c>
      <x:c r="R424" s="13" t="s">
        <x:v>1770</x:v>
      </x:c>
      <x:c r="S424" s="13" t="s">
        <x:v>1726</x:v>
      </x:c>
      <x:c r="T424" s="13" t="s">
        <x:v>1773</x:v>
      </x:c>
      <x:c r="U424" s="13"/>
      <x:c r="V424" s="13" t="s">
        <x:v>1688</x:v>
      </x:c>
    </x:row>
    <x:row r="425" spans="1:22" s="14" customFormat="1" ht="13.5" customHeight="1">
      <x:c r="A425" s="13" t="str">
        <x:f>O425</x:f>
        <x:v>정보부보관</x:v>
      </x:c>
      <x:c r="B425" s="25" t="str">
        <x:f>L425&amp;"-"&amp;TEXT(P425,"0000")</x:f>
        <x:v>20081224-0484</x:v>
      </x:c>
      <x:c r="C425" s="13" t="s">
        <x:v>1564</x:v>
      </x:c>
      <x:c r="D425" s="13" t="s">
        <x:v>1533</x:v>
      </x:c>
      <x:c r="E425" s="13" t="s">
        <x:v>1251</x:v>
      </x:c>
      <x:c r="F425" s="13" t="s">
        <x:v>2126</x:v>
      </x:c>
      <x:c r="G425" s="18" t="s">
        <x:v>1537</x:v>
      </x:c>
      <x:c r="H425" s="13" t="str">
        <x:f>IFERROR(VLOOKUP(O425,'정보화기기 명부'!A$2:B$187,2,FALSE),"")</x:f>
        <x:v/>
      </x:c>
      <x:c r="I425" s="13"/>
      <x:c r="J425" s="17"/>
      <x:c r="K425" s="17"/>
      <x:c r="L425" s="13">
        <x:v>20081224</x:v>
      </x:c>
      <x:c r="M425" s="13" t="s">
        <x:v>576</x:v>
      </x:c>
      <x:c r="N425" s="13" t="s">
        <x:v>2045</x:v>
      </x:c>
      <x:c r="O425" s="13" t="s">
        <x:v>1737</x:v>
      </x:c>
      <x:c r="P425" s="202">
        <x:v>484</x:v>
      </x:c>
      <x:c r="Q425" s="13" t="s">
        <x:v>572</x:v>
      </x:c>
      <x:c r="R425" s="13" t="s">
        <x:v>1770</x:v>
      </x:c>
      <x:c r="S425" s="13" t="s">
        <x:v>1726</x:v>
      </x:c>
      <x:c r="T425" s="13" t="s">
        <x:v>1773</x:v>
      </x:c>
      <x:c r="U425" s="13"/>
      <x:c r="V425" s="13" t="s">
        <x:v>1688</x:v>
      </x:c>
    </x:row>
    <x:row r="426" spans="1:22" s="14" customFormat="1" ht="13.5" customHeight="1">
      <x:c r="A426" s="13" t="str">
        <x:f>O426</x:f>
        <x:v>정보부보관</x:v>
      </x:c>
      <x:c r="B426" s="25" t="str">
        <x:f>L426&amp;"-"&amp;TEXT(P426,"0000")</x:f>
        <x:v>20080821-0454</x:v>
      </x:c>
      <x:c r="C426" s="13" t="s">
        <x:v>1564</x:v>
      </x:c>
      <x:c r="D426" s="13" t="s">
        <x:v>1533</x:v>
      </x:c>
      <x:c r="E426" s="13" t="s">
        <x:v>1251</x:v>
      </x:c>
      <x:c r="F426" s="13" t="s">
        <x:v>2131</x:v>
      </x:c>
      <x:c r="G426" s="18" t="s">
        <x:v>1537</x:v>
      </x:c>
      <x:c r="H426" s="13" t="str">
        <x:f>IFERROR(VLOOKUP(O426,'정보화기기 명부'!A$2:B$187,2,FALSE),"")</x:f>
        <x:v/>
      </x:c>
      <x:c r="I426" s="13"/>
      <x:c r="J426" s="17"/>
      <x:c r="K426" s="17"/>
      <x:c r="L426" s="13">
        <x:v>20080821</x:v>
      </x:c>
      <x:c r="M426" s="13" t="s">
        <x:v>576</x:v>
      </x:c>
      <x:c r="N426" s="13" t="s">
        <x:v>2045</x:v>
      </x:c>
      <x:c r="O426" s="13" t="s">
        <x:v>1737</x:v>
      </x:c>
      <x:c r="P426" s="202">
        <x:v>454</x:v>
      </x:c>
      <x:c r="Q426" s="13" t="s">
        <x:v>572</x:v>
      </x:c>
      <x:c r="R426" s="13" t="s">
        <x:v>1744</x:v>
      </x:c>
      <x:c r="S426" s="13" t="s">
        <x:v>1726</x:v>
      </x:c>
      <x:c r="T426" s="13" t="s">
        <x:v>1773</x:v>
      </x:c>
      <x:c r="U426" s="13"/>
      <x:c r="V426" s="13" t="s">
        <x:v>1688</x:v>
      </x:c>
    </x:row>
    <x:row r="427" spans="1:22" s="14" customFormat="1" ht="13.5" customHeight="1">
      <x:c r="A427" s="13" t="str">
        <x:f>O427</x:f>
        <x:v>정보부보관</x:v>
      </x:c>
      <x:c r="B427" s="25" t="str">
        <x:f>L427&amp;"-"&amp;TEXT(P427,"0000")</x:f>
        <x:v>20080821-0455</x:v>
      </x:c>
      <x:c r="C427" s="13" t="s">
        <x:v>1564</x:v>
      </x:c>
      <x:c r="D427" s="13" t="s">
        <x:v>1533</x:v>
      </x:c>
      <x:c r="E427" s="13" t="s">
        <x:v>1251</x:v>
      </x:c>
      <x:c r="F427" s="13" t="s">
        <x:v>2131</x:v>
      </x:c>
      <x:c r="G427" s="18" t="s">
        <x:v>1537</x:v>
      </x:c>
      <x:c r="H427" s="13" t="str">
        <x:f>IFERROR(VLOOKUP(O427,'정보화기기 명부'!A$2:B$187,2,FALSE),"")</x:f>
        <x:v/>
      </x:c>
      <x:c r="I427" s="13"/>
      <x:c r="J427" s="17"/>
      <x:c r="K427" s="17"/>
      <x:c r="L427" s="13">
        <x:v>20080821</x:v>
      </x:c>
      <x:c r="M427" s="13" t="s">
        <x:v>576</x:v>
      </x:c>
      <x:c r="N427" s="13" t="s">
        <x:v>2045</x:v>
      </x:c>
      <x:c r="O427" s="13" t="s">
        <x:v>1737</x:v>
      </x:c>
      <x:c r="P427" s="202">
        <x:v>455</x:v>
      </x:c>
      <x:c r="Q427" s="13" t="s">
        <x:v>572</x:v>
      </x:c>
      <x:c r="R427" s="13" t="s">
        <x:v>1744</x:v>
      </x:c>
      <x:c r="S427" s="13" t="s">
        <x:v>1726</x:v>
      </x:c>
      <x:c r="T427" s="13" t="s">
        <x:v>1773</x:v>
      </x:c>
      <x:c r="U427" s="13"/>
      <x:c r="V427" s="13" t="s">
        <x:v>1688</x:v>
      </x:c>
    </x:row>
    <x:row r="428" spans="1:22" s="14" customFormat="1" ht="13.5" customHeight="1">
      <x:c r="A428" s="13" t="str">
        <x:f>O428</x:f>
        <x:v>정보부보관</x:v>
      </x:c>
      <x:c r="B428" s="25" t="str">
        <x:f>L428&amp;"-"&amp;TEXT(P428,"0000")</x:f>
        <x:v>20080821-0456</x:v>
      </x:c>
      <x:c r="C428" s="13" t="s">
        <x:v>1564</x:v>
      </x:c>
      <x:c r="D428" s="13" t="s">
        <x:v>1533</x:v>
      </x:c>
      <x:c r="E428" s="13" t="s">
        <x:v>1251</x:v>
      </x:c>
      <x:c r="F428" s="13" t="s">
        <x:v>2131</x:v>
      </x:c>
      <x:c r="G428" s="18" t="s">
        <x:v>1537</x:v>
      </x:c>
      <x:c r="H428" s="13" t="str">
        <x:f>IFERROR(VLOOKUP(O428,'정보화기기 명부'!A$2:B$187,2,FALSE),"")</x:f>
        <x:v/>
      </x:c>
      <x:c r="I428" s="13"/>
      <x:c r="J428" s="17"/>
      <x:c r="K428" s="17"/>
      <x:c r="L428" s="13">
        <x:v>20080821</x:v>
      </x:c>
      <x:c r="M428" s="13" t="s">
        <x:v>576</x:v>
      </x:c>
      <x:c r="N428" s="13" t="s">
        <x:v>2045</x:v>
      </x:c>
      <x:c r="O428" s="13" t="s">
        <x:v>1737</x:v>
      </x:c>
      <x:c r="P428" s="202">
        <x:v>456</x:v>
      </x:c>
      <x:c r="Q428" s="13" t="s">
        <x:v>572</x:v>
      </x:c>
      <x:c r="R428" s="13" t="s">
        <x:v>1744</x:v>
      </x:c>
      <x:c r="S428" s="13" t="s">
        <x:v>1726</x:v>
      </x:c>
      <x:c r="T428" s="13" t="s">
        <x:v>1773</x:v>
      </x:c>
      <x:c r="U428" s="13"/>
      <x:c r="V428" s="13" t="s">
        <x:v>1688</x:v>
      </x:c>
    </x:row>
    <x:row r="429" spans="1:22" s="14" customFormat="1" ht="13.5" customHeight="1">
      <x:c r="A429" s="13" t="str">
        <x:f>O429</x:f>
        <x:v>정보부보관</x:v>
      </x:c>
      <x:c r="B429" s="25" t="str">
        <x:f>L429&amp;"-"&amp;TEXT(P429,"0000")</x:f>
        <x:v>20080821-0457</x:v>
      </x:c>
      <x:c r="C429" s="13" t="s">
        <x:v>1564</x:v>
      </x:c>
      <x:c r="D429" s="13" t="s">
        <x:v>1533</x:v>
      </x:c>
      <x:c r="E429" s="13" t="s">
        <x:v>1251</x:v>
      </x:c>
      <x:c r="F429" s="13" t="s">
        <x:v>2131</x:v>
      </x:c>
      <x:c r="G429" s="18" t="s">
        <x:v>1529</x:v>
      </x:c>
      <x:c r="H429" s="13" t="str">
        <x:f>IFERROR(VLOOKUP(O429,'정보화기기 명부'!A$2:B$187,2,FALSE),"")</x:f>
        <x:v/>
      </x:c>
      <x:c r="I429" s="13"/>
      <x:c r="J429" s="17"/>
      <x:c r="K429" s="17"/>
      <x:c r="L429" s="13">
        <x:v>20080821</x:v>
      </x:c>
      <x:c r="M429" s="13" t="s">
        <x:v>576</x:v>
      </x:c>
      <x:c r="N429" s="13" t="s">
        <x:v>2045</x:v>
      </x:c>
      <x:c r="O429" s="13" t="s">
        <x:v>1737</x:v>
      </x:c>
      <x:c r="P429" s="202">
        <x:v>457</x:v>
      </x:c>
      <x:c r="Q429" s="13" t="s">
        <x:v>572</x:v>
      </x:c>
      <x:c r="R429" s="13" t="s">
        <x:v>1744</x:v>
      </x:c>
      <x:c r="S429" s="13" t="s">
        <x:v>1726</x:v>
      </x:c>
      <x:c r="T429" s="13" t="s">
        <x:v>1773</x:v>
      </x:c>
      <x:c r="U429" s="13"/>
      <x:c r="V429" s="13" t="s">
        <x:v>1688</x:v>
      </x:c>
    </x:row>
    <x:row r="430" spans="1:22" s="14" customFormat="1" ht="13.5" customHeight="1">
      <x:c r="A430" s="13" t="str">
        <x:f>O430</x:f>
        <x:v>정보부보관</x:v>
      </x:c>
      <x:c r="B430" s="25" t="str">
        <x:f>L430&amp;"-"&amp;TEXT(P430,"0000")</x:f>
        <x:v>20080821-0458</x:v>
      </x:c>
      <x:c r="C430" s="13" t="s">
        <x:v>1564</x:v>
      </x:c>
      <x:c r="D430" s="13" t="s">
        <x:v>1533</x:v>
      </x:c>
      <x:c r="E430" s="13" t="s">
        <x:v>1251</x:v>
      </x:c>
      <x:c r="F430" s="13" t="s">
        <x:v>2131</x:v>
      </x:c>
      <x:c r="G430" s="18" t="s">
        <x:v>1537</x:v>
      </x:c>
      <x:c r="H430" s="13" t="str">
        <x:f>IFERROR(VLOOKUP(O430,'정보화기기 명부'!A$2:B$187,2,FALSE),"")</x:f>
        <x:v/>
      </x:c>
      <x:c r="I430" s="13"/>
      <x:c r="J430" s="17"/>
      <x:c r="K430" s="17"/>
      <x:c r="L430" s="13">
        <x:v>20080821</x:v>
      </x:c>
      <x:c r="M430" s="13" t="s">
        <x:v>576</x:v>
      </x:c>
      <x:c r="N430" s="13" t="s">
        <x:v>2045</x:v>
      </x:c>
      <x:c r="O430" s="13" t="s">
        <x:v>1737</x:v>
      </x:c>
      <x:c r="P430" s="202">
        <x:v>458</x:v>
      </x:c>
      <x:c r="Q430" s="13" t="s">
        <x:v>572</x:v>
      </x:c>
      <x:c r="R430" s="13" t="s">
        <x:v>1744</x:v>
      </x:c>
      <x:c r="S430" s="13" t="s">
        <x:v>1726</x:v>
      </x:c>
      <x:c r="T430" s="13" t="s">
        <x:v>1773</x:v>
      </x:c>
      <x:c r="U430" s="13"/>
      <x:c r="V430" s="13" t="s">
        <x:v>1688</x:v>
      </x:c>
    </x:row>
    <x:row r="431" spans="1:22" s="14" customFormat="1" ht="13.5" customHeight="1">
      <x:c r="A431" s="13" t="str">
        <x:f>O431</x:f>
        <x:v>정보부보관</x:v>
      </x:c>
      <x:c r="B431" s="25" t="str">
        <x:f>L431&amp;"-"&amp;TEXT(P431,"0000")</x:f>
        <x:v>20080821-0459</x:v>
      </x:c>
      <x:c r="C431" s="13" t="s">
        <x:v>1564</x:v>
      </x:c>
      <x:c r="D431" s="13" t="s">
        <x:v>1533</x:v>
      </x:c>
      <x:c r="E431" s="13" t="s">
        <x:v>1251</x:v>
      </x:c>
      <x:c r="F431" s="13" t="s">
        <x:v>2131</x:v>
      </x:c>
      <x:c r="G431" s="18" t="s">
        <x:v>1537</x:v>
      </x:c>
      <x:c r="H431" s="13" t="str">
        <x:f>IFERROR(VLOOKUP(O431,'정보화기기 명부'!A$2:B$187,2,FALSE),"")</x:f>
        <x:v/>
      </x:c>
      <x:c r="I431" s="13"/>
      <x:c r="J431" s="17"/>
      <x:c r="K431" s="17"/>
      <x:c r="L431" s="13">
        <x:v>20080821</x:v>
      </x:c>
      <x:c r="M431" s="13" t="s">
        <x:v>576</x:v>
      </x:c>
      <x:c r="N431" s="13" t="s">
        <x:v>2045</x:v>
      </x:c>
      <x:c r="O431" s="13" t="s">
        <x:v>1737</x:v>
      </x:c>
      <x:c r="P431" s="202">
        <x:v>459</x:v>
      </x:c>
      <x:c r="Q431" s="13" t="s">
        <x:v>572</x:v>
      </x:c>
      <x:c r="R431" s="13" t="s">
        <x:v>1744</x:v>
      </x:c>
      <x:c r="S431" s="13" t="s">
        <x:v>1726</x:v>
      </x:c>
      <x:c r="T431" s="13" t="s">
        <x:v>1773</x:v>
      </x:c>
      <x:c r="U431" s="13"/>
      <x:c r="V431" s="13" t="s">
        <x:v>1688</x:v>
      </x:c>
    </x:row>
    <x:row r="432" spans="1:22" s="14" customFormat="1" ht="13.5" customHeight="1">
      <x:c r="A432" s="13" t="str">
        <x:f>O432</x:f>
        <x:v>정보부</x:v>
      </x:c>
      <x:c r="B432" s="25" t="str">
        <x:f>L432&amp;"-"&amp;TEXT(P432,"0000")</x:f>
        <x:v>20080821-0460</x:v>
      </x:c>
      <x:c r="C432" s="13" t="s">
        <x:v>1564</x:v>
      </x:c>
      <x:c r="D432" s="13" t="s">
        <x:v>1533</x:v>
      </x:c>
      <x:c r="E432" s="13" t="s">
        <x:v>1251</x:v>
      </x:c>
      <x:c r="F432" s="13" t="s">
        <x:v>2131</x:v>
      </x:c>
      <x:c r="G432" s="18" t="s">
        <x:v>1537</x:v>
      </x:c>
      <x:c r="H432" s="13" t="str">
        <x:f>IFERROR(VLOOKUP(O432,'정보화기기 명부'!A$2:B$187,2,FALSE),"")</x:f>
        <x:v/>
      </x:c>
      <x:c r="I432" s="13"/>
      <x:c r="J432" s="17"/>
      <x:c r="K432" s="17"/>
      <x:c r="L432" s="13">
        <x:v>20080821</x:v>
      </x:c>
      <x:c r="M432" s="13" t="s">
        <x:v>576</x:v>
      </x:c>
      <x:c r="N432" s="13" t="s">
        <x:v>2045</x:v>
      </x:c>
      <x:c r="O432" s="13" t="s">
        <x:v>1303</x:v>
      </x:c>
      <x:c r="P432" s="202">
        <x:v>460</x:v>
      </x:c>
      <x:c r="Q432" s="13" t="s">
        <x:v>572</x:v>
      </x:c>
      <x:c r="R432" s="13" t="s">
        <x:v>1744</x:v>
      </x:c>
      <x:c r="S432" s="13" t="s">
        <x:v>1726</x:v>
      </x:c>
      <x:c r="T432" s="13" t="s">
        <x:v>1773</x:v>
      </x:c>
      <x:c r="U432" s="13"/>
      <x:c r="V432" s="13" t="s">
        <x:v>1688</x:v>
      </x:c>
    </x:row>
    <x:row r="433" spans="1:22" s="14" customFormat="1" ht="13.5" customHeight="1">
      <x:c r="A433" s="13" t="str">
        <x:f>O433</x:f>
        <x:v>정보부보관</x:v>
      </x:c>
      <x:c r="B433" s="25" t="str">
        <x:f>L433&amp;"-"&amp;TEXT(P433,"0000")</x:f>
        <x:v>20080821-0461</x:v>
      </x:c>
      <x:c r="C433" s="13" t="s">
        <x:v>1564</x:v>
      </x:c>
      <x:c r="D433" s="13" t="s">
        <x:v>1533</x:v>
      </x:c>
      <x:c r="E433" s="13" t="s">
        <x:v>1251</x:v>
      </x:c>
      <x:c r="F433" s="13" t="s">
        <x:v>2131</x:v>
      </x:c>
      <x:c r="G433" s="18" t="s">
        <x:v>1537</x:v>
      </x:c>
      <x:c r="H433" s="13" t="str">
        <x:f>IFERROR(VLOOKUP(O433,'정보화기기 명부'!A$2:B$187,2,FALSE),"")</x:f>
        <x:v/>
      </x:c>
      <x:c r="I433" s="13"/>
      <x:c r="J433" s="17"/>
      <x:c r="K433" s="17"/>
      <x:c r="L433" s="13">
        <x:v>20080821</x:v>
      </x:c>
      <x:c r="M433" s="13" t="s">
        <x:v>576</x:v>
      </x:c>
      <x:c r="N433" s="13" t="s">
        <x:v>2045</x:v>
      </x:c>
      <x:c r="O433" s="13" t="s">
        <x:v>1737</x:v>
      </x:c>
      <x:c r="P433" s="202">
        <x:v>461</x:v>
      </x:c>
      <x:c r="Q433" s="13" t="s">
        <x:v>572</x:v>
      </x:c>
      <x:c r="R433" s="13" t="s">
        <x:v>1744</x:v>
      </x:c>
      <x:c r="S433" s="13" t="s">
        <x:v>1726</x:v>
      </x:c>
      <x:c r="T433" s="13" t="s">
        <x:v>1773</x:v>
      </x:c>
      <x:c r="U433" s="13"/>
      <x:c r="V433" s="13" t="s">
        <x:v>1688</x:v>
      </x:c>
    </x:row>
    <x:row r="434" spans="1:22" s="14" customFormat="1" ht="13.5" customHeight="1">
      <x:c r="A434" s="13" t="str">
        <x:f>O434</x:f>
        <x:v>정보부보관</x:v>
      </x:c>
      <x:c r="B434" s="25" t="str">
        <x:f>L434&amp;"-"&amp;TEXT(P434,"0000")</x:f>
        <x:v>20080821-0462</x:v>
      </x:c>
      <x:c r="C434" s="13" t="s">
        <x:v>1564</x:v>
      </x:c>
      <x:c r="D434" s="13" t="s">
        <x:v>1533</x:v>
      </x:c>
      <x:c r="E434" s="13" t="s">
        <x:v>1251</x:v>
      </x:c>
      <x:c r="F434" s="13" t="s">
        <x:v>2131</x:v>
      </x:c>
      <x:c r="G434" s="18" t="s">
        <x:v>1537</x:v>
      </x:c>
      <x:c r="H434" s="13" t="str">
        <x:f>IFERROR(VLOOKUP(O434,'정보화기기 명부'!A$2:B$187,2,FALSE),"")</x:f>
        <x:v/>
      </x:c>
      <x:c r="I434" s="13"/>
      <x:c r="J434" s="17"/>
      <x:c r="K434" s="17"/>
      <x:c r="L434" s="13">
        <x:v>20080821</x:v>
      </x:c>
      <x:c r="M434" s="13" t="s">
        <x:v>576</x:v>
      </x:c>
      <x:c r="N434" s="13" t="s">
        <x:v>2045</x:v>
      </x:c>
      <x:c r="O434" s="13" t="s">
        <x:v>1737</x:v>
      </x:c>
      <x:c r="P434" s="202">
        <x:v>462</x:v>
      </x:c>
      <x:c r="Q434" s="13" t="s">
        <x:v>572</x:v>
      </x:c>
      <x:c r="R434" s="13" t="s">
        <x:v>1744</x:v>
      </x:c>
      <x:c r="S434" s="13" t="s">
        <x:v>1726</x:v>
      </x:c>
      <x:c r="T434" s="13" t="s">
        <x:v>1773</x:v>
      </x:c>
      <x:c r="U434" s="13"/>
      <x:c r="V434" s="13" t="s">
        <x:v>1688</x:v>
      </x:c>
    </x:row>
    <x:row r="435" spans="1:22" s="14" customFormat="1" ht="13.5" customHeight="1">
      <x:c r="A435" s="13" t="str">
        <x:f>O435</x:f>
        <x:v>정보부(한남숙)</x:v>
      </x:c>
      <x:c r="B435" s="25" t="str">
        <x:f>L435&amp;"-"&amp;TEXT(P435,"0000")</x:f>
        <x:v>20080821-0463</x:v>
      </x:c>
      <x:c r="C435" s="13" t="s">
        <x:v>1564</x:v>
      </x:c>
      <x:c r="D435" s="13" t="s">
        <x:v>1533</x:v>
      </x:c>
      <x:c r="E435" s="13" t="s">
        <x:v>1251</x:v>
      </x:c>
      <x:c r="F435" s="13" t="s">
        <x:v>2131</x:v>
      </x:c>
      <x:c r="G435" s="18" t="s">
        <x:v>1537</x:v>
      </x:c>
      <x:c r="H435" s="13" t="str">
        <x:f>IFERROR(VLOOKUP(O435,'정보화기기 명부'!A$2:B$187,2,FALSE),"")</x:f>
        <x:v/>
      </x:c>
      <x:c r="I435" s="13"/>
      <x:c r="J435" s="17"/>
      <x:c r="K435" s="17"/>
      <x:c r="L435" s="13">
        <x:v>20080821</x:v>
      </x:c>
      <x:c r="M435" s="13" t="s">
        <x:v>576</x:v>
      </x:c>
      <x:c r="N435" s="13" t="s">
        <x:v>2045</x:v>
      </x:c>
      <x:c r="O435" s="13" t="s">
        <x:v>583</x:v>
      </x:c>
      <x:c r="P435" s="202">
        <x:v>463</x:v>
      </x:c>
      <x:c r="Q435" s="13" t="s">
        <x:v>572</x:v>
      </x:c>
      <x:c r="R435" s="13" t="s">
        <x:v>1744</x:v>
      </x:c>
      <x:c r="S435" s="13" t="s">
        <x:v>1726</x:v>
      </x:c>
      <x:c r="T435" s="13" t="s">
        <x:v>1773</x:v>
      </x:c>
      <x:c r="U435" s="13"/>
      <x:c r="V435" s="13" t="s">
        <x:v>1688</x:v>
      </x:c>
    </x:row>
    <x:row r="436" spans="1:22" s="14" customFormat="1" ht="13.5" customHeight="1">
      <x:c r="A436" s="13" t="str">
        <x:f>O436</x:f>
        <x:v>정보부보관</x:v>
      </x:c>
      <x:c r="B436" s="25" t="str">
        <x:f>L436&amp;"-"&amp;TEXT(P436,"0000")</x:f>
        <x:v>20080821-0464</x:v>
      </x:c>
      <x:c r="C436" s="13" t="s">
        <x:v>1564</x:v>
      </x:c>
      <x:c r="D436" s="13" t="s">
        <x:v>1533</x:v>
      </x:c>
      <x:c r="E436" s="13" t="s">
        <x:v>1251</x:v>
      </x:c>
      <x:c r="F436" s="13" t="s">
        <x:v>2131</x:v>
      </x:c>
      <x:c r="G436" s="18" t="s">
        <x:v>1537</x:v>
      </x:c>
      <x:c r="H436" s="13" t="str">
        <x:f>IFERROR(VLOOKUP(O436,'정보화기기 명부'!A$2:B$187,2,FALSE),"")</x:f>
        <x:v/>
      </x:c>
      <x:c r="I436" s="13"/>
      <x:c r="J436" s="17"/>
      <x:c r="K436" s="17"/>
      <x:c r="L436" s="13">
        <x:v>20080821</x:v>
      </x:c>
      <x:c r="M436" s="13" t="s">
        <x:v>576</x:v>
      </x:c>
      <x:c r="N436" s="13" t="s">
        <x:v>2045</x:v>
      </x:c>
      <x:c r="O436" s="13" t="s">
        <x:v>1737</x:v>
      </x:c>
      <x:c r="P436" s="202">
        <x:v>464</x:v>
      </x:c>
      <x:c r="Q436" s="13" t="s">
        <x:v>572</x:v>
      </x:c>
      <x:c r="R436" s="13" t="s">
        <x:v>1744</x:v>
      </x:c>
      <x:c r="S436" s="13" t="s">
        <x:v>1726</x:v>
      </x:c>
      <x:c r="T436" s="13" t="s">
        <x:v>1773</x:v>
      </x:c>
      <x:c r="U436" s="13"/>
      <x:c r="V436" s="13" t="s">
        <x:v>1688</x:v>
      </x:c>
    </x:row>
    <x:row r="437" spans="1:22" s="14" customFormat="1" ht="13.5" customHeight="1">
      <x:c r="A437" s="13" t="str">
        <x:f>O437</x:f>
        <x:v>정보부보관</x:v>
      </x:c>
      <x:c r="B437" s="25" t="str">
        <x:f>L437&amp;"-"&amp;TEXT(P437,"0000")</x:f>
        <x:v>20080821-0465</x:v>
      </x:c>
      <x:c r="C437" s="13" t="s">
        <x:v>1564</x:v>
      </x:c>
      <x:c r="D437" s="13" t="s">
        <x:v>1533</x:v>
      </x:c>
      <x:c r="E437" s="13" t="s">
        <x:v>1251</x:v>
      </x:c>
      <x:c r="F437" s="20" t="s">
        <x:v>2131</x:v>
      </x:c>
      <x:c r="G437" s="13" t="s">
        <x:v>1537</x:v>
      </x:c>
      <x:c r="H437" s="13" t="str">
        <x:f>IFERROR(VLOOKUP(O437,'정보화기기 명부'!A$2:B$187,2,FALSE),"")</x:f>
        <x:v/>
      </x:c>
      <x:c r="I437" s="13"/>
      <x:c r="J437" s="13"/>
      <x:c r="K437" s="13"/>
      <x:c r="L437" s="13">
        <x:v>20080821</x:v>
      </x:c>
      <x:c r="M437" s="13" t="s">
        <x:v>576</x:v>
      </x:c>
      <x:c r="N437" s="13" t="s">
        <x:v>2045</x:v>
      </x:c>
      <x:c r="O437" s="13" t="s">
        <x:v>1737</x:v>
      </x:c>
      <x:c r="P437" s="202">
        <x:v>465</x:v>
      </x:c>
      <x:c r="Q437" s="13" t="s">
        <x:v>572</x:v>
      </x:c>
      <x:c r="R437" s="13" t="s">
        <x:v>1744</x:v>
      </x:c>
      <x:c r="S437" s="13" t="s">
        <x:v>1726</x:v>
      </x:c>
      <x:c r="T437" s="13" t="s">
        <x:v>1773</x:v>
      </x:c>
      <x:c r="U437" s="13"/>
      <x:c r="V437" s="13" t="s">
        <x:v>1688</x:v>
      </x:c>
    </x:row>
    <x:row r="438" spans="1:22" s="14" customFormat="1" ht="13.5" customHeight="1">
      <x:c r="A438" s="13" t="str">
        <x:f>O438</x:f>
        <x:v>정보부보관</x:v>
      </x:c>
      <x:c r="B438" s="25" t="str">
        <x:f>L438&amp;"-"&amp;TEXT(P438,"0000")</x:f>
        <x:v>20080821-0466</x:v>
      </x:c>
      <x:c r="C438" s="13" t="s">
        <x:v>1564</x:v>
      </x:c>
      <x:c r="D438" s="13" t="s">
        <x:v>1533</x:v>
      </x:c>
      <x:c r="E438" s="13" t="s">
        <x:v>1251</x:v>
      </x:c>
      <x:c r="F438" s="13" t="s">
        <x:v>2131</x:v>
      </x:c>
      <x:c r="G438" s="13" t="s">
        <x:v>1537</x:v>
      </x:c>
      <x:c r="H438" s="13" t="str">
        <x:f>IFERROR(VLOOKUP(O438,'정보화기기 명부'!A$2:B$187,2,FALSE),"")</x:f>
        <x:v/>
      </x:c>
      <x:c r="I438" s="13"/>
      <x:c r="J438" s="13"/>
      <x:c r="K438" s="13"/>
      <x:c r="L438" s="13">
        <x:v>20080821</x:v>
      </x:c>
      <x:c r="M438" s="13" t="s">
        <x:v>576</x:v>
      </x:c>
      <x:c r="N438" s="13" t="s">
        <x:v>2045</x:v>
      </x:c>
      <x:c r="O438" s="13" t="s">
        <x:v>1737</x:v>
      </x:c>
      <x:c r="P438" s="202">
        <x:v>466</x:v>
      </x:c>
      <x:c r="Q438" s="13" t="s">
        <x:v>572</x:v>
      </x:c>
      <x:c r="R438" s="13" t="s">
        <x:v>1744</x:v>
      </x:c>
      <x:c r="S438" s="13" t="s">
        <x:v>1726</x:v>
      </x:c>
      <x:c r="T438" s="13" t="s">
        <x:v>1773</x:v>
      </x:c>
      <x:c r="U438" s="13"/>
      <x:c r="V438" s="13" t="s">
        <x:v>1688</x:v>
      </x:c>
    </x:row>
    <x:row r="439" spans="1:22" s="14" customFormat="1" ht="13.5" customHeight="1">
      <x:c r="A439" s="13" t="str">
        <x:f>O439</x:f>
        <x:v>정보부보관</x:v>
      </x:c>
      <x:c r="B439" s="25" t="str">
        <x:f>L439&amp;"-"&amp;TEXT(P439,"0000")</x:f>
        <x:v>20080821-0467</x:v>
      </x:c>
      <x:c r="C439" s="13" t="s">
        <x:v>1564</x:v>
      </x:c>
      <x:c r="D439" s="13" t="s">
        <x:v>1533</x:v>
      </x:c>
      <x:c r="E439" s="13" t="s">
        <x:v>1251</x:v>
      </x:c>
      <x:c r="F439" s="13" t="s">
        <x:v>2131</x:v>
      </x:c>
      <x:c r="G439" s="13" t="s">
        <x:v>1537</x:v>
      </x:c>
      <x:c r="H439" s="13" t="str">
        <x:f>IFERROR(VLOOKUP(O439,'정보화기기 명부'!A$2:B$187,2,FALSE),"")</x:f>
        <x:v/>
      </x:c>
      <x:c r="I439" s="13"/>
      <x:c r="J439" s="13"/>
      <x:c r="K439" s="13"/>
      <x:c r="L439" s="13">
        <x:v>20080821</x:v>
      </x:c>
      <x:c r="M439" s="13" t="s">
        <x:v>576</x:v>
      </x:c>
      <x:c r="N439" s="13" t="s">
        <x:v>2045</x:v>
      </x:c>
      <x:c r="O439" s="13" t="s">
        <x:v>1737</x:v>
      </x:c>
      <x:c r="P439" s="202">
        <x:v>467</x:v>
      </x:c>
      <x:c r="Q439" s="13" t="s">
        <x:v>572</x:v>
      </x:c>
      <x:c r="R439" s="13" t="s">
        <x:v>1744</x:v>
      </x:c>
      <x:c r="S439" s="13" t="s">
        <x:v>1726</x:v>
      </x:c>
      <x:c r="T439" s="13" t="s">
        <x:v>1773</x:v>
      </x:c>
      <x:c r="U439" s="13"/>
      <x:c r="V439" s="13" t="s">
        <x:v>1688</x:v>
      </x:c>
    </x:row>
    <x:row r="440" spans="1:22" s="14" customFormat="1" ht="13.5" customHeight="1">
      <x:c r="A440" s="13" t="str">
        <x:f>O440</x:f>
        <x:v>정보부보관</x:v>
      </x:c>
      <x:c r="B440" s="25" t="str">
        <x:f>L440&amp;"-"&amp;TEXT(P440,"0000")</x:f>
        <x:v>20080821-0468</x:v>
      </x:c>
      <x:c r="C440" s="13" t="s">
        <x:v>1564</x:v>
      </x:c>
      <x:c r="D440" s="13" t="s">
        <x:v>1533</x:v>
      </x:c>
      <x:c r="E440" s="13" t="s">
        <x:v>1251</x:v>
      </x:c>
      <x:c r="F440" s="19" t="s">
        <x:v>2131</x:v>
      </x:c>
      <x:c r="G440" s="13" t="s">
        <x:v>1537</x:v>
      </x:c>
      <x:c r="H440" s="13" t="str">
        <x:f>IFERROR(VLOOKUP(O440,'정보화기기 명부'!A$2:B$187,2,FALSE),"")</x:f>
        <x:v/>
      </x:c>
      <x:c r="I440" s="13"/>
      <x:c r="J440" s="13"/>
      <x:c r="K440" s="13"/>
      <x:c r="L440" s="13">
        <x:v>20080821</x:v>
      </x:c>
      <x:c r="M440" s="13" t="s">
        <x:v>576</x:v>
      </x:c>
      <x:c r="N440" s="13" t="s">
        <x:v>2045</x:v>
      </x:c>
      <x:c r="O440" s="13" t="s">
        <x:v>1737</x:v>
      </x:c>
      <x:c r="P440" s="202">
        <x:v>468</x:v>
      </x:c>
      <x:c r="Q440" s="13" t="s">
        <x:v>572</x:v>
      </x:c>
      <x:c r="R440" s="13" t="s">
        <x:v>1744</x:v>
      </x:c>
      <x:c r="S440" s="13" t="s">
        <x:v>1726</x:v>
      </x:c>
      <x:c r="T440" s="13" t="s">
        <x:v>1773</x:v>
      </x:c>
      <x:c r="U440" s="13"/>
      <x:c r="V440" s="13" t="s">
        <x:v>1688</x:v>
      </x:c>
    </x:row>
    <x:row r="441" spans="1:22" s="14" customFormat="1" ht="13.5" customHeight="1">
      <x:c r="A441" s="13" t="str">
        <x:f>O441</x:f>
        <x:v>정보부보관</x:v>
      </x:c>
      <x:c r="B441" s="25" t="str">
        <x:f>L441&amp;"-"&amp;TEXT(P441,"0000")</x:f>
        <x:v>20080821-0469</x:v>
      </x:c>
      <x:c r="C441" s="13" t="s">
        <x:v>1564</x:v>
      </x:c>
      <x:c r="D441" s="13" t="s">
        <x:v>1533</x:v>
      </x:c>
      <x:c r="E441" s="13" t="s">
        <x:v>1251</x:v>
      </x:c>
      <x:c r="F441" s="13" t="s">
        <x:v>2131</x:v>
      </x:c>
      <x:c r="G441" s="18" t="s">
        <x:v>1537</x:v>
      </x:c>
      <x:c r="H441" s="13" t="str">
        <x:f>IFERROR(VLOOKUP(O441,'정보화기기 명부'!A$2:B$187,2,FALSE),"")</x:f>
        <x:v/>
      </x:c>
      <x:c r="I441" s="13"/>
      <x:c r="J441" s="17"/>
      <x:c r="K441" s="17"/>
      <x:c r="L441" s="13">
        <x:v>20080821</x:v>
      </x:c>
      <x:c r="M441" s="13" t="s">
        <x:v>576</x:v>
      </x:c>
      <x:c r="N441" s="13" t="s">
        <x:v>2045</x:v>
      </x:c>
      <x:c r="O441" s="13" t="s">
        <x:v>1737</x:v>
      </x:c>
      <x:c r="P441" s="202">
        <x:v>469</x:v>
      </x:c>
      <x:c r="Q441" s="13" t="s">
        <x:v>572</x:v>
      </x:c>
      <x:c r="R441" s="13" t="s">
        <x:v>1744</x:v>
      </x:c>
      <x:c r="S441" s="13" t="s">
        <x:v>1726</x:v>
      </x:c>
      <x:c r="T441" s="13" t="s">
        <x:v>1773</x:v>
      </x:c>
      <x:c r="U441" s="13"/>
      <x:c r="V441" s="13" t="s">
        <x:v>1688</x:v>
      </x:c>
    </x:row>
    <x:row r="442" spans="1:22" s="14" customFormat="1" ht="13.5" customHeight="1">
      <x:c r="A442" s="13" t="str">
        <x:f>O442</x:f>
        <x:v>정보부보관</x:v>
      </x:c>
      <x:c r="B442" s="25" t="str">
        <x:f>L442&amp;"-"&amp;TEXT(P442,"0000")</x:f>
        <x:v>20080821-0470</x:v>
      </x:c>
      <x:c r="C442" s="13" t="s">
        <x:v>1564</x:v>
      </x:c>
      <x:c r="D442" s="13" t="s">
        <x:v>1533</x:v>
      </x:c>
      <x:c r="E442" s="13" t="s">
        <x:v>1251</x:v>
      </x:c>
      <x:c r="F442" s="13" t="s">
        <x:v>2131</x:v>
      </x:c>
      <x:c r="G442" s="18" t="s">
        <x:v>1537</x:v>
      </x:c>
      <x:c r="H442" s="13" t="str">
        <x:f>IFERROR(VLOOKUP(O442,'정보화기기 명부'!A$2:B$187,2,FALSE),"")</x:f>
        <x:v/>
      </x:c>
      <x:c r="I442" s="13"/>
      <x:c r="J442" s="17"/>
      <x:c r="K442" s="17"/>
      <x:c r="L442" s="13">
        <x:v>20080821</x:v>
      </x:c>
      <x:c r="M442" s="13" t="s">
        <x:v>576</x:v>
      </x:c>
      <x:c r="N442" s="13" t="s">
        <x:v>2045</x:v>
      </x:c>
      <x:c r="O442" s="13" t="s">
        <x:v>1737</x:v>
      </x:c>
      <x:c r="P442" s="202">
        <x:v>470</x:v>
      </x:c>
      <x:c r="Q442" s="13" t="s">
        <x:v>572</x:v>
      </x:c>
      <x:c r="R442" s="13" t="s">
        <x:v>1744</x:v>
      </x:c>
      <x:c r="S442" s="13" t="s">
        <x:v>1726</x:v>
      </x:c>
      <x:c r="T442" s="13" t="s">
        <x:v>1773</x:v>
      </x:c>
      <x:c r="U442" s="13"/>
      <x:c r="V442" s="13" t="s">
        <x:v>1688</x:v>
      </x:c>
    </x:row>
    <x:row r="443" spans="1:22" s="14" customFormat="1" ht="13.5" customHeight="1">
      <x:c r="A443" s="13" t="str">
        <x:f>O443</x:f>
        <x:v>정보부보관중</x:v>
      </x:c>
      <x:c r="B443" s="25" t="str">
        <x:f>L443&amp;"-"&amp;TEXT(P443,"0000")</x:f>
        <x:v>20080821-0471</x:v>
      </x:c>
      <x:c r="C443" s="13" t="s">
        <x:v>1564</x:v>
      </x:c>
      <x:c r="D443" s="13" t="s">
        <x:v>1533</x:v>
      </x:c>
      <x:c r="E443" s="13" t="s">
        <x:v>1251</x:v>
      </x:c>
      <x:c r="F443" s="13" t="s">
        <x:v>2131</x:v>
      </x:c>
      <x:c r="G443" s="18" t="s">
        <x:v>1537</x:v>
      </x:c>
      <x:c r="H443" s="13" t="str">
        <x:f>IFERROR(VLOOKUP(O443,'정보화기기 명부'!A$2:B$187,2,FALSE),"")</x:f>
        <x:v/>
      </x:c>
      <x:c r="I443" s="13"/>
      <x:c r="J443" s="17"/>
      <x:c r="K443" s="17"/>
      <x:c r="L443" s="13">
        <x:v>20080821</x:v>
      </x:c>
      <x:c r="M443" s="13" t="s">
        <x:v>576</x:v>
      </x:c>
      <x:c r="N443" s="13" t="s">
        <x:v>2045</x:v>
      </x:c>
      <x:c r="O443" s="13" t="s">
        <x:v>1784</x:v>
      </x:c>
      <x:c r="P443" s="202">
        <x:v>471</x:v>
      </x:c>
      <x:c r="Q443" s="13" t="s">
        <x:v>572</x:v>
      </x:c>
      <x:c r="R443" s="13" t="s">
        <x:v>1744</x:v>
      </x:c>
      <x:c r="S443" s="13" t="s">
        <x:v>1726</x:v>
      </x:c>
      <x:c r="T443" s="13" t="s">
        <x:v>1773</x:v>
      </x:c>
      <x:c r="U443" s="13"/>
      <x:c r="V443" s="13" t="s">
        <x:v>1688</x:v>
      </x:c>
    </x:row>
    <x:row r="444" spans="1:22" s="14" customFormat="1" ht="13.5" customHeight="1">
      <x:c r="A444" s="13" t="str">
        <x:f>O444</x:f>
        <x:v>정보부보관</x:v>
      </x:c>
      <x:c r="B444" s="25" t="str">
        <x:f>L444&amp;"-"&amp;TEXT(P444,"0000")</x:f>
        <x:v>20080821-0472</x:v>
      </x:c>
      <x:c r="C444" s="13" t="s">
        <x:v>1564</x:v>
      </x:c>
      <x:c r="D444" s="13" t="s">
        <x:v>1533</x:v>
      </x:c>
      <x:c r="E444" s="13" t="s">
        <x:v>1251</x:v>
      </x:c>
      <x:c r="F444" s="20" t="s">
        <x:v>2131</x:v>
      </x:c>
      <x:c r="G444" s="13" t="s">
        <x:v>1537</x:v>
      </x:c>
      <x:c r="H444" s="13" t="str">
        <x:f>IFERROR(VLOOKUP(O444,'정보화기기 명부'!A$2:B$187,2,FALSE),"")</x:f>
        <x:v/>
      </x:c>
      <x:c r="I444" s="13"/>
      <x:c r="J444" s="13"/>
      <x:c r="K444" s="13"/>
      <x:c r="L444" s="13">
        <x:v>20080821</x:v>
      </x:c>
      <x:c r="M444" s="13" t="s">
        <x:v>576</x:v>
      </x:c>
      <x:c r="N444" s="13" t="s">
        <x:v>2045</x:v>
      </x:c>
      <x:c r="O444" s="13" t="s">
        <x:v>1737</x:v>
      </x:c>
      <x:c r="P444" s="202">
        <x:v>472</x:v>
      </x:c>
      <x:c r="Q444" s="13" t="s">
        <x:v>572</x:v>
      </x:c>
      <x:c r="R444" s="13" t="s">
        <x:v>1744</x:v>
      </x:c>
      <x:c r="S444" s="13" t="s">
        <x:v>1726</x:v>
      </x:c>
      <x:c r="T444" s="13" t="s">
        <x:v>1773</x:v>
      </x:c>
      <x:c r="U444" s="13"/>
      <x:c r="V444" s="13" t="s">
        <x:v>1688</x:v>
      </x:c>
    </x:row>
    <x:row r="445" spans="1:22" s="14" customFormat="1" ht="13.5" customHeight="1">
      <x:c r="A445" s="13" t="str">
        <x:f>O445</x:f>
        <x:v>정보부보관</x:v>
      </x:c>
      <x:c r="B445" s="25" t="str">
        <x:f>L445&amp;"-"&amp;TEXT(P445,"0000")</x:f>
        <x:v>20080821-0473</x:v>
      </x:c>
      <x:c r="C445" s="13" t="s">
        <x:v>1564</x:v>
      </x:c>
      <x:c r="D445" s="13" t="s">
        <x:v>1533</x:v>
      </x:c>
      <x:c r="E445" s="13" t="s">
        <x:v>1251</x:v>
      </x:c>
      <x:c r="F445" s="13" t="s">
        <x:v>2131</x:v>
      </x:c>
      <x:c r="G445" s="13" t="s">
        <x:v>1537</x:v>
      </x:c>
      <x:c r="H445" s="13" t="str">
        <x:f>IFERROR(VLOOKUP(O445,'정보화기기 명부'!A$2:B$187,2,FALSE),"")</x:f>
        <x:v/>
      </x:c>
      <x:c r="I445" s="13"/>
      <x:c r="J445" s="13"/>
      <x:c r="K445" s="13"/>
      <x:c r="L445" s="13">
        <x:v>20080821</x:v>
      </x:c>
      <x:c r="M445" s="13" t="s">
        <x:v>576</x:v>
      </x:c>
      <x:c r="N445" s="13" t="s">
        <x:v>2045</x:v>
      </x:c>
      <x:c r="O445" s="13" t="s">
        <x:v>1737</x:v>
      </x:c>
      <x:c r="P445" s="202">
        <x:v>473</x:v>
      </x:c>
      <x:c r="Q445" s="13" t="s">
        <x:v>572</x:v>
      </x:c>
      <x:c r="R445" s="13" t="s">
        <x:v>1744</x:v>
      </x:c>
      <x:c r="S445" s="13" t="s">
        <x:v>1726</x:v>
      </x:c>
      <x:c r="T445" s="13" t="s">
        <x:v>1773</x:v>
      </x:c>
      <x:c r="U445" s="13"/>
      <x:c r="V445" s="13" t="s">
        <x:v>1688</x:v>
      </x:c>
    </x:row>
    <x:row r="446" spans="1:22" s="14" customFormat="1" ht="13.5" customHeight="1">
      <x:c r="A446" s="13" t="str">
        <x:f>O446</x:f>
        <x:v>정보부보관</x:v>
      </x:c>
      <x:c r="B446" s="25" t="str">
        <x:f>L446&amp;"-"&amp;TEXT(P446,"0000")</x:f>
        <x:v>20080821-0474</x:v>
      </x:c>
      <x:c r="C446" s="13" t="s">
        <x:v>1564</x:v>
      </x:c>
      <x:c r="D446" s="13" t="s">
        <x:v>1533</x:v>
      </x:c>
      <x:c r="E446" s="13" t="s">
        <x:v>1251</x:v>
      </x:c>
      <x:c r="F446" s="13" t="s">
        <x:v>2131</x:v>
      </x:c>
      <x:c r="G446" s="13" t="s">
        <x:v>1537</x:v>
      </x:c>
      <x:c r="H446" s="13" t="str">
        <x:f>IFERROR(VLOOKUP(O446,'정보화기기 명부'!A$2:B$187,2,FALSE),"")</x:f>
        <x:v/>
      </x:c>
      <x:c r="I446" s="13"/>
      <x:c r="J446" s="13"/>
      <x:c r="K446" s="13"/>
      <x:c r="L446" s="13">
        <x:v>20080821</x:v>
      </x:c>
      <x:c r="M446" s="13" t="s">
        <x:v>576</x:v>
      </x:c>
      <x:c r="N446" s="13" t="s">
        <x:v>2045</x:v>
      </x:c>
      <x:c r="O446" s="13" t="s">
        <x:v>1737</x:v>
      </x:c>
      <x:c r="P446" s="202">
        <x:v>474</x:v>
      </x:c>
      <x:c r="Q446" s="13" t="s">
        <x:v>572</x:v>
      </x:c>
      <x:c r="R446" s="13" t="s">
        <x:v>1744</x:v>
      </x:c>
      <x:c r="S446" s="13" t="s">
        <x:v>1726</x:v>
      </x:c>
      <x:c r="T446" s="13" t="s">
        <x:v>1773</x:v>
      </x:c>
      <x:c r="U446" s="13"/>
      <x:c r="V446" s="13" t="s">
        <x:v>1688</x:v>
      </x:c>
    </x:row>
    <x:row r="447" spans="1:22" s="14" customFormat="1" ht="13.5" customHeight="1">
      <x:c r="A447" s="13" t="str">
        <x:f>O447</x:f>
        <x:v>정보부보관</x:v>
      </x:c>
      <x:c r="B447" s="25" t="str">
        <x:f>L447&amp;"-"&amp;TEXT(P447,"0000")</x:f>
        <x:v>20080821-0476</x:v>
      </x:c>
      <x:c r="C447" s="13" t="s">
        <x:v>1564</x:v>
      </x:c>
      <x:c r="D447" s="13" t="s">
        <x:v>1533</x:v>
      </x:c>
      <x:c r="E447" s="13" t="s">
        <x:v>1251</x:v>
      </x:c>
      <x:c r="F447" s="13" t="s">
        <x:v>2131</x:v>
      </x:c>
      <x:c r="G447" s="13" t="s">
        <x:v>1537</x:v>
      </x:c>
      <x:c r="H447" s="13" t="str">
        <x:f>IFERROR(VLOOKUP(O447,'정보화기기 명부'!A$2:B$187,2,FALSE),"")</x:f>
        <x:v/>
      </x:c>
      <x:c r="I447" s="13"/>
      <x:c r="J447" s="13"/>
      <x:c r="K447" s="13"/>
      <x:c r="L447" s="13">
        <x:v>20080821</x:v>
      </x:c>
      <x:c r="M447" s="13" t="s">
        <x:v>576</x:v>
      </x:c>
      <x:c r="N447" s="13" t="s">
        <x:v>2045</x:v>
      </x:c>
      <x:c r="O447" s="13" t="s">
        <x:v>1737</x:v>
      </x:c>
      <x:c r="P447" s="202">
        <x:v>476</x:v>
      </x:c>
      <x:c r="Q447" s="13" t="s">
        <x:v>572</x:v>
      </x:c>
      <x:c r="R447" s="13" t="s">
        <x:v>1744</x:v>
      </x:c>
      <x:c r="S447" s="13" t="s">
        <x:v>1726</x:v>
      </x:c>
      <x:c r="T447" s="13" t="s">
        <x:v>1773</x:v>
      </x:c>
      <x:c r="U447" s="13"/>
      <x:c r="V447" s="13" t="s">
        <x:v>1688</x:v>
      </x:c>
    </x:row>
    <x:row r="448" spans="1:22" s="14" customFormat="1" ht="13.5" customHeight="1">
      <x:c r="A448" s="13" t="str">
        <x:f>O448</x:f>
        <x:v>정보부보관</x:v>
      </x:c>
      <x:c r="B448" s="25" t="str">
        <x:f>L448&amp;"-"&amp;TEXT(P448,"0000")</x:f>
        <x:v>20080821-0477</x:v>
      </x:c>
      <x:c r="C448" s="13" t="s">
        <x:v>1564</x:v>
      </x:c>
      <x:c r="D448" s="13" t="s">
        <x:v>1533</x:v>
      </x:c>
      <x:c r="E448" s="13" t="s">
        <x:v>1251</x:v>
      </x:c>
      <x:c r="F448" s="13" t="s">
        <x:v>2131</x:v>
      </x:c>
      <x:c r="G448" s="13" t="s">
        <x:v>1537</x:v>
      </x:c>
      <x:c r="H448" s="13" t="str">
        <x:f>IFERROR(VLOOKUP(O448,'정보화기기 명부'!A$2:B$187,2,FALSE),"")</x:f>
        <x:v/>
      </x:c>
      <x:c r="I448" s="13"/>
      <x:c r="J448" s="13"/>
      <x:c r="K448" s="13"/>
      <x:c r="L448" s="13">
        <x:v>20080821</x:v>
      </x:c>
      <x:c r="M448" s="13" t="s">
        <x:v>576</x:v>
      </x:c>
      <x:c r="N448" s="13" t="s">
        <x:v>2045</x:v>
      </x:c>
      <x:c r="O448" s="13" t="s">
        <x:v>1737</x:v>
      </x:c>
      <x:c r="P448" s="202">
        <x:v>477</x:v>
      </x:c>
      <x:c r="Q448" s="13" t="s">
        <x:v>572</x:v>
      </x:c>
      <x:c r="R448" s="13" t="s">
        <x:v>1744</x:v>
      </x:c>
      <x:c r="S448" s="13" t="s">
        <x:v>1726</x:v>
      </x:c>
      <x:c r="T448" s="13" t="s">
        <x:v>1773</x:v>
      </x:c>
      <x:c r="U448" s="13"/>
      <x:c r="V448" s="13" t="s">
        <x:v>1688</x:v>
      </x:c>
    </x:row>
    <x:row r="449" spans="1:22" s="14" customFormat="1" ht="13.5" customHeight="1">
      <x:c r="A449" s="13" t="str">
        <x:f>O449</x:f>
        <x:v>정보부보관</x:v>
      </x:c>
      <x:c r="B449" s="25" t="str">
        <x:f>L449&amp;"-"&amp;TEXT(P449,"0000")</x:f>
        <x:v>20080821-0478</x:v>
      </x:c>
      <x:c r="C449" s="13" t="s">
        <x:v>1564</x:v>
      </x:c>
      <x:c r="D449" s="13" t="s">
        <x:v>1533</x:v>
      </x:c>
      <x:c r="E449" s="13" t="s">
        <x:v>1251</x:v>
      </x:c>
      <x:c r="F449" s="13" t="s">
        <x:v>2131</x:v>
      </x:c>
      <x:c r="G449" s="13" t="s">
        <x:v>1537</x:v>
      </x:c>
      <x:c r="H449" s="13" t="str">
        <x:f>IFERROR(VLOOKUP(O449,'정보화기기 명부'!A$2:B$187,2,FALSE),"")</x:f>
        <x:v/>
      </x:c>
      <x:c r="I449" s="13"/>
      <x:c r="J449" s="13"/>
      <x:c r="K449" s="13"/>
      <x:c r="L449" s="13">
        <x:v>20080821</x:v>
      </x:c>
      <x:c r="M449" s="13" t="s">
        <x:v>576</x:v>
      </x:c>
      <x:c r="N449" s="13" t="s">
        <x:v>2045</x:v>
      </x:c>
      <x:c r="O449" s="13" t="s">
        <x:v>1737</x:v>
      </x:c>
      <x:c r="P449" s="202">
        <x:v>478</x:v>
      </x:c>
      <x:c r="Q449" s="13" t="s">
        <x:v>572</x:v>
      </x:c>
      <x:c r="R449" s="13" t="s">
        <x:v>1744</x:v>
      </x:c>
      <x:c r="S449" s="13" t="s">
        <x:v>1726</x:v>
      </x:c>
      <x:c r="T449" s="13" t="s">
        <x:v>1773</x:v>
      </x:c>
      <x:c r="U449" s="13"/>
      <x:c r="V449" s="13" t="s">
        <x:v>1688</x:v>
      </x:c>
    </x:row>
    <x:row r="450" spans="1:22" s="14" customFormat="1" ht="13.5" customHeight="1">
      <x:c r="A450" s="13" t="str">
        <x:f>O450</x:f>
        <x:v>정보부</x:v>
      </x:c>
      <x:c r="B450" s="25" t="str">
        <x:f>L450&amp;"-"&amp;TEXT(P450,"0000")</x:f>
        <x:v>20080821-0479</x:v>
      </x:c>
      <x:c r="C450" s="13" t="s">
        <x:v>1564</x:v>
      </x:c>
      <x:c r="D450" s="13" t="s">
        <x:v>1533</x:v>
      </x:c>
      <x:c r="E450" s="13" t="s">
        <x:v>1251</x:v>
      </x:c>
      <x:c r="F450" s="13" t="s">
        <x:v>2131</x:v>
      </x:c>
      <x:c r="G450" s="13" t="s">
        <x:v>1537</x:v>
      </x:c>
      <x:c r="H450" s="13" t="str">
        <x:f>IFERROR(VLOOKUP(O450,'정보화기기 명부'!A$2:B$187,2,FALSE),"")</x:f>
        <x:v/>
      </x:c>
      <x:c r="I450" s="13"/>
      <x:c r="J450" s="13"/>
      <x:c r="K450" s="13"/>
      <x:c r="L450" s="13">
        <x:v>20080821</x:v>
      </x:c>
      <x:c r="M450" s="13" t="s">
        <x:v>576</x:v>
      </x:c>
      <x:c r="N450" s="13" t="s">
        <x:v>2045</x:v>
      </x:c>
      <x:c r="O450" s="13" t="s">
        <x:v>1303</x:v>
      </x:c>
      <x:c r="P450" s="202">
        <x:v>479</x:v>
      </x:c>
      <x:c r="Q450" s="13" t="s">
        <x:v>572</x:v>
      </x:c>
      <x:c r="R450" s="13" t="s">
        <x:v>1744</x:v>
      </x:c>
      <x:c r="S450" s="13" t="s">
        <x:v>1726</x:v>
      </x:c>
      <x:c r="T450" s="13" t="s">
        <x:v>1773</x:v>
      </x:c>
      <x:c r="U450" s="13"/>
      <x:c r="V450" s="13" t="s">
        <x:v>1688</x:v>
      </x:c>
    </x:row>
    <x:row r="451" spans="1:22" s="14" customFormat="1" ht="13.5" customHeight="1">
      <x:c r="A451" s="13" t="str">
        <x:f>O451</x:f>
        <x:v>정보부보관(파손)</x:v>
      </x:c>
      <x:c r="B451" s="25" t="str">
        <x:f>L451&amp;"-"&amp;TEXT(P451,"0000")</x:f>
        <x:v>20080821-0480</x:v>
      </x:c>
      <x:c r="C451" s="13" t="s">
        <x:v>1564</x:v>
      </x:c>
      <x:c r="D451" s="13" t="s">
        <x:v>1533</x:v>
      </x:c>
      <x:c r="E451" s="13" t="s">
        <x:v>1251</x:v>
      </x:c>
      <x:c r="F451" s="13" t="s">
        <x:v>2131</x:v>
      </x:c>
      <x:c r="G451" s="13" t="s">
        <x:v>1537</x:v>
      </x:c>
      <x:c r="H451" s="13" t="str">
        <x:f>IFERROR(VLOOKUP(O451,'정보화기기 명부'!A$2:B$187,2,FALSE),"")</x:f>
        <x:v/>
      </x:c>
      <x:c r="I451" s="13"/>
      <x:c r="J451" s="13"/>
      <x:c r="K451" s="13"/>
      <x:c r="L451" s="13">
        <x:v>20080821</x:v>
      </x:c>
      <x:c r="M451" s="13" t="s">
        <x:v>576</x:v>
      </x:c>
      <x:c r="N451" s="13" t="s">
        <x:v>2045</x:v>
      </x:c>
      <x:c r="O451" s="13" t="s">
        <x:v>571</x:v>
      </x:c>
      <x:c r="P451" s="202">
        <x:v>480</x:v>
      </x:c>
      <x:c r="Q451" s="13" t="s">
        <x:v>572</x:v>
      </x:c>
      <x:c r="R451" s="13" t="s">
        <x:v>1744</x:v>
      </x:c>
      <x:c r="S451" s="13" t="s">
        <x:v>1726</x:v>
      </x:c>
      <x:c r="T451" s="13" t="s">
        <x:v>1773</x:v>
      </x:c>
      <x:c r="U451" s="13"/>
      <x:c r="V451" s="13" t="s">
        <x:v>1688</x:v>
      </x:c>
    </x:row>
    <x:row r="452" spans="1:22" s="14" customFormat="1" ht="13.5" customHeight="1">
      <x:c r="A452" s="13" t="str">
        <x:f>O452</x:f>
        <x:v>정보부보관</x:v>
      </x:c>
      <x:c r="B452" s="25" t="str">
        <x:f>L452&amp;"-"&amp;TEXT(P452,"0000")</x:f>
        <x:v>20080821-0481</x:v>
      </x:c>
      <x:c r="C452" s="13" t="s">
        <x:v>1564</x:v>
      </x:c>
      <x:c r="D452" s="13" t="s">
        <x:v>1533</x:v>
      </x:c>
      <x:c r="E452" s="13" t="s">
        <x:v>1251</x:v>
      </x:c>
      <x:c r="F452" s="13" t="s">
        <x:v>2131</x:v>
      </x:c>
      <x:c r="G452" s="13" t="s">
        <x:v>1537</x:v>
      </x:c>
      <x:c r="H452" s="13" t="str">
        <x:f>IFERROR(VLOOKUP(O452,'정보화기기 명부'!A$2:B$187,2,FALSE),"")</x:f>
        <x:v/>
      </x:c>
      <x:c r="I452" s="13"/>
      <x:c r="J452" s="13"/>
      <x:c r="K452" s="13"/>
      <x:c r="L452" s="13">
        <x:v>20080821</x:v>
      </x:c>
      <x:c r="M452" s="13" t="s">
        <x:v>576</x:v>
      </x:c>
      <x:c r="N452" s="13" t="s">
        <x:v>2045</x:v>
      </x:c>
      <x:c r="O452" s="13" t="s">
        <x:v>1737</x:v>
      </x:c>
      <x:c r="P452" s="202">
        <x:v>481</x:v>
      </x:c>
      <x:c r="Q452" s="13" t="s">
        <x:v>572</x:v>
      </x:c>
      <x:c r="R452" s="13" t="s">
        <x:v>1744</x:v>
      </x:c>
      <x:c r="S452" s="13" t="s">
        <x:v>1726</x:v>
      </x:c>
      <x:c r="T452" s="13" t="s">
        <x:v>1773</x:v>
      </x:c>
      <x:c r="U452" s="13"/>
      <x:c r="V452" s="13" t="s">
        <x:v>1688</x:v>
      </x:c>
    </x:row>
    <x:row r="453" spans="1:22" s="14" customFormat="1" ht="13.5" customHeight="1">
      <x:c r="A453" s="13" t="str">
        <x:f>O453</x:f>
        <x:v>정보부보관</x:v>
      </x:c>
      <x:c r="B453" s="25" t="str">
        <x:f>L453&amp;"-"&amp;TEXT(P453,"0000")</x:f>
        <x:v>20080821-0560</x:v>
      </x:c>
      <x:c r="C453" s="13" t="s">
        <x:v>1564</x:v>
      </x:c>
      <x:c r="D453" s="13" t="s">
        <x:v>1533</x:v>
      </x:c>
      <x:c r="E453" s="13" t="s">
        <x:v>1251</x:v>
      </x:c>
      <x:c r="F453" s="13" t="s">
        <x:v>2131</x:v>
      </x:c>
      <x:c r="G453" s="13" t="s">
        <x:v>1537</x:v>
      </x:c>
      <x:c r="H453" s="13" t="str">
        <x:f>IFERROR(VLOOKUP(O453,'정보화기기 명부'!A$2:B$187,2,FALSE),"")</x:f>
        <x:v/>
      </x:c>
      <x:c r="I453" s="13"/>
      <x:c r="J453" s="13"/>
      <x:c r="K453" s="13"/>
      <x:c r="L453" s="13">
        <x:v>20080821</x:v>
      </x:c>
      <x:c r="M453" s="13" t="s">
        <x:v>576</x:v>
      </x:c>
      <x:c r="N453" s="13" t="s">
        <x:v>2045</x:v>
      </x:c>
      <x:c r="O453" s="13" t="s">
        <x:v>1737</x:v>
      </x:c>
      <x:c r="P453" s="202">
        <x:v>560</x:v>
      </x:c>
      <x:c r="Q453" s="13" t="s">
        <x:v>572</x:v>
      </x:c>
      <x:c r="R453" s="13" t="s">
        <x:v>1744</x:v>
      </x:c>
      <x:c r="S453" s="13" t="s">
        <x:v>1726</x:v>
      </x:c>
      <x:c r="T453" s="13" t="s">
        <x:v>1773</x:v>
      </x:c>
      <x:c r="U453" s="13"/>
      <x:c r="V453" s="13" t="s">
        <x:v>1688</x:v>
      </x:c>
    </x:row>
    <x:row r="454" spans="1:22" s="14" customFormat="1" ht="13.5" customHeight="1">
      <x:c r="A454" s="13"/>
      <x:c r="B454" s="25" t="str">
        <x:f>L454&amp;"-"&amp;TEXT(P454,"0000")</x:f>
        <x:v>20080821-0489</x:v>
      </x:c>
      <x:c r="C454" s="13" t="s">
        <x:v>1978</x:v>
      </x:c>
      <x:c r="D454" s="13" t="s">
        <x:v>1533</x:v>
      </x:c>
      <x:c r="E454" s="13" t="s">
        <x:v>1568</x:v>
      </x:c>
      <x:c r="F454" s="13" t="s">
        <x:v>2162</x:v>
      </x:c>
      <x:c r="G454" s="13" t="s">
        <x:v>1537</x:v>
      </x:c>
      <x:c r="H454" s="13" t="str">
        <x:f>IFERROR(VLOOKUP(O454,'정보화기기 명부'!A$2:B$187,2,FALSE),"")</x:f>
        <x:v/>
      </x:c>
      <x:c r="I454" s="13"/>
      <x:c r="J454" s="13" t="s">
        <x:v>1751</x:v>
      </x:c>
      <x:c r="K454" s="13"/>
      <x:c r="L454" s="13">
        <x:v>20080821</x:v>
      </x:c>
      <x:c r="M454" s="13" t="s">
        <x:v>1763</x:v>
      </x:c>
      <x:c r="N454" s="13" t="s">
        <x:v>2045</x:v>
      </x:c>
      <x:c r="O454" s="13" t="s">
        <x:v>1351</x:v>
      </x:c>
      <x:c r="P454" s="202">
        <x:v>489</x:v>
      </x:c>
      <x:c r="Q454" s="13" t="s">
        <x:v>572</x:v>
      </x:c>
      <x:c r="R454" s="13" t="s">
        <x:v>1704</x:v>
      </x:c>
      <x:c r="S454" s="13" t="s">
        <x:v>1726</x:v>
      </x:c>
      <x:c r="T454" s="13" t="s">
        <x:v>1632</x:v>
      </x:c>
      <x:c r="U454" s="13"/>
      <x:c r="V454" s="13" t="s">
        <x:v>797</x:v>
      </x:c>
    </x:row>
    <x:row r="455" spans="1:22" s="14" customFormat="1" ht="13.5" customHeight="1">
      <x:c r="A455" s="13"/>
      <x:c r="B455" s="25" t="str">
        <x:f>L455&amp;"-"&amp;TEXT(P455,"0000")</x:f>
        <x:v>20080821-0488</x:v>
      </x:c>
      <x:c r="C455" s="13" t="s">
        <x:v>1978</x:v>
      </x:c>
      <x:c r="D455" s="13" t="s">
        <x:v>1533</x:v>
      </x:c>
      <x:c r="E455" s="13" t="s">
        <x:v>1568</x:v>
      </x:c>
      <x:c r="F455" s="13" t="s">
        <x:v>2162</x:v>
      </x:c>
      <x:c r="G455" s="13" t="s">
        <x:v>1537</x:v>
      </x:c>
      <x:c r="H455" s="13" t="str">
        <x:f>IFERROR(VLOOKUP(O455,'정보화기기 명부'!A$2:B$187,2,FALSE),"")</x:f>
        <x:v/>
      </x:c>
      <x:c r="I455" s="13"/>
      <x:c r="J455" s="13" t="s">
        <x:v>1751</x:v>
      </x:c>
      <x:c r="K455" s="13"/>
      <x:c r="L455" s="13">
        <x:v>20080821</x:v>
      </x:c>
      <x:c r="M455" s="13" t="s">
        <x:v>1763</x:v>
      </x:c>
      <x:c r="N455" s="13" t="s">
        <x:v>2045</x:v>
      </x:c>
      <x:c r="O455" s="13" t="s">
        <x:v>1314</x:v>
      </x:c>
      <x:c r="P455" s="202">
        <x:v>488</x:v>
      </x:c>
      <x:c r="Q455" s="13" t="s">
        <x:v>572</x:v>
      </x:c>
      <x:c r="R455" s="13" t="s">
        <x:v>1704</x:v>
      </x:c>
      <x:c r="S455" s="13" t="s">
        <x:v>1726</x:v>
      </x:c>
      <x:c r="T455" s="13" t="s">
        <x:v>1632</x:v>
      </x:c>
      <x:c r="U455" s="13"/>
      <x:c r="V455" s="13" t="s">
        <x:v>797</x:v>
      </x:c>
    </x:row>
    <x:row r="456" spans="1:22" s="14" customFormat="1" ht="13.5" customHeight="1">
      <x:c r="A456" s="13"/>
      <x:c r="B456" s="25" t="str">
        <x:f>L456&amp;"-"&amp;TEXT(P456,"0000")</x:f>
        <x:v>20080821-0487</x:v>
      </x:c>
      <x:c r="C456" s="13" t="s">
        <x:v>1978</x:v>
      </x:c>
      <x:c r="D456" s="13" t="s">
        <x:v>1533</x:v>
      </x:c>
      <x:c r="E456" s="13" t="s">
        <x:v>1568</x:v>
      </x:c>
      <x:c r="F456" s="13" t="s">
        <x:v>2162</x:v>
      </x:c>
      <x:c r="G456" s="13" t="s">
        <x:v>1537</x:v>
      </x:c>
      <x:c r="H456" s="13" t="str">
        <x:f>IFERROR(VLOOKUP(O456,'정보화기기 명부'!A$2:B$187,2,FALSE),"")</x:f>
        <x:v/>
      </x:c>
      <x:c r="I456" s="13"/>
      <x:c r="J456" s="13" t="s">
        <x:v>1751</x:v>
      </x:c>
      <x:c r="K456" s="13"/>
      <x:c r="L456" s="13">
        <x:v>20080821</x:v>
      </x:c>
      <x:c r="M456" s="13" t="s">
        <x:v>1763</x:v>
      </x:c>
      <x:c r="N456" s="13" t="s">
        <x:v>2045</x:v>
      </x:c>
      <x:c r="O456" s="13" t="s">
        <x:v>1740</x:v>
      </x:c>
      <x:c r="P456" s="202">
        <x:v>487</x:v>
      </x:c>
      <x:c r="Q456" s="13" t="s">
        <x:v>572</x:v>
      </x:c>
      <x:c r="R456" s="13" t="s">
        <x:v>1704</x:v>
      </x:c>
      <x:c r="S456" s="13" t="s">
        <x:v>1726</x:v>
      </x:c>
      <x:c r="T456" s="13" t="s">
        <x:v>1632</x:v>
      </x:c>
      <x:c r="U456" s="13"/>
      <x:c r="V456" s="13" t="s">
        <x:v>797</x:v>
      </x:c>
    </x:row>
    <x:row r="457" spans="1:22" s="14" customFormat="1" ht="13.5" customHeight="1">
      <x:c r="A457" s="13"/>
      <x:c r="B457" s="25" t="str">
        <x:f>L457&amp;"-"&amp;TEXT(P457,"0000")</x:f>
        <x:v>20080821-0486</x:v>
      </x:c>
      <x:c r="C457" s="13" t="s">
        <x:v>1978</x:v>
      </x:c>
      <x:c r="D457" s="13" t="s">
        <x:v>1533</x:v>
      </x:c>
      <x:c r="E457" s="13" t="s">
        <x:v>1568</x:v>
      </x:c>
      <x:c r="F457" s="13" t="s">
        <x:v>2162</x:v>
      </x:c>
      <x:c r="G457" s="13" t="s">
        <x:v>1537</x:v>
      </x:c>
      <x:c r="H457" s="13" t="str">
        <x:f>IFERROR(VLOOKUP(O457,'정보화기기 명부'!A$2:B$187,2,FALSE),"")</x:f>
        <x:v/>
      </x:c>
      <x:c r="I457" s="13"/>
      <x:c r="J457" s="13" t="s">
        <x:v>1751</x:v>
      </x:c>
      <x:c r="K457" s="13"/>
      <x:c r="L457" s="13">
        <x:v>20080821</x:v>
      </x:c>
      <x:c r="M457" s="13" t="s">
        <x:v>1763</x:v>
      </x:c>
      <x:c r="N457" s="13" t="s">
        <x:v>2045</x:v>
      </x:c>
      <x:c r="O457" s="13" t="s">
        <x:v>1252</x:v>
      </x:c>
      <x:c r="P457" s="202">
        <x:v>486</x:v>
      </x:c>
      <x:c r="Q457" s="13" t="s">
        <x:v>572</x:v>
      </x:c>
      <x:c r="R457" s="13" t="s">
        <x:v>1704</x:v>
      </x:c>
      <x:c r="S457" s="13" t="s">
        <x:v>1726</x:v>
      </x:c>
      <x:c r="T457" s="13" t="s">
        <x:v>1632</x:v>
      </x:c>
      <x:c r="U457" s="13"/>
      <x:c r="V457" s="13" t="s">
        <x:v>797</x:v>
      </x:c>
    </x:row>
    <x:row r="458" spans="1:22" s="14" customFormat="1" ht="13.5" customHeight="1">
      <x:c r="A458" s="13"/>
      <x:c r="B458" s="25" t="str">
        <x:f>L458&amp;"-"&amp;TEXT(P458,"0000")</x:f>
        <x:v>20080821-0485</x:v>
      </x:c>
      <x:c r="C458" s="13" t="s">
        <x:v>1978</x:v>
      </x:c>
      <x:c r="D458" s="13" t="s">
        <x:v>1533</x:v>
      </x:c>
      <x:c r="E458" s="13" t="s">
        <x:v>1568</x:v>
      </x:c>
      <x:c r="F458" s="13" t="s">
        <x:v>2162</x:v>
      </x:c>
      <x:c r="G458" s="13" t="s">
        <x:v>1537</x:v>
      </x:c>
      <x:c r="H458" s="13" t="str">
        <x:f>IFERROR(VLOOKUP(O458,'정보화기기 명부'!A$2:B$187,2,FALSE),"")</x:f>
        <x:v/>
      </x:c>
      <x:c r="I458" s="13"/>
      <x:c r="J458" s="13" t="s">
        <x:v>1751</x:v>
      </x:c>
      <x:c r="K458" s="13"/>
      <x:c r="L458" s="13">
        <x:v>20080821</x:v>
      </x:c>
      <x:c r="M458" s="13" t="s">
        <x:v>1763</x:v>
      </x:c>
      <x:c r="N458" s="13" t="s">
        <x:v>1965</x:v>
      </x:c>
      <x:c r="O458" s="13" t="s">
        <x:v>3147</x:v>
      </x:c>
      <x:c r="P458" s="202">
        <x:v>485</x:v>
      </x:c>
      <x:c r="Q458" s="13" t="s">
        <x:v>572</x:v>
      </x:c>
      <x:c r="R458" s="13" t="s">
        <x:v>1704</x:v>
      </x:c>
      <x:c r="S458" s="13" t="s">
        <x:v>1726</x:v>
      </x:c>
      <x:c r="T458" s="13" t="s">
        <x:v>1632</x:v>
      </x:c>
      <x:c r="U458" s="13"/>
      <x:c r="V458" s="13" t="s">
        <x:v>797</x:v>
      </x:c>
    </x:row>
    <x:row r="459" spans="1:22" s="14" customFormat="1" ht="13.5" customHeight="1">
      <x:c r="A459" s="13" t="str">
        <x:f>O459</x:f>
        <x:v>강애주?</x:v>
      </x:c>
      <x:c r="B459" s="25" t="str">
        <x:f>L459&amp;"-"&amp;TEXT(P459,"0000")</x:f>
        <x:v>20080310-0539</x:v>
      </x:c>
      <x:c r="C459" s="13" t="s">
        <x:v>1978</x:v>
      </x:c>
      <x:c r="D459" s="13" t="s">
        <x:v>1533</x:v>
      </x:c>
      <x:c r="E459" s="13" t="s">
        <x:v>1543</x:v>
      </x:c>
      <x:c r="F459" s="13" t="s">
        <x:v>1783</x:v>
      </x:c>
      <x:c r="G459" s="13" t="s">
        <x:v>1289</x:v>
      </x:c>
      <x:c r="H459" s="13" t="str">
        <x:f>IFERROR(VLOOKUP(O459,'정보화기기 명부'!A$2:B$187,2,FALSE),"")</x:f>
        <x:v/>
      </x:c>
      <x:c r="I459" s="13"/>
      <x:c r="J459" s="13"/>
      <x:c r="K459" s="13"/>
      <x:c r="L459" s="13">
        <x:v>20080310</x:v>
      </x:c>
      <x:c r="M459" s="13" t="s">
        <x:v>594</x:v>
      </x:c>
      <x:c r="N459" s="13" t="s">
        <x:v>2034</x:v>
      </x:c>
      <x:c r="O459" s="13" t="s">
        <x:v>1754</x:v>
      </x:c>
      <x:c r="P459" s="202">
        <x:v>539</x:v>
      </x:c>
      <x:c r="Q459" s="13" t="s">
        <x:v>572</x:v>
      </x:c>
      <x:c r="R459" s="13" t="s">
        <x:v>1736</x:v>
      </x:c>
      <x:c r="S459" s="13" t="s">
        <x:v>1726</x:v>
      </x:c>
      <x:c r="T459" s="13" t="s">
        <x:v>2105</x:v>
      </x:c>
      <x:c r="U459" s="13"/>
      <x:c r="V459" s="13" t="s">
        <x:v>2030</x:v>
      </x:c>
    </x:row>
    <x:row r="460" spans="1:22" s="14" customFormat="1" ht="13.5" customHeight="1">
      <x:c r="A460" s="13" t="str">
        <x:f>O460</x:f>
        <x:v>강지은</x:v>
      </x:c>
      <x:c r="B460" s="25" t="str">
        <x:f>L460&amp;"-"&amp;TEXT(P460,"0000")</x:f>
        <x:v>20080310-0538</x:v>
      </x:c>
      <x:c r="C460" s="13" t="s">
        <x:v>1978</x:v>
      </x:c>
      <x:c r="D460" s="13" t="s">
        <x:v>1533</x:v>
      </x:c>
      <x:c r="E460" s="13" t="s">
        <x:v>1543</x:v>
      </x:c>
      <x:c r="F460" s="13" t="s">
        <x:v>1783</x:v>
      </x:c>
      <x:c r="G460" s="13" t="s">
        <x:v>1289</x:v>
      </x:c>
      <x:c r="H460" s="13" t="str">
        <x:f>IFERROR(VLOOKUP(O460,'정보화기기 명부'!A$2:B$187,2,FALSE),"")</x:f>
        <x:v/>
      </x:c>
      <x:c r="I460" s="13"/>
      <x:c r="J460" s="13"/>
      <x:c r="K460" s="13"/>
      <x:c r="L460" s="13">
        <x:v>20080310</x:v>
      </x:c>
      <x:c r="M460" s="13" t="s">
        <x:v>594</x:v>
      </x:c>
      <x:c r="N460" s="13" t="s">
        <x:v>2034</x:v>
      </x:c>
      <x:c r="O460" s="13" t="s">
        <x:v>1490</x:v>
      </x:c>
      <x:c r="P460" s="202">
        <x:v>538</x:v>
      </x:c>
      <x:c r="Q460" s="13" t="s">
        <x:v>572</x:v>
      </x:c>
      <x:c r="R460" s="13" t="s">
        <x:v>1736</x:v>
      </x:c>
      <x:c r="S460" s="13" t="s">
        <x:v>1726</x:v>
      </x:c>
      <x:c r="T460" s="13" t="s">
        <x:v>2105</x:v>
      </x:c>
      <x:c r="U460" s="13"/>
      <x:c r="V460" s="13" t="s">
        <x:v>2030</x:v>
      </x:c>
    </x:row>
    <x:row r="461" spans="1:22" s="14" customFormat="1" ht="13.5" customHeight="1">
      <x:c r="A461" s="13" t="str">
        <x:f>O461</x:f>
        <x:v>김선주</x:v>
      </x:c>
      <x:c r="B461" s="25" t="str">
        <x:f>L461&amp;"-"&amp;TEXT(P461,"0000")</x:f>
        <x:v>20080310-0537</x:v>
      </x:c>
      <x:c r="C461" s="13" t="s">
        <x:v>1978</x:v>
      </x:c>
      <x:c r="D461" s="13" t="s">
        <x:v>1533</x:v>
      </x:c>
      <x:c r="E461" s="13" t="s">
        <x:v>1543</x:v>
      </x:c>
      <x:c r="F461" s="13" t="s">
        <x:v>1783</x:v>
      </x:c>
      <x:c r="G461" s="13" t="s">
        <x:v>1289</x:v>
      </x:c>
      <x:c r="H461" s="13" t="str">
        <x:f>IFERROR(VLOOKUP(O461,'정보화기기 명부'!A$2:B$187,2,FALSE),"")</x:f>
        <x:v/>
      </x:c>
      <x:c r="I461" s="13"/>
      <x:c r="J461" s="13"/>
      <x:c r="K461" s="13"/>
      <x:c r="L461" s="13">
        <x:v>20080310</x:v>
      </x:c>
      <x:c r="M461" s="13" t="s">
        <x:v>594</x:v>
      </x:c>
      <x:c r="N461" s="13" t="s">
        <x:v>2034</x:v>
      </x:c>
      <x:c r="O461" s="13" t="s">
        <x:v>1286</x:v>
      </x:c>
      <x:c r="P461" s="202">
        <x:v>537</x:v>
      </x:c>
      <x:c r="Q461" s="13" t="s">
        <x:v>572</x:v>
      </x:c>
      <x:c r="R461" s="13" t="s">
        <x:v>1736</x:v>
      </x:c>
      <x:c r="S461" s="13" t="s">
        <x:v>1726</x:v>
      </x:c>
      <x:c r="T461" s="13" t="s">
        <x:v>2105</x:v>
      </x:c>
      <x:c r="U461" s="13"/>
      <x:c r="V461" s="13" t="s">
        <x:v>2030</x:v>
      </x:c>
    </x:row>
    <x:row r="462" spans="1:22" s="14" customFormat="1" ht="13.5" customHeight="1">
      <x:c r="A462" s="13" t="str">
        <x:f>O462</x:f>
        <x:v>정보부보관</x:v>
      </x:c>
      <x:c r="B462" s="25" t="str">
        <x:f>L462&amp;"-"&amp;TEXT(P462,"0000")</x:f>
        <x:v>20080110-0445</x:v>
      </x:c>
      <x:c r="C462" s="13" t="s">
        <x:v>1564</x:v>
      </x:c>
      <x:c r="D462" s="13" t="s">
        <x:v>1533</x:v>
      </x:c>
      <x:c r="E462" s="13" t="s">
        <x:v>1251</x:v>
      </x:c>
      <x:c r="F462" s="13" t="s">
        <x:v>2178</x:v>
      </x:c>
      <x:c r="G462" s="13" t="s">
        <x:v>1537</x:v>
      </x:c>
      <x:c r="H462" s="13" t="str">
        <x:f>IFERROR(VLOOKUP(O462,'정보화기기 명부'!A$2:B$187,2,FALSE),"")</x:f>
        <x:v/>
      </x:c>
      <x:c r="I462" s="13"/>
      <x:c r="J462" s="13"/>
      <x:c r="K462" s="13"/>
      <x:c r="L462" s="13">
        <x:v>20080110</x:v>
      </x:c>
      <x:c r="M462" s="13" t="s">
        <x:v>569</x:v>
      </x:c>
      <x:c r="N462" s="13" t="s">
        <x:v>1965</x:v>
      </x:c>
      <x:c r="O462" s="13" t="s">
        <x:v>1737</x:v>
      </x:c>
      <x:c r="P462" s="202">
        <x:v>445</x:v>
      </x:c>
      <x:c r="Q462" s="13" t="s">
        <x:v>572</x:v>
      </x:c>
      <x:c r="R462" s="13" t="s">
        <x:v>1770</x:v>
      </x:c>
      <x:c r="S462" s="13" t="s">
        <x:v>1813</x:v>
      </x:c>
      <x:c r="T462" s="13" t="s">
        <x:v>1773</x:v>
      </x:c>
      <x:c r="U462" s="13"/>
      <x:c r="V462" s="13" t="s">
        <x:v>797</x:v>
      </x:c>
    </x:row>
    <x:row r="463" spans="1:22" s="14" customFormat="1" ht="13.5" customHeight="1">
      <x:c r="A463" s="13" t="str">
        <x:f>O463</x:f>
        <x:v>정보부보관중</x:v>
      </x:c>
      <x:c r="B463" s="25" t="str">
        <x:f>L463&amp;"-"&amp;TEXT(P463,"0000")</x:f>
        <x:v>20080110-0446</x:v>
      </x:c>
      <x:c r="C463" s="13" t="s">
        <x:v>1564</x:v>
      </x:c>
      <x:c r="D463" s="13" t="s">
        <x:v>1533</x:v>
      </x:c>
      <x:c r="E463" s="13" t="s">
        <x:v>1251</x:v>
      </x:c>
      <x:c r="F463" s="13" t="s">
        <x:v>2178</x:v>
      </x:c>
      <x:c r="G463" s="13" t="s">
        <x:v>1537</x:v>
      </x:c>
      <x:c r="H463" s="13" t="str">
        <x:f>IFERROR(VLOOKUP(O463,'정보화기기 명부'!A$2:B$187,2,FALSE),"")</x:f>
        <x:v/>
      </x:c>
      <x:c r="I463" s="13"/>
      <x:c r="J463" s="13"/>
      <x:c r="K463" s="13"/>
      <x:c r="L463" s="13">
        <x:v>20080110</x:v>
      </x:c>
      <x:c r="M463" s="13" t="s">
        <x:v>569</x:v>
      </x:c>
      <x:c r="N463" s="13" t="s">
        <x:v>1965</x:v>
      </x:c>
      <x:c r="O463" s="13" t="s">
        <x:v>1784</x:v>
      </x:c>
      <x:c r="P463" s="202">
        <x:v>446</x:v>
      </x:c>
      <x:c r="Q463" s="13" t="s">
        <x:v>572</x:v>
      </x:c>
      <x:c r="R463" s="13" t="s">
        <x:v>1770</x:v>
      </x:c>
      <x:c r="S463" s="13" t="s">
        <x:v>1813</x:v>
      </x:c>
      <x:c r="T463" s="13" t="s">
        <x:v>1773</x:v>
      </x:c>
      <x:c r="U463" s="13"/>
      <x:c r="V463" s="13" t="s">
        <x:v>797</x:v>
      </x:c>
    </x:row>
    <x:row r="464" spans="1:22" s="14" customFormat="1" ht="13.5" customHeight="1">
      <x:c r="A464" s="13" t="str">
        <x:f>O464</x:f>
        <x:v>정보부보관</x:v>
      </x:c>
      <x:c r="B464" s="25" t="str">
        <x:f>L464&amp;"-"&amp;TEXT(P464,"0000")</x:f>
        <x:v>20080110-0447</x:v>
      </x:c>
      <x:c r="C464" s="13" t="s">
        <x:v>1564</x:v>
      </x:c>
      <x:c r="D464" s="13" t="s">
        <x:v>1533</x:v>
      </x:c>
      <x:c r="E464" s="13" t="s">
        <x:v>1251</x:v>
      </x:c>
      <x:c r="F464" s="13" t="s">
        <x:v>2178</x:v>
      </x:c>
      <x:c r="G464" s="13" t="s">
        <x:v>1537</x:v>
      </x:c>
      <x:c r="H464" s="13" t="str">
        <x:f>IFERROR(VLOOKUP(O464,'정보화기기 명부'!A$2:B$187,2,FALSE),"")</x:f>
        <x:v/>
      </x:c>
      <x:c r="I464" s="13"/>
      <x:c r="J464" s="13"/>
      <x:c r="K464" s="13"/>
      <x:c r="L464" s="13">
        <x:v>20080110</x:v>
      </x:c>
      <x:c r="M464" s="13" t="s">
        <x:v>569</x:v>
      </x:c>
      <x:c r="N464" s="13" t="s">
        <x:v>1965</x:v>
      </x:c>
      <x:c r="O464" s="13" t="s">
        <x:v>1737</x:v>
      </x:c>
      <x:c r="P464" s="202">
        <x:v>447</x:v>
      </x:c>
      <x:c r="Q464" s="13" t="s">
        <x:v>572</x:v>
      </x:c>
      <x:c r="R464" s="13" t="s">
        <x:v>1770</x:v>
      </x:c>
      <x:c r="S464" s="13" t="s">
        <x:v>1813</x:v>
      </x:c>
      <x:c r="T464" s="13" t="s">
        <x:v>1773</x:v>
      </x:c>
      <x:c r="U464" s="13"/>
      <x:c r="V464" s="13" t="s">
        <x:v>797</x:v>
      </x:c>
    </x:row>
    <x:row r="465" spans="1:22" s="14" customFormat="1" ht="13.5" customHeight="1">
      <x:c r="A465" s="13" t="str">
        <x:f>O465</x:f>
        <x:v>정보부보관</x:v>
      </x:c>
      <x:c r="B465" s="25" t="str">
        <x:f>L465&amp;"-"&amp;TEXT(P465,"0000")</x:f>
        <x:v>20080110-0448</x:v>
      </x:c>
      <x:c r="C465" s="13" t="s">
        <x:v>1564</x:v>
      </x:c>
      <x:c r="D465" s="13" t="s">
        <x:v>1533</x:v>
      </x:c>
      <x:c r="E465" s="13" t="s">
        <x:v>1251</x:v>
      </x:c>
      <x:c r="F465" s="13" t="s">
        <x:v>2178</x:v>
      </x:c>
      <x:c r="G465" s="13" t="s">
        <x:v>1537</x:v>
      </x:c>
      <x:c r="H465" s="13" t="str">
        <x:f>IFERROR(VLOOKUP(O465,'정보화기기 명부'!A$2:B$187,2,FALSE),"")</x:f>
        <x:v/>
      </x:c>
      <x:c r="I465" s="13"/>
      <x:c r="J465" s="13"/>
      <x:c r="K465" s="13"/>
      <x:c r="L465" s="13">
        <x:v>20080110</x:v>
      </x:c>
      <x:c r="M465" s="13" t="s">
        <x:v>569</x:v>
      </x:c>
      <x:c r="N465" s="13" t="s">
        <x:v>1965</x:v>
      </x:c>
      <x:c r="O465" s="13" t="s">
        <x:v>1737</x:v>
      </x:c>
      <x:c r="P465" s="202">
        <x:v>448</x:v>
      </x:c>
      <x:c r="Q465" s="13" t="s">
        <x:v>572</x:v>
      </x:c>
      <x:c r="R465" s="13" t="s">
        <x:v>1770</x:v>
      </x:c>
      <x:c r="S465" s="13" t="s">
        <x:v>1813</x:v>
      </x:c>
      <x:c r="T465" s="13" t="s">
        <x:v>1773</x:v>
      </x:c>
      <x:c r="U465" s="13"/>
      <x:c r="V465" s="13" t="s">
        <x:v>797</x:v>
      </x:c>
    </x:row>
    <x:row r="466" spans="1:22" s="14" customFormat="1" ht="13.5" customHeight="1">
      <x:c r="A466" s="13" t="str">
        <x:f>O466</x:f>
        <x:v>정보부보관</x:v>
      </x:c>
      <x:c r="B466" s="25" t="str">
        <x:f>L466&amp;"-"&amp;TEXT(P466,"0000")</x:f>
        <x:v>20080110-0449</x:v>
      </x:c>
      <x:c r="C466" s="13" t="s">
        <x:v>1564</x:v>
      </x:c>
      <x:c r="D466" s="13" t="s">
        <x:v>1533</x:v>
      </x:c>
      <x:c r="E466" s="13" t="s">
        <x:v>1251</x:v>
      </x:c>
      <x:c r="F466" s="13" t="s">
        <x:v>2178</x:v>
      </x:c>
      <x:c r="G466" s="13" t="s">
        <x:v>1537</x:v>
      </x:c>
      <x:c r="H466" s="13" t="str">
        <x:f>IFERROR(VLOOKUP(O466,'정보화기기 명부'!A$2:B$187,2,FALSE),"")</x:f>
        <x:v/>
      </x:c>
      <x:c r="I466" s="13"/>
      <x:c r="J466" s="13"/>
      <x:c r="K466" s="13"/>
      <x:c r="L466" s="13">
        <x:v>20080110</x:v>
      </x:c>
      <x:c r="M466" s="13" t="s">
        <x:v>569</x:v>
      </x:c>
      <x:c r="N466" s="13" t="s">
        <x:v>1965</x:v>
      </x:c>
      <x:c r="O466" s="13" t="s">
        <x:v>1737</x:v>
      </x:c>
      <x:c r="P466" s="202">
        <x:v>449</x:v>
      </x:c>
      <x:c r="Q466" s="13" t="s">
        <x:v>572</x:v>
      </x:c>
      <x:c r="R466" s="13" t="s">
        <x:v>1770</x:v>
      </x:c>
      <x:c r="S466" s="13" t="s">
        <x:v>1813</x:v>
      </x:c>
      <x:c r="T466" s="13" t="s">
        <x:v>1773</x:v>
      </x:c>
      <x:c r="U466" s="13"/>
      <x:c r="V466" s="13" t="s">
        <x:v>797</x:v>
      </x:c>
    </x:row>
    <x:row r="467" spans="1:22" s="14" customFormat="1" ht="13.5" customHeight="1">
      <x:c r="A467" s="13" t="str">
        <x:f>O467</x:f>
        <x:v>정보부보관중</x:v>
      </x:c>
      <x:c r="B467" s="25" t="str">
        <x:f>L467&amp;"-"&amp;TEXT(P467,"0000")</x:f>
        <x:v>20080110-0450</x:v>
      </x:c>
      <x:c r="C467" s="13" t="s">
        <x:v>1564</x:v>
      </x:c>
      <x:c r="D467" s="21" t="s">
        <x:v>1533</x:v>
      </x:c>
      <x:c r="E467" s="13" t="s">
        <x:v>1251</x:v>
      </x:c>
      <x:c r="F467" s="13" t="s">
        <x:v>2178</x:v>
      </x:c>
      <x:c r="G467" s="13" t="s">
        <x:v>1537</x:v>
      </x:c>
      <x:c r="H467" s="13" t="str">
        <x:f>IFERROR(VLOOKUP(O467,'정보화기기 명부'!A$2:B$187,2,FALSE),"")</x:f>
        <x:v/>
      </x:c>
      <x:c r="I467" s="13"/>
      <x:c r="J467" s="13"/>
      <x:c r="K467" s="13"/>
      <x:c r="L467" s="13">
        <x:v>20080110</x:v>
      </x:c>
      <x:c r="M467" s="13" t="s">
        <x:v>569</x:v>
      </x:c>
      <x:c r="N467" s="13" t="s">
        <x:v>1965</x:v>
      </x:c>
      <x:c r="O467" s="13" t="s">
        <x:v>1784</x:v>
      </x:c>
      <x:c r="P467" s="202">
        <x:v>450</x:v>
      </x:c>
      <x:c r="Q467" s="13" t="s">
        <x:v>572</x:v>
      </x:c>
      <x:c r="R467" s="13" t="s">
        <x:v>1770</x:v>
      </x:c>
      <x:c r="S467" s="13" t="s">
        <x:v>1813</x:v>
      </x:c>
      <x:c r="T467" s="13" t="s">
        <x:v>1773</x:v>
      </x:c>
      <x:c r="U467" s="13"/>
      <x:c r="V467" s="13" t="s">
        <x:v>797</x:v>
      </x:c>
    </x:row>
    <x:row r="468" spans="1:22" s="14" customFormat="1" ht="13.5" customHeight="1">
      <x:c r="A468" s="13" t="str">
        <x:f>O468</x:f>
        <x:v>정보부보관</x:v>
      </x:c>
      <x:c r="B468" s="25" t="str">
        <x:f>L468&amp;"-"&amp;TEXT(P468,"0000")</x:f>
        <x:v>20080110-0451</x:v>
      </x:c>
      <x:c r="C468" s="13" t="s">
        <x:v>1564</x:v>
      </x:c>
      <x:c r="D468" s="21" t="s">
        <x:v>1533</x:v>
      </x:c>
      <x:c r="E468" s="13" t="s">
        <x:v>1251</x:v>
      </x:c>
      <x:c r="F468" s="13" t="s">
        <x:v>2178</x:v>
      </x:c>
      <x:c r="G468" s="13" t="s">
        <x:v>1537</x:v>
      </x:c>
      <x:c r="H468" s="13" t="str">
        <x:f>IFERROR(VLOOKUP(O468,'정보화기기 명부'!A$2:B$187,2,FALSE),"")</x:f>
        <x:v/>
      </x:c>
      <x:c r="I468" s="13"/>
      <x:c r="J468" s="13"/>
      <x:c r="K468" s="13"/>
      <x:c r="L468" s="13">
        <x:v>20080110</x:v>
      </x:c>
      <x:c r="M468" s="13" t="s">
        <x:v>569</x:v>
      </x:c>
      <x:c r="N468" s="13" t="s">
        <x:v>1965</x:v>
      </x:c>
      <x:c r="O468" s="13" t="s">
        <x:v>1737</x:v>
      </x:c>
      <x:c r="P468" s="202">
        <x:v>451</x:v>
      </x:c>
      <x:c r="Q468" s="13" t="s">
        <x:v>572</x:v>
      </x:c>
      <x:c r="R468" s="13" t="s">
        <x:v>1770</x:v>
      </x:c>
      <x:c r="S468" s="13" t="s">
        <x:v>1813</x:v>
      </x:c>
      <x:c r="T468" s="13" t="s">
        <x:v>1773</x:v>
      </x:c>
      <x:c r="U468" s="13"/>
      <x:c r="V468" s="13" t="s">
        <x:v>797</x:v>
      </x:c>
    </x:row>
    <x:row r="469" spans="1:22" s="14" customFormat="1" ht="13.5" customHeight="1">
      <x:c r="A469" s="13" t="str">
        <x:f>O469</x:f>
        <x:v>정보부보관</x:v>
      </x:c>
      <x:c r="B469" s="25" t="str">
        <x:f>L469&amp;"-"&amp;TEXT(P469,"0000")</x:f>
        <x:v>20080110-0452</x:v>
      </x:c>
      <x:c r="C469" s="13" t="s">
        <x:v>1564</x:v>
      </x:c>
      <x:c r="D469" s="21" t="s">
        <x:v>1533</x:v>
      </x:c>
      <x:c r="E469" s="13" t="s">
        <x:v>1251</x:v>
      </x:c>
      <x:c r="F469" s="13" t="s">
        <x:v>2178</x:v>
      </x:c>
      <x:c r="G469" s="13" t="s">
        <x:v>1537</x:v>
      </x:c>
      <x:c r="H469" s="13" t="str">
        <x:f>IFERROR(VLOOKUP(O469,'정보화기기 명부'!A$2:B$187,2,FALSE),"")</x:f>
        <x:v/>
      </x:c>
      <x:c r="I469" s="13"/>
      <x:c r="J469" s="13"/>
      <x:c r="K469" s="13"/>
      <x:c r="L469" s="13">
        <x:v>20080110</x:v>
      </x:c>
      <x:c r="M469" s="13" t="s">
        <x:v>569</x:v>
      </x:c>
      <x:c r="N469" s="13" t="s">
        <x:v>1965</x:v>
      </x:c>
      <x:c r="O469" s="13" t="s">
        <x:v>1737</x:v>
      </x:c>
      <x:c r="P469" s="202">
        <x:v>452</x:v>
      </x:c>
      <x:c r="Q469" s="13" t="s">
        <x:v>572</x:v>
      </x:c>
      <x:c r="R469" s="13" t="s">
        <x:v>1770</x:v>
      </x:c>
      <x:c r="S469" s="13" t="s">
        <x:v>1813</x:v>
      </x:c>
      <x:c r="T469" s="13" t="s">
        <x:v>1773</x:v>
      </x:c>
      <x:c r="U469" s="13"/>
      <x:c r="V469" s="13" t="s">
        <x:v>797</x:v>
      </x:c>
    </x:row>
    <x:row r="470" spans="1:22" s="14" customFormat="1" ht="13.5" customHeight="1">
      <x:c r="A470" s="13" t="str">
        <x:f>O470</x:f>
        <x:v>정보부보관</x:v>
      </x:c>
      <x:c r="B470" s="25" t="str">
        <x:f>L470&amp;"-"&amp;TEXT(P470,"0000")</x:f>
        <x:v>20080110-0453</x:v>
      </x:c>
      <x:c r="C470" s="13" t="s">
        <x:v>1564</x:v>
      </x:c>
      <x:c r="D470" s="21" t="s">
        <x:v>1533</x:v>
      </x:c>
      <x:c r="E470" s="13" t="s">
        <x:v>1251</x:v>
      </x:c>
      <x:c r="F470" s="13" t="s">
        <x:v>2178</x:v>
      </x:c>
      <x:c r="G470" s="13" t="s">
        <x:v>1537</x:v>
      </x:c>
      <x:c r="H470" s="13" t="str">
        <x:f>IFERROR(VLOOKUP(O470,'정보화기기 명부'!A$2:B$187,2,FALSE),"")</x:f>
        <x:v/>
      </x:c>
      <x:c r="I470" s="13"/>
      <x:c r="J470" s="13"/>
      <x:c r="K470" s="13"/>
      <x:c r="L470" s="13">
        <x:v>20080110</x:v>
      </x:c>
      <x:c r="M470" s="13" t="s">
        <x:v>569</x:v>
      </x:c>
      <x:c r="N470" s="13" t="s">
        <x:v>1965</x:v>
      </x:c>
      <x:c r="O470" s="13" t="s">
        <x:v>1737</x:v>
      </x:c>
      <x:c r="P470" s="202">
        <x:v>453</x:v>
      </x:c>
      <x:c r="Q470" s="13" t="s">
        <x:v>572</x:v>
      </x:c>
      <x:c r="R470" s="13" t="s">
        <x:v>1770</x:v>
      </x:c>
      <x:c r="S470" s="13" t="s">
        <x:v>1813</x:v>
      </x:c>
      <x:c r="T470" s="13" t="s">
        <x:v>1773</x:v>
      </x:c>
      <x:c r="U470" s="13"/>
      <x:c r="V470" s="13" t="s">
        <x:v>797</x:v>
      </x:c>
    </x:row>
    <x:row r="471" spans="1:22" s="14" customFormat="1" ht="13.5" customHeight="1">
      <x:c r="A471" s="13" t="str">
        <x:f>O471</x:f>
        <x:v>탁지완</x:v>
      </x:c>
      <x:c r="B471" s="25" t="str">
        <x:f>L471&amp;"-"&amp;TEXT(P471,"0000")</x:f>
        <x:v>20080110-0536</x:v>
      </x:c>
      <x:c r="C471" s="13" t="s">
        <x:v>1978</x:v>
      </x:c>
      <x:c r="D471" s="13" t="s">
        <x:v>1533</x:v>
      </x:c>
      <x:c r="E471" s="13" t="s">
        <x:v>1543</x:v>
      </x:c>
      <x:c r="F471" s="13" t="s">
        <x:v>1783</x:v>
      </x:c>
      <x:c r="G471" s="13" t="s">
        <x:v>1289</x:v>
      </x:c>
      <x:c r="H471" s="13" t="str">
        <x:f>IFERROR(VLOOKUP(O471,'정보화기기 명부'!A$2:B$187,2,FALSE),"")</x:f>
        <x:v>2층 교무실</x:v>
      </x:c>
      <x:c r="I471" s="13"/>
      <x:c r="J471" s="13"/>
      <x:c r="K471" s="13"/>
      <x:c r="L471" s="13">
        <x:v>20080110</x:v>
      </x:c>
      <x:c r="M471" s="13" t="s">
        <x:v>594</x:v>
      </x:c>
      <x:c r="N471" s="13" t="s">
        <x:v>2034</x:v>
      </x:c>
      <x:c r="O471" s="13" t="s">
        <x:v>1235</x:v>
      </x:c>
      <x:c r="P471" s="202">
        <x:v>536</x:v>
      </x:c>
      <x:c r="Q471" s="13" t="s">
        <x:v>572</x:v>
      </x:c>
      <x:c r="R471" s="13" t="s">
        <x:v>1736</x:v>
      </x:c>
      <x:c r="S471" s="13" t="s">
        <x:v>1726</x:v>
      </x:c>
      <x:c r="T471" s="13" t="s">
        <x:v>2105</x:v>
      </x:c>
      <x:c r="U471" s="13"/>
      <x:c r="V471" s="13" t="s">
        <x:v>2030</x:v>
      </x:c>
    </x:row>
    <x:row r="472" spans="1:22" s="14" customFormat="1" ht="13.5" customHeight="1">
      <x:c r="A472" s="13"/>
      <x:c r="B472" s="25" t="str">
        <x:f>L472&amp;"-"&amp;TEXT(P472,"0000")</x:f>
        <x:v>20080110-0444</x:v>
      </x:c>
      <x:c r="C472" s="13" t="s">
        <x:v>1978</x:v>
      </x:c>
      <x:c r="D472" s="13" t="s">
        <x:v>1533</x:v>
      </x:c>
      <x:c r="E472" s="13" t="s">
        <x:v>1568</x:v>
      </x:c>
      <x:c r="F472" s="13" t="s">
        <x:v>2184</x:v>
      </x:c>
      <x:c r="G472" s="13" t="s">
        <x:v>1537</x:v>
      </x:c>
      <x:c r="H472" s="13" t="str">
        <x:f>IFERROR(VLOOKUP(O472,'정보화기기 명부'!A$2:B$187,2,FALSE),"")</x:f>
        <x:v/>
      </x:c>
      <x:c r="I472" s="13"/>
      <x:c r="J472" s="13" t="s">
        <x:v>1751</x:v>
      </x:c>
      <x:c r="K472" s="13"/>
      <x:c r="L472" s="13">
        <x:v>20080110</x:v>
      </x:c>
      <x:c r="M472" s="13" t="s">
        <x:v>578</x:v>
      </x:c>
      <x:c r="N472" s="13" t="s">
        <x:v>1965</x:v>
      </x:c>
      <x:c r="O472" s="13" t="s">
        <x:v>3147</x:v>
      </x:c>
      <x:c r="P472" s="202">
        <x:v>444</x:v>
      </x:c>
      <x:c r="Q472" s="13" t="s">
        <x:v>572</x:v>
      </x:c>
      <x:c r="R472" s="13" t="s">
        <x:v>2080</x:v>
      </x:c>
      <x:c r="S472" s="13" t="s">
        <x:v>1813</x:v>
      </x:c>
      <x:c r="T472" s="13" t="s">
        <x:v>1632</x:v>
      </x:c>
      <x:c r="U472" s="13"/>
      <x:c r="V472" s="13" t="s">
        <x:v>797</x:v>
      </x:c>
    </x:row>
    <x:row r="473" spans="1:22" s="14" customFormat="1" ht="13.5" customHeight="1">
      <x:c r="A473" s="13"/>
      <x:c r="B473" s="25" t="str">
        <x:f>L473&amp;"-"&amp;TEXT(P473,"0000")</x:f>
        <x:v>20080110-0443</x:v>
      </x:c>
      <x:c r="C473" s="13" t="s">
        <x:v>1978</x:v>
      </x:c>
      <x:c r="D473" s="13" t="s">
        <x:v>1533</x:v>
      </x:c>
      <x:c r="E473" s="13" t="s">
        <x:v>1568</x:v>
      </x:c>
      <x:c r="F473" s="13" t="s">
        <x:v>2184</x:v>
      </x:c>
      <x:c r="G473" s="13" t="s">
        <x:v>1537</x:v>
      </x:c>
      <x:c r="H473" s="13" t="str">
        <x:f>IFERROR(VLOOKUP(O473,'정보화기기 명부'!A$2:B$187,2,FALSE),"")</x:f>
        <x:v/>
      </x:c>
      <x:c r="I473" s="13"/>
      <x:c r="J473" s="13" t="s">
        <x:v>1751</x:v>
      </x:c>
      <x:c r="K473" s="13"/>
      <x:c r="L473" s="13">
        <x:v>20080110</x:v>
      </x:c>
      <x:c r="M473" s="13" t="s">
        <x:v>578</x:v>
      </x:c>
      <x:c r="N473" s="13" t="s">
        <x:v>1965</x:v>
      </x:c>
      <x:c r="O473" s="13" t="s">
        <x:v>1316</x:v>
      </x:c>
      <x:c r="P473" s="202">
        <x:v>443</x:v>
      </x:c>
      <x:c r="Q473" s="13" t="s">
        <x:v>572</x:v>
      </x:c>
      <x:c r="R473" s="13" t="s">
        <x:v>2080</x:v>
      </x:c>
      <x:c r="S473" s="13" t="s">
        <x:v>1723</x:v>
      </x:c>
      <x:c r="T473" s="13" t="s">
        <x:v>1632</x:v>
      </x:c>
      <x:c r="U473" s="13"/>
      <x:c r="V473" s="13" t="s">
        <x:v>797</x:v>
      </x:c>
    </x:row>
    <x:row r="474" spans="1:22" s="14" customFormat="1" ht="13.5" customHeight="1">
      <x:c r="A474" s="13"/>
      <x:c r="B474" s="25" t="str">
        <x:f>L474&amp;"-"&amp;TEXT(P474,"0000")</x:f>
        <x:v>20080110-0442</x:v>
      </x:c>
      <x:c r="C474" s="13" t="s">
        <x:v>1978</x:v>
      </x:c>
      <x:c r="D474" s="13" t="s">
        <x:v>1533</x:v>
      </x:c>
      <x:c r="E474" s="13" t="s">
        <x:v>1568</x:v>
      </x:c>
      <x:c r="F474" s="13" t="s">
        <x:v>2184</x:v>
      </x:c>
      <x:c r="G474" s="13" t="s">
        <x:v>1537</x:v>
      </x:c>
      <x:c r="H474" s="13" t="str">
        <x:f>IFERROR(VLOOKUP(O474,'정보화기기 명부'!A$2:B$187,2,FALSE),"")</x:f>
        <x:v/>
      </x:c>
      <x:c r="I474" s="13"/>
      <x:c r="J474" s="13" t="s">
        <x:v>1751</x:v>
      </x:c>
      <x:c r="K474" s="13"/>
      <x:c r="L474" s="13">
        <x:v>20080110</x:v>
      </x:c>
      <x:c r="M474" s="13" t="s">
        <x:v>578</x:v>
      </x:c>
      <x:c r="N474" s="13" t="s">
        <x:v>1965</x:v>
      </x:c>
      <x:c r="O474" s="13" t="s">
        <x:v>1313</x:v>
      </x:c>
      <x:c r="P474" s="202">
        <x:v>442</x:v>
      </x:c>
      <x:c r="Q474" s="13" t="s">
        <x:v>572</x:v>
      </x:c>
      <x:c r="R474" s="13" t="s">
        <x:v>2080</x:v>
      </x:c>
      <x:c r="S474" s="13" t="s">
        <x:v>1813</x:v>
      </x:c>
      <x:c r="T474" s="13" t="s">
        <x:v>1632</x:v>
      </x:c>
      <x:c r="U474" s="13"/>
      <x:c r="V474" s="13" t="s">
        <x:v>797</x:v>
      </x:c>
    </x:row>
    <x:row r="475" spans="1:22" s="14" customFormat="1" ht="13.5" customHeight="1">
      <x:c r="A475" s="13"/>
      <x:c r="B475" s="25" t="str">
        <x:f>L475&amp;"-"&amp;TEXT(P475,"0000")</x:f>
        <x:v>20070831-0440</x:v>
      </x:c>
      <x:c r="C475" s="13" t="s">
        <x:v>1978</x:v>
      </x:c>
      <x:c r="D475" s="13" t="s">
        <x:v>1533</x:v>
      </x:c>
      <x:c r="E475" s="13" t="s">
        <x:v>1568</x:v>
      </x:c>
      <x:c r="F475" s="13" t="s">
        <x:v>580</x:v>
      </x:c>
      <x:c r="G475" s="13" t="s">
        <x:v>1537</x:v>
      </x:c>
      <x:c r="H475" s="13" t="str">
        <x:f>IFERROR(VLOOKUP(O475,'정보화기기 명부'!A$2:B$187,2,FALSE),"")</x:f>
        <x:v/>
      </x:c>
      <x:c r="I475" s="13"/>
      <x:c r="J475" s="13" t="s">
        <x:v>1751</x:v>
      </x:c>
      <x:c r="K475" s="13"/>
      <x:c r="L475" s="13">
        <x:v>20070831</x:v>
      </x:c>
      <x:c r="M475" s="13" t="s">
        <x:v>1775</x:v>
      </x:c>
      <x:c r="N475" s="13" t="s">
        <x:v>1965</x:v>
      </x:c>
      <x:c r="O475" s="13" t="s">
        <x:v>3147</x:v>
      </x:c>
      <x:c r="P475" s="202">
        <x:v>440</x:v>
      </x:c>
      <x:c r="Q475" s="13" t="s">
        <x:v>572</x:v>
      </x:c>
      <x:c r="R475" s="13" t="s">
        <x:v>2008</x:v>
      </x:c>
      <x:c r="S475" s="13" t="s">
        <x:v>1780</x:v>
      </x:c>
      <x:c r="T475" s="13" t="s">
        <x:v>1773</x:v>
      </x:c>
      <x:c r="U475" s="13"/>
      <x:c r="V475" s="13" t="s">
        <x:v>797</x:v>
      </x:c>
    </x:row>
    <x:row r="476" spans="1:22" s="14" customFormat="1" ht="13.5" customHeight="1">
      <x:c r="A476" s="13"/>
      <x:c r="B476" s="25" t="str">
        <x:f>L476&amp;"-"&amp;TEXT(P476,"0000")</x:f>
        <x:v>20070831-0439</x:v>
      </x:c>
      <x:c r="C476" s="13" t="s">
        <x:v>1978</x:v>
      </x:c>
      <x:c r="D476" s="13" t="s">
        <x:v>1533</x:v>
      </x:c>
      <x:c r="E476" s="13" t="s">
        <x:v>1568</x:v>
      </x:c>
      <x:c r="F476" s="13" t="s">
        <x:v>580</x:v>
      </x:c>
      <x:c r="G476" s="13" t="s">
        <x:v>1537</x:v>
      </x:c>
      <x:c r="H476" s="13" t="str">
        <x:f>IFERROR(VLOOKUP(O476,'정보화기기 명부'!A$2:B$187,2,FALSE),"")</x:f>
        <x:v/>
      </x:c>
      <x:c r="I476" s="13"/>
      <x:c r="J476" s="13" t="s">
        <x:v>1751</x:v>
      </x:c>
      <x:c r="K476" s="13"/>
      <x:c r="L476" s="13">
        <x:v>20070831</x:v>
      </x:c>
      <x:c r="M476" s="13" t="s">
        <x:v>1775</x:v>
      </x:c>
      <x:c r="N476" s="13" t="s">
        <x:v>1965</x:v>
      </x:c>
      <x:c r="O476" s="13" t="s">
        <x:v>3147</x:v>
      </x:c>
      <x:c r="P476" s="202">
        <x:v>439</x:v>
      </x:c>
      <x:c r="Q476" s="13" t="s">
        <x:v>572</x:v>
      </x:c>
      <x:c r="R476" s="13" t="s">
        <x:v>2008</x:v>
      </x:c>
      <x:c r="S476" s="13" t="s">
        <x:v>1780</x:v>
      </x:c>
      <x:c r="T476" s="13" t="s">
        <x:v>1773</x:v>
      </x:c>
      <x:c r="U476" s="13"/>
      <x:c r="V476" s="13" t="s">
        <x:v>797</x:v>
      </x:c>
    </x:row>
    <x:row r="477" spans="1:22" s="14" customFormat="1" ht="13.5" customHeight="1">
      <x:c r="A477" s="13"/>
      <x:c r="B477" s="25" t="str">
        <x:f>L477&amp;"-"&amp;TEXT(P477,"0000")</x:f>
        <x:v>20070831-0438</x:v>
      </x:c>
      <x:c r="C477" s="13" t="s">
        <x:v>1978</x:v>
      </x:c>
      <x:c r="D477" s="13" t="s">
        <x:v>1533</x:v>
      </x:c>
      <x:c r="E477" s="13" t="s">
        <x:v>1568</x:v>
      </x:c>
      <x:c r="F477" s="13" t="s">
        <x:v>580</x:v>
      </x:c>
      <x:c r="G477" s="13" t="s">
        <x:v>1537</x:v>
      </x:c>
      <x:c r="H477" s="13" t="str">
        <x:f>IFERROR(VLOOKUP(O477,'정보화기기 명부'!A$2:B$187,2,FALSE),"")</x:f>
        <x:v/>
      </x:c>
      <x:c r="I477" s="13"/>
      <x:c r="J477" s="13" t="s">
        <x:v>1751</x:v>
      </x:c>
      <x:c r="K477" s="13"/>
      <x:c r="L477" s="13">
        <x:v>20070831</x:v>
      </x:c>
      <x:c r="M477" s="13" t="s">
        <x:v>1775</x:v>
      </x:c>
      <x:c r="N477" s="13" t="s">
        <x:v>1965</x:v>
      </x:c>
      <x:c r="O477" s="13" t="s">
        <x:v>3147</x:v>
      </x:c>
      <x:c r="P477" s="202">
        <x:v>438</x:v>
      </x:c>
      <x:c r="Q477" s="13" t="s">
        <x:v>572</x:v>
      </x:c>
      <x:c r="R477" s="13" t="s">
        <x:v>2008</x:v>
      </x:c>
      <x:c r="S477" s="13" t="s">
        <x:v>1780</x:v>
      </x:c>
      <x:c r="T477" s="13" t="s">
        <x:v>1773</x:v>
      </x:c>
      <x:c r="U477" s="13"/>
      <x:c r="V477" s="13" t="s">
        <x:v>797</x:v>
      </x:c>
    </x:row>
    <x:row r="478" spans="1:22" s="14" customFormat="1" ht="13.5" customHeight="1">
      <x:c r="A478" s="13"/>
      <x:c r="B478" s="25" t="str">
        <x:f>L478&amp;"-"&amp;TEXT(P478,"0000")</x:f>
        <x:v>20070831-0437</x:v>
      </x:c>
      <x:c r="C478" s="13" t="s">
        <x:v>1978</x:v>
      </x:c>
      <x:c r="D478" s="13" t="s">
        <x:v>1533</x:v>
      </x:c>
      <x:c r="E478" s="13" t="s">
        <x:v>1568</x:v>
      </x:c>
      <x:c r="F478" s="13" t="s">
        <x:v>580</x:v>
      </x:c>
      <x:c r="G478" s="13" t="s">
        <x:v>1537</x:v>
      </x:c>
      <x:c r="H478" s="13" t="str">
        <x:f>IFERROR(VLOOKUP(O478,'정보화기기 명부'!A$2:B$187,2,FALSE),"")</x:f>
        <x:v/>
      </x:c>
      <x:c r="I478" s="13"/>
      <x:c r="J478" s="13" t="s">
        <x:v>1751</x:v>
      </x:c>
      <x:c r="K478" s="13"/>
      <x:c r="L478" s="13">
        <x:v>20070831</x:v>
      </x:c>
      <x:c r="M478" s="13" t="s">
        <x:v>1775</x:v>
      </x:c>
      <x:c r="N478" s="13" t="s">
        <x:v>1965</x:v>
      </x:c>
      <x:c r="O478" s="13" t="s">
        <x:v>3147</x:v>
      </x:c>
      <x:c r="P478" s="202">
        <x:v>437</x:v>
      </x:c>
      <x:c r="Q478" s="13" t="s">
        <x:v>572</x:v>
      </x:c>
      <x:c r="R478" s="13" t="s">
        <x:v>2008</x:v>
      </x:c>
      <x:c r="S478" s="13" t="s">
        <x:v>1780</x:v>
      </x:c>
      <x:c r="T478" s="13" t="s">
        <x:v>1773</x:v>
      </x:c>
      <x:c r="U478" s="13"/>
      <x:c r="V478" s="13" t="s">
        <x:v>797</x:v>
      </x:c>
    </x:row>
    <x:row r="479" spans="1:22" s="14" customFormat="1" ht="13.5" customHeight="1">
      <x:c r="A479" s="13"/>
      <x:c r="B479" s="25" t="str">
        <x:f>L479&amp;"-"&amp;TEXT(P479,"0000")</x:f>
        <x:v>20070831-0436</x:v>
      </x:c>
      <x:c r="C479" s="13" t="s">
        <x:v>1978</x:v>
      </x:c>
      <x:c r="D479" s="13" t="s">
        <x:v>1533</x:v>
      </x:c>
      <x:c r="E479" s="13" t="s">
        <x:v>1568</x:v>
      </x:c>
      <x:c r="F479" s="13" t="s">
        <x:v>580</x:v>
      </x:c>
      <x:c r="G479" s="13" t="s">
        <x:v>1537</x:v>
      </x:c>
      <x:c r="H479" s="13" t="str">
        <x:f>IFERROR(VLOOKUP(O479,'정보화기기 명부'!A$2:B$187,2,FALSE),"")</x:f>
        <x:v/>
      </x:c>
      <x:c r="I479" s="13"/>
      <x:c r="J479" s="13" t="s">
        <x:v>1751</x:v>
      </x:c>
      <x:c r="K479" s="13"/>
      <x:c r="L479" s="13">
        <x:v>20070831</x:v>
      </x:c>
      <x:c r="M479" s="13" t="s">
        <x:v>1775</x:v>
      </x:c>
      <x:c r="N479" s="13" t="s">
        <x:v>1965</x:v>
      </x:c>
      <x:c r="O479" s="13" t="s">
        <x:v>3147</x:v>
      </x:c>
      <x:c r="P479" s="202">
        <x:v>436</x:v>
      </x:c>
      <x:c r="Q479" s="13" t="s">
        <x:v>572</x:v>
      </x:c>
      <x:c r="R479" s="13" t="s">
        <x:v>2008</x:v>
      </x:c>
      <x:c r="S479" s="13" t="s">
        <x:v>1780</x:v>
      </x:c>
      <x:c r="T479" s="13" t="s">
        <x:v>1773</x:v>
      </x:c>
      <x:c r="U479" s="13"/>
      <x:c r="V479" s="13" t="s">
        <x:v>797</x:v>
      </x:c>
    </x:row>
    <x:row r="480" spans="1:22" s="14" customFormat="1" ht="13.5" customHeight="1">
      <x:c r="A480" s="13"/>
      <x:c r="B480" s="25" t="str">
        <x:f>L480&amp;"-"&amp;TEXT(P480,"0000")</x:f>
        <x:v>20070831-0435</x:v>
      </x:c>
      <x:c r="C480" s="13" t="s">
        <x:v>1978</x:v>
      </x:c>
      <x:c r="D480" s="13" t="s">
        <x:v>1533</x:v>
      </x:c>
      <x:c r="E480" s="13" t="s">
        <x:v>1568</x:v>
      </x:c>
      <x:c r="F480" s="13" t="s">
        <x:v>580</x:v>
      </x:c>
      <x:c r="G480" s="13" t="s">
        <x:v>1537</x:v>
      </x:c>
      <x:c r="H480" s="13" t="str">
        <x:f>IFERROR(VLOOKUP(O480,'정보화기기 명부'!A$2:B$187,2,FALSE),"")</x:f>
        <x:v/>
      </x:c>
      <x:c r="I480" s="13"/>
      <x:c r="J480" s="13" t="s">
        <x:v>1751</x:v>
      </x:c>
      <x:c r="K480" s="13"/>
      <x:c r="L480" s="13">
        <x:v>20070831</x:v>
      </x:c>
      <x:c r="M480" s="13" t="s">
        <x:v>1775</x:v>
      </x:c>
      <x:c r="N480" s="13" t="s">
        <x:v>1965</x:v>
      </x:c>
      <x:c r="O480" s="13" t="s">
        <x:v>3147</x:v>
      </x:c>
      <x:c r="P480" s="202">
        <x:v>435</x:v>
      </x:c>
      <x:c r="Q480" s="13" t="s">
        <x:v>572</x:v>
      </x:c>
      <x:c r="R480" s="13" t="s">
        <x:v>2008</x:v>
      </x:c>
      <x:c r="S480" s="13" t="s">
        <x:v>1780</x:v>
      </x:c>
      <x:c r="T480" s="13" t="s">
        <x:v>1773</x:v>
      </x:c>
      <x:c r="U480" s="13"/>
      <x:c r="V480" s="13" t="s">
        <x:v>797</x:v>
      </x:c>
    </x:row>
    <x:row r="481" spans="1:22" s="14" customFormat="1" ht="13.5" customHeight="1">
      <x:c r="A481" s="13"/>
      <x:c r="B481" s="25" t="str">
        <x:f>L481&amp;"-"&amp;TEXT(P481,"0000")</x:f>
        <x:v>20070831-0434</x:v>
      </x:c>
      <x:c r="C481" s="13" t="s">
        <x:v>1978</x:v>
      </x:c>
      <x:c r="D481" s="13" t="s">
        <x:v>1533</x:v>
      </x:c>
      <x:c r="E481" s="13" t="s">
        <x:v>1568</x:v>
      </x:c>
      <x:c r="F481" s="13" t="s">
        <x:v>580</x:v>
      </x:c>
      <x:c r="G481" s="18" t="s">
        <x:v>1537</x:v>
      </x:c>
      <x:c r="H481" s="13" t="str">
        <x:f>IFERROR(VLOOKUP(O481,'정보화기기 명부'!A$2:B$187,2,FALSE),"")</x:f>
        <x:v/>
      </x:c>
      <x:c r="I481" s="13"/>
      <x:c r="J481" s="17" t="s">
        <x:v>1751</x:v>
      </x:c>
      <x:c r="K481" s="17"/>
      <x:c r="L481" s="13">
        <x:v>20070831</x:v>
      </x:c>
      <x:c r="M481" s="13" t="s">
        <x:v>1775</x:v>
      </x:c>
      <x:c r="N481" s="13" t="s">
        <x:v>1965</x:v>
      </x:c>
      <x:c r="O481" s="13" t="s">
        <x:v>3147</x:v>
      </x:c>
      <x:c r="P481" s="202">
        <x:v>434</x:v>
      </x:c>
      <x:c r="Q481" s="13" t="s">
        <x:v>572</x:v>
      </x:c>
      <x:c r="R481" s="13" t="s">
        <x:v>2008</x:v>
      </x:c>
      <x:c r="S481" s="13" t="s">
        <x:v>1780</x:v>
      </x:c>
      <x:c r="T481" s="13" t="s">
        <x:v>1773</x:v>
      </x:c>
      <x:c r="U481" s="13"/>
      <x:c r="V481" s="13" t="s">
        <x:v>797</x:v>
      </x:c>
    </x:row>
    <x:row r="482" spans="1:22" s="14" customFormat="1" ht="13.5" customHeight="1">
      <x:c r="A482" s="13"/>
      <x:c r="B482" s="25" t="str">
        <x:f>L482&amp;"-"&amp;TEXT(P482,"0000")</x:f>
        <x:v>20070831-0433</x:v>
      </x:c>
      <x:c r="C482" s="13" t="s">
        <x:v>1978</x:v>
      </x:c>
      <x:c r="D482" s="13" t="s">
        <x:v>1533</x:v>
      </x:c>
      <x:c r="E482" s="13" t="s">
        <x:v>1568</x:v>
      </x:c>
      <x:c r="F482" s="13" t="s">
        <x:v>580</x:v>
      </x:c>
      <x:c r="G482" s="18" t="s">
        <x:v>1537</x:v>
      </x:c>
      <x:c r="H482" s="13" t="str">
        <x:f>IFERROR(VLOOKUP(O482,'정보화기기 명부'!A$2:B$187,2,FALSE),"")</x:f>
        <x:v/>
      </x:c>
      <x:c r="I482" s="13"/>
      <x:c r="J482" s="17" t="s">
        <x:v>1751</x:v>
      </x:c>
      <x:c r="K482" s="17"/>
      <x:c r="L482" s="13">
        <x:v>20070831</x:v>
      </x:c>
      <x:c r="M482" s="13" t="s">
        <x:v>1775</x:v>
      </x:c>
      <x:c r="N482" s="13" t="s">
        <x:v>1965</x:v>
      </x:c>
      <x:c r="O482" s="13" t="s">
        <x:v>3147</x:v>
      </x:c>
      <x:c r="P482" s="202">
        <x:v>433</x:v>
      </x:c>
      <x:c r="Q482" s="13" t="s">
        <x:v>572</x:v>
      </x:c>
      <x:c r="R482" s="13" t="s">
        <x:v>2008</x:v>
      </x:c>
      <x:c r="S482" s="13" t="s">
        <x:v>1780</x:v>
      </x:c>
      <x:c r="T482" s="13" t="s">
        <x:v>1773</x:v>
      </x:c>
      <x:c r="U482" s="13"/>
      <x:c r="V482" s="13" t="s">
        <x:v>797</x:v>
      </x:c>
    </x:row>
    <x:row r="483" spans="1:22" s="14" customFormat="1" ht="13.5" customHeight="1">
      <x:c r="A483" s="13"/>
      <x:c r="B483" s="25" t="str">
        <x:f>L483&amp;"-"&amp;TEXT(P483,"0000")</x:f>
        <x:v>20070831-0432</x:v>
      </x:c>
      <x:c r="C483" s="13" t="s">
        <x:v>1978</x:v>
      </x:c>
      <x:c r="D483" s="13" t="s">
        <x:v>1533</x:v>
      </x:c>
      <x:c r="E483" s="13" t="s">
        <x:v>1568</x:v>
      </x:c>
      <x:c r="F483" s="13" t="s">
        <x:v>580</x:v>
      </x:c>
      <x:c r="G483" s="18" t="s">
        <x:v>1537</x:v>
      </x:c>
      <x:c r="H483" s="13" t="str">
        <x:f>IFERROR(VLOOKUP(O483,'정보화기기 명부'!A$2:B$187,2,FALSE),"")</x:f>
        <x:v/>
      </x:c>
      <x:c r="I483" s="13"/>
      <x:c r="J483" s="17" t="s">
        <x:v>1751</x:v>
      </x:c>
      <x:c r="K483" s="17"/>
      <x:c r="L483" s="13">
        <x:v>20070831</x:v>
      </x:c>
      <x:c r="M483" s="13" t="s">
        <x:v>1775</x:v>
      </x:c>
      <x:c r="N483" s="13" t="s">
        <x:v>1965</x:v>
      </x:c>
      <x:c r="O483" s="13" t="s">
        <x:v>3147</x:v>
      </x:c>
      <x:c r="P483" s="202">
        <x:v>432</x:v>
      </x:c>
      <x:c r="Q483" s="13" t="s">
        <x:v>572</x:v>
      </x:c>
      <x:c r="R483" s="13" t="s">
        <x:v>2008</x:v>
      </x:c>
      <x:c r="S483" s="13" t="s">
        <x:v>1780</x:v>
      </x:c>
      <x:c r="T483" s="13" t="s">
        <x:v>1773</x:v>
      </x:c>
      <x:c r="U483" s="13"/>
      <x:c r="V483" s="13" t="s">
        <x:v>797</x:v>
      </x:c>
    </x:row>
    <x:row r="484" spans="1:22" s="14" customFormat="1" ht="13.5" customHeight="1">
      <x:c r="A484" s="13"/>
      <x:c r="B484" s="25" t="str">
        <x:f>L484&amp;"-"&amp;TEXT(P484,"0000")</x:f>
        <x:v>20070831-0431</x:v>
      </x:c>
      <x:c r="C484" s="13" t="s">
        <x:v>1978</x:v>
      </x:c>
      <x:c r="D484" s="13" t="s">
        <x:v>1533</x:v>
      </x:c>
      <x:c r="E484" s="13" t="s">
        <x:v>1568</x:v>
      </x:c>
      <x:c r="F484" s="13" t="s">
        <x:v>580</x:v>
      </x:c>
      <x:c r="G484" s="18" t="s">
        <x:v>1537</x:v>
      </x:c>
      <x:c r="H484" s="13" t="str">
        <x:f>IFERROR(VLOOKUP(O484,'정보화기기 명부'!A$2:B$187,2,FALSE),"")</x:f>
        <x:v/>
      </x:c>
      <x:c r="I484" s="13"/>
      <x:c r="J484" s="17" t="s">
        <x:v>1751</x:v>
      </x:c>
      <x:c r="K484" s="17"/>
      <x:c r="L484" s="13">
        <x:v>20070831</x:v>
      </x:c>
      <x:c r="M484" s="13" t="s">
        <x:v>1775</x:v>
      </x:c>
      <x:c r="N484" s="13" t="s">
        <x:v>1965</x:v>
      </x:c>
      <x:c r="O484" s="13" t="s">
        <x:v>3147</x:v>
      </x:c>
      <x:c r="P484" s="202">
        <x:v>431</x:v>
      </x:c>
      <x:c r="Q484" s="13" t="s">
        <x:v>572</x:v>
      </x:c>
      <x:c r="R484" s="13" t="s">
        <x:v>2008</x:v>
      </x:c>
      <x:c r="S484" s="13" t="s">
        <x:v>1780</x:v>
      </x:c>
      <x:c r="T484" s="13" t="s">
        <x:v>1773</x:v>
      </x:c>
      <x:c r="U484" s="13"/>
      <x:c r="V484" s="13" t="s">
        <x:v>797</x:v>
      </x:c>
    </x:row>
    <x:row r="485" spans="1:22" s="14" customFormat="1" ht="13.5" customHeight="1">
      <x:c r="A485" s="13" t="str">
        <x:f>O485</x:f>
        <x:v>정은경</x:v>
      </x:c>
      <x:c r="B485" s="25" t="str">
        <x:f>L485&amp;"-"&amp;TEXT(P485,"0000")</x:f>
        <x:v>20070830-0441</x:v>
      </x:c>
      <x:c r="C485" s="13" t="s">
        <x:v>1978</x:v>
      </x:c>
      <x:c r="D485" s="21" t="s">
        <x:v>1533</x:v>
      </x:c>
      <x:c r="E485" s="13" t="s">
        <x:v>1543</x:v>
      </x:c>
      <x:c r="F485" s="13" t="s">
        <x:v>2219</x:v>
      </x:c>
      <x:c r="G485" s="18" t="s">
        <x:v>1289</x:v>
      </x:c>
      <x:c r="H485" s="13" t="str">
        <x:f>IFERROR(VLOOKUP(O485,'정보화기기 명부'!A$2:B$187,2,FALSE),"")</x:f>
        <x:v/>
      </x:c>
      <x:c r="I485" s="22"/>
      <x:c r="J485" s="17"/>
      <x:c r="K485" s="17"/>
      <x:c r="L485" s="13">
        <x:v>20070830</x:v>
      </x:c>
      <x:c r="M485" s="22">
        <x:v>1651890</x:v>
      </x:c>
      <x:c r="N485" s="13" t="s">
        <x:v>2034</x:v>
      </x:c>
      <x:c r="O485" s="13" t="s">
        <x:v>1538</x:v>
      </x:c>
      <x:c r="P485" s="202">
        <x:v>441</x:v>
      </x:c>
      <x:c r="Q485" s="13" t="s">
        <x:v>572</x:v>
      </x:c>
      <x:c r="R485" s="13" t="s">
        <x:v>1736</x:v>
      </x:c>
      <x:c r="S485" s="13" t="s">
        <x:v>1672</x:v>
      </x:c>
      <x:c r="T485" s="13" t="s">
        <x:v>2037</x:v>
      </x:c>
      <x:c r="U485" s="13"/>
      <x:c r="V485" s="13" t="s">
        <x:v>797</x:v>
      </x:c>
    </x:row>
    <x:row r="486" spans="1:22" s="14" customFormat="1" ht="13.5" customHeight="1">
      <x:c r="A486" s="13" t="str">
        <x:f>O486</x:f>
        <x:v>이채린</x:v>
      </x:c>
      <x:c r="B486" s="25" t="str">
        <x:f>L486&amp;"-"&amp;TEXT(P486,"0000")</x:f>
        <x:v>20070829-0413</x:v>
      </x:c>
      <x:c r="C486" s="13" t="s">
        <x:v>1564</x:v>
      </x:c>
      <x:c r="D486" s="13" t="s">
        <x:v>1533</x:v>
      </x:c>
      <x:c r="E486" s="13" t="s">
        <x:v>1251</x:v>
      </x:c>
      <x:c r="F486" s="13" t="s">
        <x:v>579</x:v>
      </x:c>
      <x:c r="G486" s="18" t="s">
        <x:v>1537</x:v>
      </x:c>
      <x:c r="H486" s="13" t="str">
        <x:f>IFERROR(VLOOKUP(O486,'정보화기기 명부'!A$2:B$187,2,FALSE),"")</x:f>
        <x:v/>
      </x:c>
      <x:c r="I486" s="13"/>
      <x:c r="J486" s="17"/>
      <x:c r="K486" s="17"/>
      <x:c r="L486" s="13">
        <x:v>20070829</x:v>
      </x:c>
      <x:c r="M486" s="13" t="s">
        <x:v>581</x:v>
      </x:c>
      <x:c r="N486" s="13" t="s">
        <x:v>1965</x:v>
      </x:c>
      <x:c r="O486" s="13" t="s">
        <x:v>1273</x:v>
      </x:c>
      <x:c r="P486" s="202">
        <x:v>413</x:v>
      </x:c>
      <x:c r="Q486" s="13" t="s">
        <x:v>572</x:v>
      </x:c>
      <x:c r="R486" s="13" t="s">
        <x:v>1767</x:v>
      </x:c>
      <x:c r="S486" s="13" t="s">
        <x:v>1813</x:v>
      </x:c>
      <x:c r="T486" s="13" t="s">
        <x:v>1980</x:v>
      </x:c>
      <x:c r="U486" s="13"/>
      <x:c r="V486" s="13" t="s">
        <x:v>1688</x:v>
      </x:c>
    </x:row>
    <x:row r="487" spans="1:22" s="14" customFormat="1" ht="13.5" customHeight="1">
      <x:c r="A487" s="13" t="str">
        <x:f>O487</x:f>
        <x:v>이현정</x:v>
      </x:c>
      <x:c r="B487" s="25" t="str">
        <x:f>L487&amp;"-"&amp;TEXT(P487,"0000")</x:f>
        <x:v>20070829-0414</x:v>
      </x:c>
      <x:c r="C487" s="13" t="s">
        <x:v>1564</x:v>
      </x:c>
      <x:c r="D487" s="13" t="s">
        <x:v>1533</x:v>
      </x:c>
      <x:c r="E487" s="13" t="s">
        <x:v>1251</x:v>
      </x:c>
      <x:c r="F487" s="13" t="s">
        <x:v>579</x:v>
      </x:c>
      <x:c r="G487" s="18" t="s">
        <x:v>1537</x:v>
      </x:c>
      <x:c r="H487" s="13" t="str">
        <x:f>IFERROR(VLOOKUP(O487,'정보화기기 명부'!A$2:B$187,2,FALSE),"")</x:f>
        <x:v/>
      </x:c>
      <x:c r="I487" s="13"/>
      <x:c r="J487" s="17"/>
      <x:c r="K487" s="17"/>
      <x:c r="L487" s="13">
        <x:v>20070829</x:v>
      </x:c>
      <x:c r="M487" s="13" t="s">
        <x:v>581</x:v>
      </x:c>
      <x:c r="N487" s="13" t="s">
        <x:v>1965</x:v>
      </x:c>
      <x:c r="O487" s="13" t="s">
        <x:v>1326</x:v>
      </x:c>
      <x:c r="P487" s="202">
        <x:v>414</x:v>
      </x:c>
      <x:c r="Q487" s="13" t="s">
        <x:v>572</x:v>
      </x:c>
      <x:c r="R487" s="13" t="s">
        <x:v>1767</x:v>
      </x:c>
      <x:c r="S487" s="13" t="s">
        <x:v>1813</x:v>
      </x:c>
      <x:c r="T487" s="13" t="s">
        <x:v>1980</x:v>
      </x:c>
      <x:c r="U487" s="13"/>
      <x:c r="V487" s="13" t="s">
        <x:v>1688</x:v>
      </x:c>
    </x:row>
    <x:row r="488" spans="1:22" s="14" customFormat="1" ht="13.5" customHeight="1">
      <x:c r="A488" s="13" t="str">
        <x:f>O488</x:f>
        <x:v>홍정희</x:v>
      </x:c>
      <x:c r="B488" s="25" t="str">
        <x:f>L488&amp;"-"&amp;TEXT(P488,"0000")</x:f>
        <x:v>20070829-0415</x:v>
      </x:c>
      <x:c r="C488" s="13" t="s">
        <x:v>1564</x:v>
      </x:c>
      <x:c r="D488" s="13" t="s">
        <x:v>1533</x:v>
      </x:c>
      <x:c r="E488" s="13" t="s">
        <x:v>1251</x:v>
      </x:c>
      <x:c r="F488" s="13" t="s">
        <x:v>579</x:v>
      </x:c>
      <x:c r="G488" s="18" t="s">
        <x:v>1537</x:v>
      </x:c>
      <x:c r="H488" s="13" t="str">
        <x:f>IFERROR(VLOOKUP(O488,'정보화기기 명부'!A$2:B$187,2,FALSE),"")</x:f>
        <x:v/>
      </x:c>
      <x:c r="I488" s="13"/>
      <x:c r="J488" s="17"/>
      <x:c r="K488" s="17"/>
      <x:c r="L488" s="13">
        <x:v>20070829</x:v>
      </x:c>
      <x:c r="M488" s="13" t="s">
        <x:v>581</x:v>
      </x:c>
      <x:c r="N488" s="13" t="s">
        <x:v>1965</x:v>
      </x:c>
      <x:c r="O488" s="13" t="s">
        <x:v>1258</x:v>
      </x:c>
      <x:c r="P488" s="202">
        <x:v>415</x:v>
      </x:c>
      <x:c r="Q488" s="13" t="s">
        <x:v>572</x:v>
      </x:c>
      <x:c r="R488" s="13" t="s">
        <x:v>1767</x:v>
      </x:c>
      <x:c r="S488" s="13" t="s">
        <x:v>1813</x:v>
      </x:c>
      <x:c r="T488" s="13" t="s">
        <x:v>1980</x:v>
      </x:c>
      <x:c r="U488" s="13"/>
      <x:c r="V488" s="13" t="s">
        <x:v>1688</x:v>
      </x:c>
    </x:row>
    <x:row r="489" spans="1:22" s="14" customFormat="1" ht="13.5" customHeight="1">
      <x:c r="A489" s="13" t="str">
        <x:f>O489</x:f>
        <x:v>노은실</x:v>
      </x:c>
      <x:c r="B489" s="25" t="str">
        <x:f>L489&amp;"-"&amp;TEXT(P489,"0000")</x:f>
        <x:v>20070829-0416</x:v>
      </x:c>
      <x:c r="C489" s="13" t="s">
        <x:v>1564</x:v>
      </x:c>
      <x:c r="D489" s="13" t="s">
        <x:v>1533</x:v>
      </x:c>
      <x:c r="E489" s="13" t="s">
        <x:v>1251</x:v>
      </x:c>
      <x:c r="F489" s="13" t="s">
        <x:v>579</x:v>
      </x:c>
      <x:c r="G489" s="18" t="s">
        <x:v>1537</x:v>
      </x:c>
      <x:c r="H489" s="13" t="str">
        <x:f>IFERROR(VLOOKUP(O489,'정보화기기 명부'!A$2:B$187,2,FALSE),"")</x:f>
        <x:v/>
      </x:c>
      <x:c r="I489" s="13"/>
      <x:c r="J489" s="17"/>
      <x:c r="K489" s="17"/>
      <x:c r="L489" s="13">
        <x:v>20070829</x:v>
      </x:c>
      <x:c r="M489" s="13" t="s">
        <x:v>581</x:v>
      </x:c>
      <x:c r="N489" s="13" t="s">
        <x:v>1965</x:v>
      </x:c>
      <x:c r="O489" s="13" t="s">
        <x:v>1308</x:v>
      </x:c>
      <x:c r="P489" s="202">
        <x:v>416</x:v>
      </x:c>
      <x:c r="Q489" s="13" t="s">
        <x:v>572</x:v>
      </x:c>
      <x:c r="R489" s="13" t="s">
        <x:v>1767</x:v>
      </x:c>
      <x:c r="S489" s="13" t="s">
        <x:v>1813</x:v>
      </x:c>
      <x:c r="T489" s="13" t="s">
        <x:v>1980</x:v>
      </x:c>
      <x:c r="U489" s="13"/>
      <x:c r="V489" s="13" t="s">
        <x:v>1688</x:v>
      </x:c>
    </x:row>
    <x:row r="490" spans="1:22" s="14" customFormat="1" ht="13.5" customHeight="1">
      <x:c r="A490" s="13" t="str">
        <x:f>O490</x:f>
        <x:v>양은숙</x:v>
      </x:c>
      <x:c r="B490" s="25" t="str">
        <x:f>L490&amp;"-"&amp;TEXT(P490,"0000")</x:f>
        <x:v>20070829-0417</x:v>
      </x:c>
      <x:c r="C490" s="13" t="s">
        <x:v>1564</x:v>
      </x:c>
      <x:c r="D490" s="13" t="s">
        <x:v>1533</x:v>
      </x:c>
      <x:c r="E490" s="13" t="s">
        <x:v>1251</x:v>
      </x:c>
      <x:c r="F490" s="20" t="s">
        <x:v>579</x:v>
      </x:c>
      <x:c r="G490" s="13" t="s">
        <x:v>1537</x:v>
      </x:c>
      <x:c r="H490" s="13" t="str">
        <x:f>IFERROR(VLOOKUP(O490,'정보화기기 명부'!A$2:B$187,2,FALSE),"")</x:f>
        <x:v/>
      </x:c>
      <x:c r="I490" s="13"/>
      <x:c r="J490" s="13"/>
      <x:c r="K490" s="13"/>
      <x:c r="L490" s="13">
        <x:v>20070829</x:v>
      </x:c>
      <x:c r="M490" s="13" t="s">
        <x:v>581</x:v>
      </x:c>
      <x:c r="N490" s="13" t="s">
        <x:v>1965</x:v>
      </x:c>
      <x:c r="O490" s="13" t="s">
        <x:v>1281</x:v>
      </x:c>
      <x:c r="P490" s="202">
        <x:v>417</x:v>
      </x:c>
      <x:c r="Q490" s="13" t="s">
        <x:v>572</x:v>
      </x:c>
      <x:c r="R490" s="13" t="s">
        <x:v>1767</x:v>
      </x:c>
      <x:c r="S490" s="13" t="s">
        <x:v>1813</x:v>
      </x:c>
      <x:c r="T490" s="13" t="s">
        <x:v>1980</x:v>
      </x:c>
      <x:c r="U490" s="13"/>
      <x:c r="V490" s="13" t="s">
        <x:v>1688</x:v>
      </x:c>
    </x:row>
    <x:row r="491" spans="1:22" s="14" customFormat="1" ht="13.5" customHeight="1">
      <x:c r="A491" s="13" t="str">
        <x:f>O491</x:f>
        <x:v>안정선</x:v>
      </x:c>
      <x:c r="B491" s="25" t="str">
        <x:f>L491&amp;"-"&amp;TEXT(P491,"0000")</x:f>
        <x:v>20070829-0418</x:v>
      </x:c>
      <x:c r="C491" s="13" t="s">
        <x:v>1564</x:v>
      </x:c>
      <x:c r="D491" s="13" t="s">
        <x:v>1533</x:v>
      </x:c>
      <x:c r="E491" s="13" t="s">
        <x:v>1251</x:v>
      </x:c>
      <x:c r="F491" s="13" t="s">
        <x:v>579</x:v>
      </x:c>
      <x:c r="G491" s="13" t="s">
        <x:v>1537</x:v>
      </x:c>
      <x:c r="H491" s="13" t="str">
        <x:f>IFERROR(VLOOKUP(O491,'정보화기기 명부'!A$2:B$187,2,FALSE),"")</x:f>
        <x:v/>
      </x:c>
      <x:c r="I491" s="13"/>
      <x:c r="J491" s="13"/>
      <x:c r="K491" s="13"/>
      <x:c r="L491" s="13">
        <x:v>20070829</x:v>
      </x:c>
      <x:c r="M491" s="13" t="s">
        <x:v>581</x:v>
      </x:c>
      <x:c r="N491" s="13" t="s">
        <x:v>1965</x:v>
      </x:c>
      <x:c r="O491" s="13" t="s">
        <x:v>1324</x:v>
      </x:c>
      <x:c r="P491" s="202">
        <x:v>418</x:v>
      </x:c>
      <x:c r="Q491" s="13" t="s">
        <x:v>572</x:v>
      </x:c>
      <x:c r="R491" s="13" t="s">
        <x:v>1767</x:v>
      </x:c>
      <x:c r="S491" s="13" t="s">
        <x:v>1813</x:v>
      </x:c>
      <x:c r="T491" s="13" t="s">
        <x:v>1980</x:v>
      </x:c>
      <x:c r="U491" s="13"/>
      <x:c r="V491" s="13" t="s">
        <x:v>1688</x:v>
      </x:c>
    </x:row>
    <x:row r="492" spans="1:22" s="14" customFormat="1" ht="13.5" customHeight="1">
      <x:c r="A492" s="13" t="str">
        <x:f>O492</x:f>
        <x:v>최희성</x:v>
      </x:c>
      <x:c r="B492" s="25" t="str">
        <x:f>L492&amp;"-"&amp;TEXT(P492,"0000")</x:f>
        <x:v>20070829-0419</x:v>
      </x:c>
      <x:c r="C492" s="13" t="s">
        <x:v>1564</x:v>
      </x:c>
      <x:c r="D492" s="13" t="s">
        <x:v>1533</x:v>
      </x:c>
      <x:c r="E492" s="13" t="s">
        <x:v>1251</x:v>
      </x:c>
      <x:c r="F492" s="13" t="s">
        <x:v>579</x:v>
      </x:c>
      <x:c r="G492" s="13" t="s">
        <x:v>1537</x:v>
      </x:c>
      <x:c r="H492" s="13" t="str">
        <x:f>IFERROR(VLOOKUP(O492,'정보화기기 명부'!A$2:B$187,2,FALSE),"")</x:f>
        <x:v/>
      </x:c>
      <x:c r="I492" s="13"/>
      <x:c r="J492" s="13"/>
      <x:c r="K492" s="13"/>
      <x:c r="L492" s="13">
        <x:v>20070829</x:v>
      </x:c>
      <x:c r="M492" s="13" t="s">
        <x:v>581</x:v>
      </x:c>
      <x:c r="N492" s="13" t="s">
        <x:v>1965</x:v>
      </x:c>
      <x:c r="O492" s="13" t="s">
        <x:v>1346</x:v>
      </x:c>
      <x:c r="P492" s="202">
        <x:v>419</x:v>
      </x:c>
      <x:c r="Q492" s="13" t="s">
        <x:v>572</x:v>
      </x:c>
      <x:c r="R492" s="13" t="s">
        <x:v>1767</x:v>
      </x:c>
      <x:c r="S492" s="13" t="s">
        <x:v>1813</x:v>
      </x:c>
      <x:c r="T492" s="13" t="s">
        <x:v>1980</x:v>
      </x:c>
      <x:c r="U492" s="13"/>
      <x:c r="V492" s="13" t="s">
        <x:v>1688</x:v>
      </x:c>
    </x:row>
    <x:row r="493" spans="1:22" s="14" customFormat="1" ht="13.5" customHeight="1">
      <x:c r="A493" s="13" t="str">
        <x:f>O493</x:f>
        <x:v>이미영A</x:v>
      </x:c>
      <x:c r="B493" s="25" t="str">
        <x:f>L493&amp;"-"&amp;TEXT(P493,"0000")</x:f>
        <x:v>20070829-0420</x:v>
      </x:c>
      <x:c r="C493" s="13" t="s">
        <x:v>1564</x:v>
      </x:c>
      <x:c r="D493" s="13" t="s">
        <x:v>1533</x:v>
      </x:c>
      <x:c r="E493" s="13" t="s">
        <x:v>1251</x:v>
      </x:c>
      <x:c r="F493" s="13" t="s">
        <x:v>579</x:v>
      </x:c>
      <x:c r="G493" s="13" t="s">
        <x:v>1537</x:v>
      </x:c>
      <x:c r="H493" s="13" t="str">
        <x:f>IFERROR(VLOOKUP(O493,'정보화기기 명부'!A$2:B$187,2,FALSE),"")</x:f>
        <x:v/>
      </x:c>
      <x:c r="I493" s="13"/>
      <x:c r="J493" s="13"/>
      <x:c r="K493" s="13"/>
      <x:c r="L493" s="13">
        <x:v>20070829</x:v>
      </x:c>
      <x:c r="M493" s="13" t="s">
        <x:v>581</x:v>
      </x:c>
      <x:c r="N493" s="13" t="s">
        <x:v>1965</x:v>
      </x:c>
      <x:c r="O493" s="13" t="s">
        <x:v>1800</x:v>
      </x:c>
      <x:c r="P493" s="202">
        <x:v>420</x:v>
      </x:c>
      <x:c r="Q493" s="13" t="s">
        <x:v>572</x:v>
      </x:c>
      <x:c r="R493" s="13" t="s">
        <x:v>1767</x:v>
      </x:c>
      <x:c r="S493" s="13" t="s">
        <x:v>1813</x:v>
      </x:c>
      <x:c r="T493" s="13" t="s">
        <x:v>1980</x:v>
      </x:c>
      <x:c r="U493" s="13"/>
      <x:c r="V493" s="13" t="s">
        <x:v>1688</x:v>
      </x:c>
    </x:row>
    <x:row r="494" spans="1:22" s="14" customFormat="1" ht="13.5" customHeight="1">
      <x:c r="A494" s="13" t="str">
        <x:f>O494</x:f>
        <x:v>김주현</x:v>
      </x:c>
      <x:c r="B494" s="25" t="str">
        <x:f>L494&amp;"-"&amp;TEXT(P494,"0000")</x:f>
        <x:v>20070829-0421</x:v>
      </x:c>
      <x:c r="C494" s="13" t="s">
        <x:v>1564</x:v>
      </x:c>
      <x:c r="D494" s="13" t="s">
        <x:v>1533</x:v>
      </x:c>
      <x:c r="E494" s="13" t="s">
        <x:v>1251</x:v>
      </x:c>
      <x:c r="F494" s="13" t="s">
        <x:v>579</x:v>
      </x:c>
      <x:c r="G494" s="13" t="s">
        <x:v>1537</x:v>
      </x:c>
      <x:c r="H494" s="13" t="str">
        <x:f>IFERROR(VLOOKUP(O494,'정보화기기 명부'!A$2:B$187,2,FALSE),"")</x:f>
        <x:v/>
      </x:c>
      <x:c r="I494" s="13"/>
      <x:c r="J494" s="13"/>
      <x:c r="K494" s="13"/>
      <x:c r="L494" s="13">
        <x:v>20070829</x:v>
      </x:c>
      <x:c r="M494" s="13" t="s">
        <x:v>581</x:v>
      </x:c>
      <x:c r="N494" s="13" t="s">
        <x:v>1965</x:v>
      </x:c>
      <x:c r="O494" s="13" t="s">
        <x:v>1331</x:v>
      </x:c>
      <x:c r="P494" s="202">
        <x:v>421</x:v>
      </x:c>
      <x:c r="Q494" s="13" t="s">
        <x:v>572</x:v>
      </x:c>
      <x:c r="R494" s="13" t="s">
        <x:v>1767</x:v>
      </x:c>
      <x:c r="S494" s="13" t="s">
        <x:v>1813</x:v>
      </x:c>
      <x:c r="T494" s="13" t="s">
        <x:v>1980</x:v>
      </x:c>
      <x:c r="U494" s="13"/>
      <x:c r="V494" s="13" t="s">
        <x:v>1688</x:v>
      </x:c>
    </x:row>
    <x:row r="495" spans="1:22" s="14" customFormat="1" ht="13.5" customHeight="1">
      <x:c r="A495" s="13" t="str">
        <x:f>O495</x:f>
        <x:v>정보부</x:v>
      </x:c>
      <x:c r="B495" s="25" t="str">
        <x:f>L495&amp;"-"&amp;TEXT(P495,"0000")</x:f>
        <x:v>20070829-0422</x:v>
      </x:c>
      <x:c r="C495" s="13" t="s">
        <x:v>1564</x:v>
      </x:c>
      <x:c r="D495" s="13" t="s">
        <x:v>1533</x:v>
      </x:c>
      <x:c r="E495" s="13" t="s">
        <x:v>1251</x:v>
      </x:c>
      <x:c r="F495" s="13" t="s">
        <x:v>579</x:v>
      </x:c>
      <x:c r="G495" s="13" t="s">
        <x:v>1537</x:v>
      </x:c>
      <x:c r="H495" s="13" t="str">
        <x:f>IFERROR(VLOOKUP(O495,'정보화기기 명부'!A$2:B$187,2,FALSE),"")</x:f>
        <x:v/>
      </x:c>
      <x:c r="I495" s="13"/>
      <x:c r="J495" s="13"/>
      <x:c r="K495" s="13"/>
      <x:c r="L495" s="13">
        <x:v>20070829</x:v>
      </x:c>
      <x:c r="M495" s="13" t="s">
        <x:v>581</x:v>
      </x:c>
      <x:c r="N495" s="13" t="s">
        <x:v>1965</x:v>
      </x:c>
      <x:c r="O495" s="13" t="s">
        <x:v>1303</x:v>
      </x:c>
      <x:c r="P495" s="202">
        <x:v>422</x:v>
      </x:c>
      <x:c r="Q495" s="13" t="s">
        <x:v>572</x:v>
      </x:c>
      <x:c r="R495" s="13" t="s">
        <x:v>1767</x:v>
      </x:c>
      <x:c r="S495" s="13" t="s">
        <x:v>1813</x:v>
      </x:c>
      <x:c r="T495" s="13" t="s">
        <x:v>1980</x:v>
      </x:c>
      <x:c r="U495" s="13"/>
      <x:c r="V495" s="13" t="s">
        <x:v>1688</x:v>
      </x:c>
    </x:row>
    <x:row r="496" spans="1:22" s="14" customFormat="1" ht="13.5" customHeight="1">
      <x:c r="A496" s="13" t="str">
        <x:f>O496</x:f>
        <x:v>박영미</x:v>
      </x:c>
      <x:c r="B496" s="25" t="str">
        <x:f>L496&amp;"-"&amp;TEXT(P496,"0000")</x:f>
        <x:v>20070829-0423</x:v>
      </x:c>
      <x:c r="C496" s="13" t="s">
        <x:v>1564</x:v>
      </x:c>
      <x:c r="D496" s="13" t="s">
        <x:v>1533</x:v>
      </x:c>
      <x:c r="E496" s="13" t="s">
        <x:v>1251</x:v>
      </x:c>
      <x:c r="F496" s="13" t="s">
        <x:v>579</x:v>
      </x:c>
      <x:c r="G496" s="13" t="s">
        <x:v>1537</x:v>
      </x:c>
      <x:c r="H496" s="13" t="str">
        <x:f>IFERROR(VLOOKUP(O496,'정보화기기 명부'!A$2:B$187,2,FALSE),"")</x:f>
        <x:v/>
      </x:c>
      <x:c r="I496" s="13"/>
      <x:c r="J496" s="13"/>
      <x:c r="K496" s="13"/>
      <x:c r="L496" s="13">
        <x:v>20070829</x:v>
      </x:c>
      <x:c r="M496" s="13" t="s">
        <x:v>581</x:v>
      </x:c>
      <x:c r="N496" s="13" t="s">
        <x:v>1965</x:v>
      </x:c>
      <x:c r="O496" s="13" t="s">
        <x:v>1332</x:v>
      </x:c>
      <x:c r="P496" s="202">
        <x:v>423</x:v>
      </x:c>
      <x:c r="Q496" s="13" t="s">
        <x:v>572</x:v>
      </x:c>
      <x:c r="R496" s="13" t="s">
        <x:v>1767</x:v>
      </x:c>
      <x:c r="S496" s="13" t="s">
        <x:v>1813</x:v>
      </x:c>
      <x:c r="T496" s="13" t="s">
        <x:v>1980</x:v>
      </x:c>
      <x:c r="U496" s="13"/>
      <x:c r="V496" s="13" t="s">
        <x:v>1688</x:v>
      </x:c>
    </x:row>
    <x:row r="497" spans="1:22" s="14" customFormat="1" ht="13.5" customHeight="1">
      <x:c r="A497" s="13" t="str">
        <x:f>O497</x:f>
        <x:v>정보부</x:v>
      </x:c>
      <x:c r="B497" s="25" t="str">
        <x:f>L497&amp;"-"&amp;TEXT(P497,"0000")</x:f>
        <x:v>20070829-0424</x:v>
      </x:c>
      <x:c r="C497" s="13" t="s">
        <x:v>1564</x:v>
      </x:c>
      <x:c r="D497" s="13" t="s">
        <x:v>1533</x:v>
      </x:c>
      <x:c r="E497" s="13" t="s">
        <x:v>1251</x:v>
      </x:c>
      <x:c r="F497" s="13" t="s">
        <x:v>579</x:v>
      </x:c>
      <x:c r="G497" s="13" t="s">
        <x:v>1537</x:v>
      </x:c>
      <x:c r="H497" s="13" t="str">
        <x:f>IFERROR(VLOOKUP(O497,'정보화기기 명부'!A$2:B$187,2,FALSE),"")</x:f>
        <x:v/>
      </x:c>
      <x:c r="I497" s="13"/>
      <x:c r="J497" s="13"/>
      <x:c r="K497" s="13"/>
      <x:c r="L497" s="13">
        <x:v>20070829</x:v>
      </x:c>
      <x:c r="M497" s="13" t="s">
        <x:v>581</x:v>
      </x:c>
      <x:c r="N497" s="13" t="s">
        <x:v>1965</x:v>
      </x:c>
      <x:c r="O497" s="13" t="s">
        <x:v>1303</x:v>
      </x:c>
      <x:c r="P497" s="202">
        <x:v>424</x:v>
      </x:c>
      <x:c r="Q497" s="13" t="s">
        <x:v>572</x:v>
      </x:c>
      <x:c r="R497" s="13" t="s">
        <x:v>1767</x:v>
      </x:c>
      <x:c r="S497" s="13" t="s">
        <x:v>1813</x:v>
      </x:c>
      <x:c r="T497" s="13" t="s">
        <x:v>1980</x:v>
      </x:c>
      <x:c r="U497" s="13"/>
      <x:c r="V497" s="13" t="s">
        <x:v>1688</x:v>
      </x:c>
    </x:row>
    <x:row r="498" spans="1:22" s="14" customFormat="1" ht="13.5" customHeight="1">
      <x:c r="A498" s="13" t="str">
        <x:f>O498</x:f>
        <x:v>최진규</x:v>
      </x:c>
      <x:c r="B498" s="25" t="str">
        <x:f>L498&amp;"-"&amp;TEXT(P498,"0000")</x:f>
        <x:v>20070829-0425</x:v>
      </x:c>
      <x:c r="C498" s="13" t="s">
        <x:v>1564</x:v>
      </x:c>
      <x:c r="D498" s="13" t="s">
        <x:v>1533</x:v>
      </x:c>
      <x:c r="E498" s="13" t="s">
        <x:v>1251</x:v>
      </x:c>
      <x:c r="F498" s="13" t="s">
        <x:v>579</x:v>
      </x:c>
      <x:c r="G498" s="13" t="s">
        <x:v>1537</x:v>
      </x:c>
      <x:c r="H498" s="13" t="str">
        <x:f>IFERROR(VLOOKUP(O498,'정보화기기 명부'!A$2:B$187,2,FALSE),"")</x:f>
        <x:v/>
      </x:c>
      <x:c r="I498" s="13"/>
      <x:c r="J498" s="13"/>
      <x:c r="K498" s="13"/>
      <x:c r="L498" s="13">
        <x:v>20070829</x:v>
      </x:c>
      <x:c r="M498" s="13" t="s">
        <x:v>581</x:v>
      </x:c>
      <x:c r="N498" s="13" t="s">
        <x:v>1965</x:v>
      </x:c>
      <x:c r="O498" s="13" t="s">
        <x:v>1321</x:v>
      </x:c>
      <x:c r="P498" s="202">
        <x:v>425</x:v>
      </x:c>
      <x:c r="Q498" s="13" t="s">
        <x:v>572</x:v>
      </x:c>
      <x:c r="R498" s="13" t="s">
        <x:v>1767</x:v>
      </x:c>
      <x:c r="S498" s="13" t="s">
        <x:v>1813</x:v>
      </x:c>
      <x:c r="T498" s="13" t="s">
        <x:v>1980</x:v>
      </x:c>
      <x:c r="U498" s="13"/>
      <x:c r="V498" s="13" t="s">
        <x:v>1688</x:v>
      </x:c>
    </x:row>
    <x:row r="499" spans="1:22" s="14" customFormat="1" ht="13.5" customHeight="1">
      <x:c r="A499" s="13" t="str">
        <x:f>O499</x:f>
        <x:v>남궁환</x:v>
      </x:c>
      <x:c r="B499" s="25" t="str">
        <x:f>L499&amp;"-"&amp;TEXT(P499,"0000")</x:f>
        <x:v>20070829-0426</x:v>
      </x:c>
      <x:c r="C499" s="13" t="s">
        <x:v>1564</x:v>
      </x:c>
      <x:c r="D499" s="13" t="s">
        <x:v>1533</x:v>
      </x:c>
      <x:c r="E499" s="13" t="s">
        <x:v>1251</x:v>
      </x:c>
      <x:c r="F499" s="13" t="s">
        <x:v>579</x:v>
      </x:c>
      <x:c r="G499" s="13" t="s">
        <x:v>1537</x:v>
      </x:c>
      <x:c r="H499" s="13" t="str">
        <x:f>IFERROR(VLOOKUP(O499,'정보화기기 명부'!A$2:B$187,2,FALSE),"")</x:f>
        <x:v/>
      </x:c>
      <x:c r="I499" s="13"/>
      <x:c r="J499" s="13"/>
      <x:c r="K499" s="13"/>
      <x:c r="L499" s="13">
        <x:v>20070829</x:v>
      </x:c>
      <x:c r="M499" s="13" t="s">
        <x:v>581</x:v>
      </x:c>
      <x:c r="N499" s="13" t="s">
        <x:v>1965</x:v>
      </x:c>
      <x:c r="O499" s="13" t="s">
        <x:v>1288</x:v>
      </x:c>
      <x:c r="P499" s="202">
        <x:v>426</x:v>
      </x:c>
      <x:c r="Q499" s="13" t="s">
        <x:v>572</x:v>
      </x:c>
      <x:c r="R499" s="13" t="s">
        <x:v>1767</x:v>
      </x:c>
      <x:c r="S499" s="13" t="s">
        <x:v>1813</x:v>
      </x:c>
      <x:c r="T499" s="13" t="s">
        <x:v>1980</x:v>
      </x:c>
      <x:c r="U499" s="13"/>
      <x:c r="V499" s="13" t="s">
        <x:v>1688</x:v>
      </x:c>
    </x:row>
    <x:row r="500" spans="1:22" s="14" customFormat="1" ht="13.5" customHeight="1">
      <x:c r="A500" s="13" t="str">
        <x:f>O500</x:f>
        <x:v>김정호</x:v>
      </x:c>
      <x:c r="B500" s="25" t="str">
        <x:f>L500&amp;"-"&amp;TEXT(P500,"0000")</x:f>
        <x:v>20070829-0427</x:v>
      </x:c>
      <x:c r="C500" s="13" t="s">
        <x:v>1564</x:v>
      </x:c>
      <x:c r="D500" s="13" t="s">
        <x:v>1533</x:v>
      </x:c>
      <x:c r="E500" s="13" t="s">
        <x:v>1251</x:v>
      </x:c>
      <x:c r="F500" s="13" t="s">
        <x:v>579</x:v>
      </x:c>
      <x:c r="G500" s="13" t="s">
        <x:v>1537</x:v>
      </x:c>
      <x:c r="H500" s="13" t="str">
        <x:f>IFERROR(VLOOKUP(O500,'정보화기기 명부'!A$2:B$187,2,FALSE),"")</x:f>
        <x:v/>
      </x:c>
      <x:c r="I500" s="13"/>
      <x:c r="J500" s="13"/>
      <x:c r="K500" s="13"/>
      <x:c r="L500" s="13">
        <x:v>20070829</x:v>
      </x:c>
      <x:c r="M500" s="13" t="s">
        <x:v>581</x:v>
      </x:c>
      <x:c r="N500" s="13" t="s">
        <x:v>1965</x:v>
      </x:c>
      <x:c r="O500" s="13" t="s">
        <x:v>1299</x:v>
      </x:c>
      <x:c r="P500" s="202">
        <x:v>427</x:v>
      </x:c>
      <x:c r="Q500" s="13" t="s">
        <x:v>572</x:v>
      </x:c>
      <x:c r="R500" s="13" t="s">
        <x:v>1767</x:v>
      </x:c>
      <x:c r="S500" s="13" t="s">
        <x:v>1813</x:v>
      </x:c>
      <x:c r="T500" s="13" t="s">
        <x:v>1980</x:v>
      </x:c>
      <x:c r="U500" s="13"/>
      <x:c r="V500" s="13" t="s">
        <x:v>1688</x:v>
      </x:c>
    </x:row>
    <x:row r="501" spans="1:22" s="14" customFormat="1" ht="13.5" customHeight="1">
      <x:c r="A501" s="13" t="str">
        <x:f>O501</x:f>
        <x:v>(김일환)</x:v>
      </x:c>
      <x:c r="B501" s="25" t="str">
        <x:f>L501&amp;"-"&amp;TEXT(P501,"0000")</x:f>
        <x:v>20070829-0428</x:v>
      </x:c>
      <x:c r="C501" s="13" t="s">
        <x:v>1564</x:v>
      </x:c>
      <x:c r="D501" s="13" t="s">
        <x:v>1533</x:v>
      </x:c>
      <x:c r="E501" s="13" t="s">
        <x:v>1251</x:v>
      </x:c>
      <x:c r="F501" s="13" t="s">
        <x:v>579</x:v>
      </x:c>
      <x:c r="G501" s="13" t="s">
        <x:v>1537</x:v>
      </x:c>
      <x:c r="H501" s="13" t="str">
        <x:f>IFERROR(VLOOKUP(O501,'정보화기기 명부'!A$2:B$187,2,FALSE),"")</x:f>
        <x:v/>
      </x:c>
      <x:c r="I501" s="13"/>
      <x:c r="J501" s="13"/>
      <x:c r="K501" s="13"/>
      <x:c r="L501" s="13">
        <x:v>20070829</x:v>
      </x:c>
      <x:c r="M501" s="13" t="s">
        <x:v>581</x:v>
      </x:c>
      <x:c r="N501" s="13" t="s">
        <x:v>1965</x:v>
      </x:c>
      <x:c r="O501" s="13" t="s">
        <x:v>1741</x:v>
      </x:c>
      <x:c r="P501" s="202">
        <x:v>428</x:v>
      </x:c>
      <x:c r="Q501" s="13" t="s">
        <x:v>572</x:v>
      </x:c>
      <x:c r="R501" s="13" t="s">
        <x:v>1767</x:v>
      </x:c>
      <x:c r="S501" s="13" t="s">
        <x:v>1813</x:v>
      </x:c>
      <x:c r="T501" s="13" t="s">
        <x:v>1980</x:v>
      </x:c>
      <x:c r="U501" s="13"/>
      <x:c r="V501" s="13" t="s">
        <x:v>1688</x:v>
      </x:c>
    </x:row>
    <x:row r="502" spans="1:22" s="14" customFormat="1" ht="13.5" customHeight="1">
      <x:c r="A502" s="13" t="str">
        <x:f>O502</x:f>
        <x:v>이준남</x:v>
      </x:c>
      <x:c r="B502" s="25" t="str">
        <x:f>L502&amp;"-"&amp;TEXT(P502,"0000")</x:f>
        <x:v>20070829-0429</x:v>
      </x:c>
      <x:c r="C502" s="13" t="s">
        <x:v>1564</x:v>
      </x:c>
      <x:c r="D502" s="13" t="s">
        <x:v>1533</x:v>
      </x:c>
      <x:c r="E502" s="13" t="s">
        <x:v>1251</x:v>
      </x:c>
      <x:c r="F502" s="13" t="s">
        <x:v>579</x:v>
      </x:c>
      <x:c r="G502" s="13" t="s">
        <x:v>1537</x:v>
      </x:c>
      <x:c r="H502" s="13" t="str">
        <x:f>IFERROR(VLOOKUP(O502,'정보화기기 명부'!A$2:B$187,2,FALSE),"")</x:f>
        <x:v/>
      </x:c>
      <x:c r="I502" s="13"/>
      <x:c r="J502" s="13"/>
      <x:c r="K502" s="13"/>
      <x:c r="L502" s="13">
        <x:v>20070829</x:v>
      </x:c>
      <x:c r="M502" s="13" t="s">
        <x:v>581</x:v>
      </x:c>
      <x:c r="N502" s="13" t="s">
        <x:v>1965</x:v>
      </x:c>
      <x:c r="O502" s="13" t="s">
        <x:v>1531</x:v>
      </x:c>
      <x:c r="P502" s="202">
        <x:v>429</x:v>
      </x:c>
      <x:c r="Q502" s="13" t="s">
        <x:v>572</x:v>
      </x:c>
      <x:c r="R502" s="13" t="s">
        <x:v>1767</x:v>
      </x:c>
      <x:c r="S502" s="13" t="s">
        <x:v>1813</x:v>
      </x:c>
      <x:c r="T502" s="13" t="s">
        <x:v>1980</x:v>
      </x:c>
      <x:c r="U502" s="13"/>
      <x:c r="V502" s="13" t="s">
        <x:v>1688</x:v>
      </x:c>
    </x:row>
    <x:row r="503" spans="1:22" s="14" customFormat="1" ht="13.5" customHeight="1">
      <x:c r="A503" s="13" t="str">
        <x:f>O503</x:f>
        <x:v>천지은</x:v>
      </x:c>
      <x:c r="B503" s="25" t="str">
        <x:f>L503&amp;"-"&amp;TEXT(P503,"0000")</x:f>
        <x:v>20070829-0430</x:v>
      </x:c>
      <x:c r="C503" s="13" t="s">
        <x:v>1564</x:v>
      </x:c>
      <x:c r="D503" s="13" t="s">
        <x:v>1533</x:v>
      </x:c>
      <x:c r="E503" s="13" t="s">
        <x:v>1251</x:v>
      </x:c>
      <x:c r="F503" s="13" t="s">
        <x:v>579</x:v>
      </x:c>
      <x:c r="G503" s="13" t="s">
        <x:v>1537</x:v>
      </x:c>
      <x:c r="H503" s="13" t="str">
        <x:f>IFERROR(VLOOKUP(O503,'정보화기기 명부'!A$2:B$187,2,FALSE),"")</x:f>
        <x:v/>
      </x:c>
      <x:c r="I503" s="13"/>
      <x:c r="J503" s="13"/>
      <x:c r="K503" s="13"/>
      <x:c r="L503" s="13">
        <x:v>20070829</x:v>
      </x:c>
      <x:c r="M503" s="13" t="s">
        <x:v>581</x:v>
      </x:c>
      <x:c r="N503" s="13" t="s">
        <x:v>1965</x:v>
      </x:c>
      <x:c r="O503" s="13" t="s">
        <x:v>1243</x:v>
      </x:c>
      <x:c r="P503" s="202">
        <x:v>430</x:v>
      </x:c>
      <x:c r="Q503" s="13" t="s">
        <x:v>572</x:v>
      </x:c>
      <x:c r="R503" s="13" t="s">
        <x:v>1767</x:v>
      </x:c>
      <x:c r="S503" s="13" t="s">
        <x:v>1813</x:v>
      </x:c>
      <x:c r="T503" s="13" t="s">
        <x:v>1980</x:v>
      </x:c>
      <x:c r="U503" s="13"/>
      <x:c r="V503" s="13" t="s">
        <x:v>1688</x:v>
      </x:c>
    </x:row>
    <x:row r="504" spans="1:22" s="14" customFormat="1" ht="13.5" customHeight="1">
      <x:c r="A504" s="13"/>
      <x:c r="B504" s="25" t="str">
        <x:f>L504&amp;"-"&amp;TEXT(P504,"0000")</x:f>
        <x:v>20070628-0554</x:v>
      </x:c>
      <x:c r="C504" s="13" t="s">
        <x:v>1978</x:v>
      </x:c>
      <x:c r="D504" s="13" t="s">
        <x:v>1533</x:v>
      </x:c>
      <x:c r="E504" s="13" t="s">
        <x:v>1543</x:v>
      </x:c>
      <x:c r="F504" s="13" t="s">
        <x:v>2203</x:v>
      </x:c>
      <x:c r="G504" s="13" t="s">
        <x:v>1289</x:v>
      </x:c>
      <x:c r="H504" s="13" t="str">
        <x:f>IFERROR(VLOOKUP(O504,'정보화기기 명부'!A$2:B$187,2,FALSE),"")</x:f>
        <x:v/>
      </x:c>
      <x:c r="I504" s="13"/>
      <x:c r="J504" s="13"/>
      <x:c r="K504" s="13"/>
      <x:c r="L504" s="13">
        <x:v>20070628</x:v>
      </x:c>
      <x:c r="M504" s="13" t="s">
        <x:v>1759</x:v>
      </x:c>
      <x:c r="N504" s="13" t="s">
        <x:v>2034</x:v>
      </x:c>
      <x:c r="O504" s="13" t="s">
        <x:v>2232</x:v>
      </x:c>
      <x:c r="P504" s="202">
        <x:v>554</x:v>
      </x:c>
      <x:c r="Q504" s="13" t="s">
        <x:v>572</x:v>
      </x:c>
      <x:c r="R504" s="13" t="s">
        <x:v>1643</x:v>
      </x:c>
      <x:c r="S504" s="13" t="s">
        <x:v>1813</x:v>
      </x:c>
      <x:c r="T504" s="13" t="s">
        <x:v>1735</x:v>
      </x:c>
      <x:c r="U504" s="13"/>
      <x:c r="V504" s="13" t="s">
        <x:v>2030</x:v>
      </x:c>
    </x:row>
    <x:row r="505" spans="1:22" s="14" customFormat="1" ht="13.5" customHeight="1">
      <x:c r="A505" s="13"/>
      <x:c r="B505" s="25" t="str">
        <x:f>L505&amp;"-"&amp;TEXT(P505,"0000")</x:f>
        <x:v>20070628-0553</x:v>
      </x:c>
      <x:c r="C505" s="13" t="s">
        <x:v>1978</x:v>
      </x:c>
      <x:c r="D505" s="13" t="s">
        <x:v>1533</x:v>
      </x:c>
      <x:c r="E505" s="13" t="s">
        <x:v>1543</x:v>
      </x:c>
      <x:c r="F505" s="13" t="s">
        <x:v>2203</x:v>
      </x:c>
      <x:c r="G505" s="13" t="s">
        <x:v>1289</x:v>
      </x:c>
      <x:c r="H505" s="13" t="str">
        <x:f>IFERROR(VLOOKUP(O505,'정보화기기 명부'!A$2:B$187,2,FALSE),"")</x:f>
        <x:v/>
      </x:c>
      <x:c r="I505" s="13"/>
      <x:c r="J505" s="13"/>
      <x:c r="K505" s="13"/>
      <x:c r="L505" s="13">
        <x:v>20070628</x:v>
      </x:c>
      <x:c r="M505" s="13" t="s">
        <x:v>1759</x:v>
      </x:c>
      <x:c r="N505" s="13" t="s">
        <x:v>2034</x:v>
      </x:c>
      <x:c r="O505" s="13" t="s">
        <x:v>1323</x:v>
      </x:c>
      <x:c r="P505" s="202">
        <x:v>553</x:v>
      </x:c>
      <x:c r="Q505" s="13" t="s">
        <x:v>572</x:v>
      </x:c>
      <x:c r="R505" s="13" t="s">
        <x:v>1643</x:v>
      </x:c>
      <x:c r="S505" s="13" t="s">
        <x:v>1813</x:v>
      </x:c>
      <x:c r="T505" s="13" t="s">
        <x:v>1735</x:v>
      </x:c>
      <x:c r="U505" s="13"/>
      <x:c r="V505" s="13" t="s">
        <x:v>2030</x:v>
      </x:c>
    </x:row>
    <x:row r="506" spans="1:22" s="14" customFormat="1" ht="13.5" customHeight="1">
      <x:c r="A506" s="13" t="str">
        <x:f>O506</x:f>
        <x:v>이정희</x:v>
      </x:c>
      <x:c r="B506" s="25" t="str">
        <x:f>L506&amp;"-"&amp;TEXT(P506,"0000")</x:f>
        <x:v>20070510-0406</x:v>
      </x:c>
      <x:c r="C506" s="13" t="s">
        <x:v>1564</x:v>
      </x:c>
      <x:c r="D506" s="13" t="s">
        <x:v>1533</x:v>
      </x:c>
      <x:c r="E506" s="13" t="s">
        <x:v>1543</x:v>
      </x:c>
      <x:c r="F506" s="13" t="s">
        <x:v>598</x:v>
      </x:c>
      <x:c r="G506" s="13" t="s">
        <x:v>1537</x:v>
      </x:c>
      <x:c r="H506" s="13" t="str">
        <x:f>IFERROR(VLOOKUP(O506,'정보화기기 명부'!A$2:B$187,2,FALSE),"")</x:f>
        <x:v/>
      </x:c>
      <x:c r="I506" s="13"/>
      <x:c r="J506" s="13"/>
      <x:c r="K506" s="13"/>
      <x:c r="L506" s="13">
        <x:v>20070510</x:v>
      </x:c>
      <x:c r="M506" s="13" t="s">
        <x:v>564</x:v>
      </x:c>
      <x:c r="N506" s="13" t="s">
        <x:v>1965</x:v>
      </x:c>
      <x:c r="O506" s="13" t="s">
        <x:v>1291</x:v>
      </x:c>
      <x:c r="P506" s="202">
        <x:v>406</x:v>
      </x:c>
      <x:c r="Q506" s="13" t="s">
        <x:v>572</x:v>
      </x:c>
      <x:c r="R506" s="13" t="s">
        <x:v>2008</x:v>
      </x:c>
      <x:c r="S506" s="13" t="s">
        <x:v>1813</x:v>
      </x:c>
      <x:c r="T506" s="13" t="s">
        <x:v>1786</x:v>
      </x:c>
      <x:c r="U506" s="13"/>
      <x:c r="V506" s="13" t="s">
        <x:v>797</x:v>
      </x:c>
    </x:row>
    <x:row r="507" spans="1:22" s="14" customFormat="1" ht="13.5" customHeight="1">
      <x:c r="A507" s="13" t="str">
        <x:f>O507</x:f>
        <x:v>김형열</x:v>
      </x:c>
      <x:c r="B507" s="25" t="str">
        <x:f>L507&amp;"-"&amp;TEXT(P507,"0000")</x:f>
        <x:v>20070510-0407</x:v>
      </x:c>
      <x:c r="C507" s="13" t="s">
        <x:v>1564</x:v>
      </x:c>
      <x:c r="D507" s="13" t="s">
        <x:v>1533</x:v>
      </x:c>
      <x:c r="E507" s="13" t="s">
        <x:v>1543</x:v>
      </x:c>
      <x:c r="F507" s="13" t="s">
        <x:v>598</x:v>
      </x:c>
      <x:c r="G507" s="13" t="s">
        <x:v>1537</x:v>
      </x:c>
      <x:c r="H507" s="13" t="str">
        <x:f>IFERROR(VLOOKUP(O507,'정보화기기 명부'!A$2:B$187,2,FALSE),"")</x:f>
        <x:v/>
      </x:c>
      <x:c r="I507" s="13"/>
      <x:c r="J507" s="13"/>
      <x:c r="K507" s="13"/>
      <x:c r="L507" s="13">
        <x:v>20070510</x:v>
      </x:c>
      <x:c r="M507" s="13" t="s">
        <x:v>564</x:v>
      </x:c>
      <x:c r="N507" s="13" t="s">
        <x:v>1965</x:v>
      </x:c>
      <x:c r="O507" s="13" t="s">
        <x:v>1241</x:v>
      </x:c>
      <x:c r="P507" s="202">
        <x:v>407</x:v>
      </x:c>
      <x:c r="Q507" s="13" t="s">
        <x:v>572</x:v>
      </x:c>
      <x:c r="R507" s="13" t="s">
        <x:v>2008</x:v>
      </x:c>
      <x:c r="S507" s="13" t="s">
        <x:v>1813</x:v>
      </x:c>
      <x:c r="T507" s="13" t="s">
        <x:v>1786</x:v>
      </x:c>
      <x:c r="U507" s="13"/>
      <x:c r="V507" s="13" t="s">
        <x:v>797</x:v>
      </x:c>
    </x:row>
    <x:row r="508" spans="1:22" s="14" customFormat="1" ht="13.5" customHeight="1">
      <x:c r="A508" s="13" t="str">
        <x:f>O508</x:f>
        <x:v>이성아</x:v>
      </x:c>
      <x:c r="B508" s="25" t="str">
        <x:f>L508&amp;"-"&amp;TEXT(P508,"0000")</x:f>
        <x:v>20070510-0408</x:v>
      </x:c>
      <x:c r="C508" s="13" t="s">
        <x:v>1564</x:v>
      </x:c>
      <x:c r="D508" s="13" t="s">
        <x:v>1533</x:v>
      </x:c>
      <x:c r="E508" s="13" t="s">
        <x:v>1543</x:v>
      </x:c>
      <x:c r="F508" s="13" t="s">
        <x:v>598</x:v>
      </x:c>
      <x:c r="G508" s="13" t="s">
        <x:v>1537</x:v>
      </x:c>
      <x:c r="H508" s="13" t="str">
        <x:f>IFERROR(VLOOKUP(O508,'정보화기기 명부'!A$2:B$187,2,FALSE),"")</x:f>
        <x:v/>
      </x:c>
      <x:c r="I508" s="13"/>
      <x:c r="J508" s="13"/>
      <x:c r="K508" s="13"/>
      <x:c r="L508" s="13">
        <x:v>20070510</x:v>
      </x:c>
      <x:c r="M508" s="13" t="s">
        <x:v>564</x:v>
      </x:c>
      <x:c r="N508" s="13" t="s">
        <x:v>1965</x:v>
      </x:c>
      <x:c r="O508" s="13" t="s">
        <x:v>1296</x:v>
      </x:c>
      <x:c r="P508" s="202">
        <x:v>408</x:v>
      </x:c>
      <x:c r="Q508" s="13" t="s">
        <x:v>572</x:v>
      </x:c>
      <x:c r="R508" s="13" t="s">
        <x:v>2008</x:v>
      </x:c>
      <x:c r="S508" s="13" t="s">
        <x:v>1813</x:v>
      </x:c>
      <x:c r="T508" s="13" t="s">
        <x:v>1786</x:v>
      </x:c>
      <x:c r="U508" s="13"/>
      <x:c r="V508" s="13" t="s">
        <x:v>797</x:v>
      </x:c>
    </x:row>
    <x:row r="509" spans="1:22" s="14" customFormat="1" ht="13.5" customHeight="1">
      <x:c r="A509" s="13" t="str">
        <x:f>O509</x:f>
        <x:v>강은정</x:v>
      </x:c>
      <x:c r="B509" s="25" t="str">
        <x:f>L509&amp;"-"&amp;TEXT(P509,"0000")</x:f>
        <x:v>20070510-0409</x:v>
      </x:c>
      <x:c r="C509" s="13" t="s">
        <x:v>1564</x:v>
      </x:c>
      <x:c r="D509" s="13" t="s">
        <x:v>1533</x:v>
      </x:c>
      <x:c r="E509" s="13" t="s">
        <x:v>1543</x:v>
      </x:c>
      <x:c r="F509" s="13" t="s">
        <x:v>598</x:v>
      </x:c>
      <x:c r="G509" s="13" t="s">
        <x:v>1537</x:v>
      </x:c>
      <x:c r="H509" s="13" t="str">
        <x:f>IFERROR(VLOOKUP(O509,'정보화기기 명부'!A$2:B$187,2,FALSE),"")</x:f>
        <x:v/>
      </x:c>
      <x:c r="I509" s="13"/>
      <x:c r="J509" s="13"/>
      <x:c r="K509" s="13"/>
      <x:c r="L509" s="13">
        <x:v>20070510</x:v>
      </x:c>
      <x:c r="M509" s="13" t="s">
        <x:v>564</x:v>
      </x:c>
      <x:c r="N509" s="13" t="s">
        <x:v>1965</x:v>
      </x:c>
      <x:c r="O509" s="13" t="s">
        <x:v>1307</x:v>
      </x:c>
      <x:c r="P509" s="202">
        <x:v>409</x:v>
      </x:c>
      <x:c r="Q509" s="13" t="s">
        <x:v>572</x:v>
      </x:c>
      <x:c r="R509" s="13" t="s">
        <x:v>2008</x:v>
      </x:c>
      <x:c r="S509" s="13" t="s">
        <x:v>1813</x:v>
      </x:c>
      <x:c r="T509" s="13" t="s">
        <x:v>1786</x:v>
      </x:c>
      <x:c r="U509" s="13"/>
      <x:c r="V509" s="13" t="s">
        <x:v>797</x:v>
      </x:c>
    </x:row>
    <x:row r="510" spans="1:22" s="14" customFormat="1" ht="13.5" customHeight="1">
      <x:c r="A510" s="13" t="str">
        <x:f>O510</x:f>
        <x:v>박송이</x:v>
      </x:c>
      <x:c r="B510" s="25" t="str">
        <x:f>L510&amp;"-"&amp;TEXT(P510,"0000")</x:f>
        <x:v>20070510-0410</x:v>
      </x:c>
      <x:c r="C510" s="13" t="s">
        <x:v>1564</x:v>
      </x:c>
      <x:c r="D510" s="13" t="s">
        <x:v>1533</x:v>
      </x:c>
      <x:c r="E510" s="13" t="s">
        <x:v>1543</x:v>
      </x:c>
      <x:c r="F510" s="13" t="s">
        <x:v>598</x:v>
      </x:c>
      <x:c r="G510" s="13" t="s">
        <x:v>1537</x:v>
      </x:c>
      <x:c r="H510" s="13" t="str">
        <x:f>IFERROR(VLOOKUP(O510,'정보화기기 명부'!A$2:B$187,2,FALSE),"")</x:f>
        <x:v/>
      </x:c>
      <x:c r="I510" s="13"/>
      <x:c r="J510" s="13"/>
      <x:c r="K510" s="13"/>
      <x:c r="L510" s="13">
        <x:v>20070510</x:v>
      </x:c>
      <x:c r="M510" s="13" t="s">
        <x:v>564</x:v>
      </x:c>
      <x:c r="N510" s="13" t="s">
        <x:v>1965</x:v>
      </x:c>
      <x:c r="O510" s="13" t="s">
        <x:v>1338</x:v>
      </x:c>
      <x:c r="P510" s="202">
        <x:v>410</x:v>
      </x:c>
      <x:c r="Q510" s="13" t="s">
        <x:v>572</x:v>
      </x:c>
      <x:c r="R510" s="13" t="s">
        <x:v>2008</x:v>
      </x:c>
      <x:c r="S510" s="13" t="s">
        <x:v>1813</x:v>
      </x:c>
      <x:c r="T510" s="13" t="s">
        <x:v>1786</x:v>
      </x:c>
      <x:c r="U510" s="13"/>
      <x:c r="V510" s="13" t="s">
        <x:v>797</x:v>
      </x:c>
    </x:row>
    <x:row r="511" spans="1:22" s="14" customFormat="1" ht="13.5" customHeight="1">
      <x:c r="A511" s="13" t="str">
        <x:f>O511</x:f>
        <x:v>박효선</x:v>
      </x:c>
      <x:c r="B511" s="25" t="str">
        <x:f>L511&amp;"-"&amp;TEXT(P511,"0000")</x:f>
        <x:v>20070510-0411</x:v>
      </x:c>
      <x:c r="C511" s="13" t="s">
        <x:v>1564</x:v>
      </x:c>
      <x:c r="D511" s="13" t="s">
        <x:v>1533</x:v>
      </x:c>
      <x:c r="E511" s="13" t="s">
        <x:v>1543</x:v>
      </x:c>
      <x:c r="F511" s="13" t="s">
        <x:v>598</x:v>
      </x:c>
      <x:c r="G511" s="13" t="s">
        <x:v>1537</x:v>
      </x:c>
      <x:c r="H511" s="13" t="str">
        <x:f>IFERROR(VLOOKUP(O511,'정보화기기 명부'!A$2:B$187,2,FALSE),"")</x:f>
        <x:v/>
      </x:c>
      <x:c r="I511" s="13"/>
      <x:c r="J511" s="13"/>
      <x:c r="K511" s="13"/>
      <x:c r="L511" s="13">
        <x:v>20070510</x:v>
      </x:c>
      <x:c r="M511" s="13" t="s">
        <x:v>564</x:v>
      </x:c>
      <x:c r="N511" s="13" t="s">
        <x:v>1965</x:v>
      </x:c>
      <x:c r="O511" s="13" t="s">
        <x:v>1345</x:v>
      </x:c>
      <x:c r="P511" s="202">
        <x:v>411</x:v>
      </x:c>
      <x:c r="Q511" s="13" t="s">
        <x:v>572</x:v>
      </x:c>
      <x:c r="R511" s="13" t="s">
        <x:v>2008</x:v>
      </x:c>
      <x:c r="S511" s="13" t="s">
        <x:v>1813</x:v>
      </x:c>
      <x:c r="T511" s="13" t="s">
        <x:v>1786</x:v>
      </x:c>
      <x:c r="U511" s="13"/>
      <x:c r="V511" s="13" t="s">
        <x:v>797</x:v>
      </x:c>
    </x:row>
    <x:row r="512" spans="1:22" s="14" customFormat="1" ht="13.5" customHeight="1">
      <x:c r="A512" s="13" t="str">
        <x:f>O512</x:f>
        <x:v>기현정</x:v>
      </x:c>
      <x:c r="B512" s="25" t="str">
        <x:f>L512&amp;"-"&amp;TEXT(P512,"0000")</x:f>
        <x:v>20070510-0412</x:v>
      </x:c>
      <x:c r="C512" s="13" t="s">
        <x:v>1564</x:v>
      </x:c>
      <x:c r="D512" s="13" t="s">
        <x:v>1533</x:v>
      </x:c>
      <x:c r="E512" s="13" t="s">
        <x:v>1543</x:v>
      </x:c>
      <x:c r="F512" s="13" t="s">
        <x:v>598</x:v>
      </x:c>
      <x:c r="G512" s="13" t="s">
        <x:v>1537</x:v>
      </x:c>
      <x:c r="H512" s="13" t="str">
        <x:f>IFERROR(VLOOKUP(O512,'정보화기기 명부'!A$2:B$187,2,FALSE),"")</x:f>
        <x:v/>
      </x:c>
      <x:c r="I512" s="13"/>
      <x:c r="J512" s="13"/>
      <x:c r="K512" s="13"/>
      <x:c r="L512" s="13">
        <x:v>20070510</x:v>
      </x:c>
      <x:c r="M512" s="13" t="s">
        <x:v>564</x:v>
      </x:c>
      <x:c r="N512" s="13" t="s">
        <x:v>1965</x:v>
      </x:c>
      <x:c r="O512" s="13" t="s">
        <x:v>1347</x:v>
      </x:c>
      <x:c r="P512" s="202">
        <x:v>412</x:v>
      </x:c>
      <x:c r="Q512" s="13" t="s">
        <x:v>572</x:v>
      </x:c>
      <x:c r="R512" s="13" t="s">
        <x:v>2008</x:v>
      </x:c>
      <x:c r="S512" s="13" t="s">
        <x:v>1813</x:v>
      </x:c>
      <x:c r="T512" s="13" t="s">
        <x:v>1786</x:v>
      </x:c>
      <x:c r="U512" s="13"/>
      <x:c r="V512" s="13" t="s">
        <x:v>797</x:v>
      </x:c>
    </x:row>
    <x:row r="513" spans="1:22" s="14" customFormat="1" ht="13.5" customHeight="1">
      <x:c r="A513" s="13" t="str">
        <x:f>O513</x:f>
        <x:v>인쇄실기사님1</x:v>
      </x:c>
      <x:c r="B513" s="25" t="str">
        <x:f>L513&amp;"-"&amp;TEXT(P513,"0000")</x:f>
        <x:v>20070328-0535</x:v>
      </x:c>
      <x:c r="C513" s="13" t="s">
        <x:v>1978</x:v>
      </x:c>
      <x:c r="D513" s="13" t="s">
        <x:v>1533</x:v>
      </x:c>
      <x:c r="E513" s="13" t="s">
        <x:v>1543</x:v>
      </x:c>
      <x:c r="F513" s="13" t="s">
        <x:v>1768</x:v>
      </x:c>
      <x:c r="G513" s="13" t="s">
        <x:v>1289</x:v>
      </x:c>
      <x:c r="H513" s="13" t="str">
        <x:f>IFERROR(VLOOKUP(O513,'정보화기기 명부'!A$2:B$187,2,FALSE),"")</x:f>
        <x:v/>
      </x:c>
      <x:c r="I513" s="13"/>
      <x:c r="J513" s="13"/>
      <x:c r="K513" s="13"/>
      <x:c r="L513" s="13">
        <x:v>20070328</x:v>
      </x:c>
      <x:c r="M513" s="13" t="s">
        <x:v>587</x:v>
      </x:c>
      <x:c r="N513" s="13" t="s">
        <x:v>2034</x:v>
      </x:c>
      <x:c r="O513" s="13" t="s">
        <x:v>1804</x:v>
      </x:c>
      <x:c r="P513" s="202">
        <x:v>535</x:v>
      </x:c>
      <x:c r="Q513" s="13" t="s">
        <x:v>572</x:v>
      </x:c>
      <x:c r="R513" s="13" t="s">
        <x:v>1709</x:v>
      </x:c>
      <x:c r="S513" s="13" t="s">
        <x:v>1813</x:v>
      </x:c>
      <x:c r="T513" s="13" t="s">
        <x:v>1735</x:v>
      </x:c>
      <x:c r="U513" s="13"/>
      <x:c r="V513" s="13" t="s">
        <x:v>2030</x:v>
      </x:c>
    </x:row>
    <x:row r="514" spans="1:22" s="14" customFormat="1" ht="13.5" customHeight="1">
      <x:c r="A514" s="13" t="str">
        <x:f>O514</x:f>
        <x:v>(백민정(상담인턴))</x:v>
      </x:c>
      <x:c r="B514" s="25" t="str">
        <x:f>L514&amp;"-"&amp;TEXT(P514,"0000")</x:f>
        <x:v>20061228-0393</x:v>
      </x:c>
      <x:c r="C514" s="13" t="s">
        <x:v>1564</x:v>
      </x:c>
      <x:c r="D514" s="13" t="s">
        <x:v>1533</x:v>
      </x:c>
      <x:c r="E514" s="13" t="s">
        <x:v>1251</x:v>
      </x:c>
      <x:c r="F514" s="13" t="s">
        <x:v>586</x:v>
      </x:c>
      <x:c r="G514" s="13" t="s">
        <x:v>1537</x:v>
      </x:c>
      <x:c r="H514" s="13" t="str">
        <x:f>IFERROR(VLOOKUP(O514,'정보화기기 명부'!A$2:B$187,2,FALSE),"")</x:f>
        <x:v/>
      </x:c>
      <x:c r="I514" s="13"/>
      <x:c r="J514" s="13"/>
      <x:c r="K514" s="13"/>
      <x:c r="L514" s="13">
        <x:v>20061228</x:v>
      </x:c>
      <x:c r="M514" s="13" t="s">
        <x:v>581</x:v>
      </x:c>
      <x:c r="N514" s="13" t="s">
        <x:v>1965</x:v>
      </x:c>
      <x:c r="O514" s="13" t="s">
        <x:v>584</x:v>
      </x:c>
      <x:c r="P514" s="202">
        <x:v>393</x:v>
      </x:c>
      <x:c r="Q514" s="13" t="s">
        <x:v>572</x:v>
      </x:c>
      <x:c r="R514" s="13" t="s">
        <x:v>1774</x:v>
      </x:c>
      <x:c r="S514" s="13" t="s">
        <x:v>1813</x:v>
      </x:c>
      <x:c r="T514" s="13" t="s">
        <x:v>1755</x:v>
      </x:c>
      <x:c r="U514" s="13"/>
      <x:c r="V514" s="13" t="s">
        <x:v>797</x:v>
      </x:c>
    </x:row>
    <x:row r="515" spans="1:22" s="14" customFormat="1" ht="13.5" customHeight="1">
      <x:c r="A515" s="13" t="str">
        <x:f>O515</x:f>
        <x:v>이금구</x:v>
      </x:c>
      <x:c r="B515" s="25" t="str">
        <x:f>L515&amp;"-"&amp;TEXT(P515,"0000")</x:f>
        <x:v>20061228-0394</x:v>
      </x:c>
      <x:c r="C515" s="13" t="s">
        <x:v>1564</x:v>
      </x:c>
      <x:c r="D515" s="13" t="s">
        <x:v>1533</x:v>
      </x:c>
      <x:c r="E515" s="13" t="s">
        <x:v>1251</x:v>
      </x:c>
      <x:c r="F515" s="13" t="s">
        <x:v>586</x:v>
      </x:c>
      <x:c r="G515" s="13" t="s">
        <x:v>1537</x:v>
      </x:c>
      <x:c r="H515" s="13" t="str">
        <x:f>IFERROR(VLOOKUP(O515,'정보화기기 명부'!A$2:B$187,2,FALSE),"")</x:f>
        <x:v/>
      </x:c>
      <x:c r="I515" s="13"/>
      <x:c r="J515" s="13"/>
      <x:c r="K515" s="13"/>
      <x:c r="L515" s="13">
        <x:v>20061228</x:v>
      </x:c>
      <x:c r="M515" s="13" t="s">
        <x:v>581</x:v>
      </x:c>
      <x:c r="N515" s="13" t="s">
        <x:v>1965</x:v>
      </x:c>
      <x:c r="O515" s="13" t="s">
        <x:v>1352</x:v>
      </x:c>
      <x:c r="P515" s="202">
        <x:v>394</x:v>
      </x:c>
      <x:c r="Q515" s="13" t="s">
        <x:v>572</x:v>
      </x:c>
      <x:c r="R515" s="13" t="s">
        <x:v>1774</x:v>
      </x:c>
      <x:c r="S515" s="13" t="s">
        <x:v>1813</x:v>
      </x:c>
      <x:c r="T515" s="13" t="s">
        <x:v>1755</x:v>
      </x:c>
      <x:c r="U515" s="13"/>
      <x:c r="V515" s="13" t="s">
        <x:v>797</x:v>
      </x:c>
    </x:row>
    <x:row r="516" spans="1:22" s="14" customFormat="1" ht="13.5" customHeight="1">
      <x:c r="A516" s="13" t="str">
        <x:f>O516</x:f>
        <x:v>(이명숙(실험인턴))</x:v>
      </x:c>
      <x:c r="B516" s="25" t="str">
        <x:f>L516&amp;"-"&amp;TEXT(P516,"0000")</x:f>
        <x:v>20061228-0395</x:v>
      </x:c>
      <x:c r="C516" s="13" t="s">
        <x:v>1564</x:v>
      </x:c>
      <x:c r="D516" s="13" t="s">
        <x:v>1533</x:v>
      </x:c>
      <x:c r="E516" s="13" t="s">
        <x:v>1251</x:v>
      </x:c>
      <x:c r="F516" s="13" t="s">
        <x:v>586</x:v>
      </x:c>
      <x:c r="G516" s="13" t="s">
        <x:v>1537</x:v>
      </x:c>
      <x:c r="H516" s="13" t="str">
        <x:f>IFERROR(VLOOKUP(O516,'정보화기기 명부'!A$2:B$187,2,FALSE),"")</x:f>
        <x:v/>
      </x:c>
      <x:c r="I516" s="13"/>
      <x:c r="J516" s="13"/>
      <x:c r="K516" s="13"/>
      <x:c r="L516" s="13">
        <x:v>20061228</x:v>
      </x:c>
      <x:c r="M516" s="13" t="s">
        <x:v>581</x:v>
      </x:c>
      <x:c r="N516" s="13" t="s">
        <x:v>1965</x:v>
      </x:c>
      <x:c r="O516" s="13" t="s">
        <x:v>590</x:v>
      </x:c>
      <x:c r="P516" s="202">
        <x:v>395</x:v>
      </x:c>
      <x:c r="Q516" s="13" t="s">
        <x:v>572</x:v>
      </x:c>
      <x:c r="R516" s="13" t="s">
        <x:v>1774</x:v>
      </x:c>
      <x:c r="S516" s="13" t="s">
        <x:v>1813</x:v>
      </x:c>
      <x:c r="T516" s="13" t="s">
        <x:v>1755</x:v>
      </x:c>
      <x:c r="U516" s="13"/>
      <x:c r="V516" s="13" t="s">
        <x:v>797</x:v>
      </x:c>
    </x:row>
    <x:row r="517" spans="1:22" s="14" customFormat="1" ht="13.5" customHeight="1">
      <x:c r="A517" s="13" t="str">
        <x:f>O517</x:f>
        <x:v>(교육실습생3)</x:v>
      </x:c>
      <x:c r="B517" s="25" t="str">
        <x:f>L517&amp;"-"&amp;TEXT(P517,"0000")</x:f>
        <x:v>20061228-0396</x:v>
      </x:c>
      <x:c r="C517" s="13" t="s">
        <x:v>1564</x:v>
      </x:c>
      <x:c r="D517" s="13" t="s">
        <x:v>1533</x:v>
      </x:c>
      <x:c r="E517" s="13" t="s">
        <x:v>1251</x:v>
      </x:c>
      <x:c r="F517" s="13" t="s">
        <x:v>586</x:v>
      </x:c>
      <x:c r="G517" s="13" t="s">
        <x:v>1537</x:v>
      </x:c>
      <x:c r="H517" s="13" t="str">
        <x:f>IFERROR(VLOOKUP(O517,'정보화기기 명부'!A$2:B$187,2,FALSE),"")</x:f>
        <x:v/>
      </x:c>
      <x:c r="I517" s="13"/>
      <x:c r="J517" s="13"/>
      <x:c r="K517" s="13"/>
      <x:c r="L517" s="13">
        <x:v>20061228</x:v>
      </x:c>
      <x:c r="M517" s="13" t="s">
        <x:v>581</x:v>
      </x:c>
      <x:c r="N517" s="13" t="s">
        <x:v>1965</x:v>
      </x:c>
      <x:c r="O517" s="13" t="s">
        <x:v>574</x:v>
      </x:c>
      <x:c r="P517" s="202">
        <x:v>396</x:v>
      </x:c>
      <x:c r="Q517" s="13" t="s">
        <x:v>572</x:v>
      </x:c>
      <x:c r="R517" s="13" t="s">
        <x:v>1774</x:v>
      </x:c>
      <x:c r="S517" s="13" t="s">
        <x:v>1813</x:v>
      </x:c>
      <x:c r="T517" s="13" t="s">
        <x:v>1755</x:v>
      </x:c>
      <x:c r="U517" s="13"/>
      <x:c r="V517" s="13" t="s">
        <x:v>797</x:v>
      </x:c>
    </x:row>
    <x:row r="518" spans="1:22" s="14" customFormat="1" ht="13.5" customHeight="1">
      <x:c r="A518" s="13" t="str">
        <x:f>O518</x:f>
        <x:v>(교육실습생4)</x:v>
      </x:c>
      <x:c r="B518" s="25" t="str">
        <x:f>L518&amp;"-"&amp;TEXT(P518,"0000")</x:f>
        <x:v>20061228-0397</x:v>
      </x:c>
      <x:c r="C518" s="13" t="s">
        <x:v>1564</x:v>
      </x:c>
      <x:c r="D518" s="13" t="s">
        <x:v>1533</x:v>
      </x:c>
      <x:c r="E518" s="13" t="s">
        <x:v>1251</x:v>
      </x:c>
      <x:c r="F518" s="13" t="s">
        <x:v>586</x:v>
      </x:c>
      <x:c r="G518" s="13" t="s">
        <x:v>1537</x:v>
      </x:c>
      <x:c r="H518" s="13" t="str">
        <x:f>IFERROR(VLOOKUP(O518,'정보화기기 명부'!A$2:B$187,2,FALSE),"")</x:f>
        <x:v/>
      </x:c>
      <x:c r="I518" s="13"/>
      <x:c r="J518" s="13"/>
      <x:c r="K518" s="13"/>
      <x:c r="L518" s="13">
        <x:v>20061228</x:v>
      </x:c>
      <x:c r="M518" s="13" t="s">
        <x:v>581</x:v>
      </x:c>
      <x:c r="N518" s="13" t="s">
        <x:v>1965</x:v>
      </x:c>
      <x:c r="O518" s="13" t="s">
        <x:v>588</x:v>
      </x:c>
      <x:c r="P518" s="202">
        <x:v>397</x:v>
      </x:c>
      <x:c r="Q518" s="13" t="s">
        <x:v>572</x:v>
      </x:c>
      <x:c r="R518" s="13" t="s">
        <x:v>1774</x:v>
      </x:c>
      <x:c r="S518" s="13" t="s">
        <x:v>1813</x:v>
      </x:c>
      <x:c r="T518" s="13" t="s">
        <x:v>1755</x:v>
      </x:c>
      <x:c r="U518" s="13"/>
      <x:c r="V518" s="13" t="s">
        <x:v>797</x:v>
      </x:c>
    </x:row>
    <x:row r="519" spans="1:22" s="14" customFormat="1" ht="13.5" customHeight="1">
      <x:c r="A519" s="13" t="str">
        <x:f>O519</x:f>
        <x:v>(박준영)</x:v>
      </x:c>
      <x:c r="B519" s="25" t="str">
        <x:f>L519&amp;"-"&amp;TEXT(P519,"0000")</x:f>
        <x:v>20061228-0398</x:v>
      </x:c>
      <x:c r="C519" s="13" t="s">
        <x:v>1564</x:v>
      </x:c>
      <x:c r="D519" s="13" t="s">
        <x:v>1533</x:v>
      </x:c>
      <x:c r="E519" s="13" t="s">
        <x:v>1251</x:v>
      </x:c>
      <x:c r="F519" s="13" t="s">
        <x:v>586</x:v>
      </x:c>
      <x:c r="G519" s="13" t="s">
        <x:v>1537</x:v>
      </x:c>
      <x:c r="H519" s="13" t="str">
        <x:f>IFERROR(VLOOKUP(O519,'정보화기기 명부'!A$2:B$187,2,FALSE),"")</x:f>
        <x:v/>
      </x:c>
      <x:c r="I519" s="13"/>
      <x:c r="J519" s="13"/>
      <x:c r="K519" s="13"/>
      <x:c r="L519" s="13">
        <x:v>20061228</x:v>
      </x:c>
      <x:c r="M519" s="13" t="s">
        <x:v>581</x:v>
      </x:c>
      <x:c r="N519" s="13" t="s">
        <x:v>1965</x:v>
      </x:c>
      <x:c r="O519" s="13" t="s">
        <x:v>1760</x:v>
      </x:c>
      <x:c r="P519" s="202">
        <x:v>398</x:v>
      </x:c>
      <x:c r="Q519" s="13" t="s">
        <x:v>572</x:v>
      </x:c>
      <x:c r="R519" s="13" t="s">
        <x:v>1774</x:v>
      </x:c>
      <x:c r="S519" s="13" t="s">
        <x:v>1813</x:v>
      </x:c>
      <x:c r="T519" s="13" t="s">
        <x:v>1755</x:v>
      </x:c>
      <x:c r="U519" s="13"/>
      <x:c r="V519" s="13" t="s">
        <x:v>797</x:v>
      </x:c>
    </x:row>
    <x:row r="520" spans="1:22" s="14" customFormat="1" ht="13.5" customHeight="1">
      <x:c r="A520" s="13"/>
      <x:c r="B520" s="25" t="str">
        <x:f>L520&amp;"-"&amp;TEXT(P520,"0000")</x:f>
        <x:v>20061228-0405</x:v>
      </x:c>
      <x:c r="C520" s="13" t="s">
        <x:v>1978</x:v>
      </x:c>
      <x:c r="D520" s="13" t="s">
        <x:v>1533</x:v>
      </x:c>
      <x:c r="E520" s="13" t="s">
        <x:v>1568</x:v>
      </x:c>
      <x:c r="F520" s="13" t="s">
        <x:v>2192</x:v>
      </x:c>
      <x:c r="G520" s="13" t="s">
        <x:v>1289</x:v>
      </x:c>
      <x:c r="H520" s="13" t="str">
        <x:f>IFERROR(VLOOKUP(O520,'정보화기기 명부'!A$2:B$187,2,FALSE),"")</x:f>
        <x:v/>
      </x:c>
      <x:c r="I520" s="13"/>
      <x:c r="J520" s="13" t="s">
        <x:v>1751</x:v>
      </x:c>
      <x:c r="K520" s="13"/>
      <x:c r="L520" s="13">
        <x:v>20061228</x:v>
      </x:c>
      <x:c r="M520" s="13" t="s">
        <x:v>1812</x:v>
      </x:c>
      <x:c r="N520" s="13" t="s">
        <x:v>1965</x:v>
      </x:c>
      <x:c r="O520" s="13" t="s">
        <x:v>3147</x:v>
      </x:c>
      <x:c r="P520" s="202">
        <x:v>405</x:v>
      </x:c>
      <x:c r="Q520" s="13" t="s">
        <x:v>572</x:v>
      </x:c>
      <x:c r="R520" s="13" t="s">
        <x:v>1643</x:v>
      </x:c>
      <x:c r="S520" s="13" t="s">
        <x:v>1780</x:v>
      </x:c>
      <x:c r="T520" s="13" t="s">
        <x:v>1632</x:v>
      </x:c>
      <x:c r="U520" s="13"/>
      <x:c r="V520" s="13" t="s">
        <x:v>797</x:v>
      </x:c>
    </x:row>
    <x:row r="521" spans="1:22" s="14" customFormat="1" ht="13.5" customHeight="1">
      <x:c r="A521" s="13"/>
      <x:c r="B521" s="25" t="str">
        <x:f>L521&amp;"-"&amp;TEXT(P521,"0000")</x:f>
        <x:v>20061228-0404</x:v>
      </x:c>
      <x:c r="C521" s="13" t="s">
        <x:v>1978</x:v>
      </x:c>
      <x:c r="D521" s="13" t="s">
        <x:v>1533</x:v>
      </x:c>
      <x:c r="E521" s="13" t="s">
        <x:v>1568</x:v>
      </x:c>
      <x:c r="F521" s="13" t="s">
        <x:v>2192</x:v>
      </x:c>
      <x:c r="G521" s="13" t="s">
        <x:v>1289</x:v>
      </x:c>
      <x:c r="H521" s="13" t="str">
        <x:f>IFERROR(VLOOKUP(O521,'정보화기기 명부'!A$2:B$187,2,FALSE),"")</x:f>
        <x:v/>
      </x:c>
      <x:c r="I521" s="13"/>
      <x:c r="J521" s="13" t="s">
        <x:v>1751</x:v>
      </x:c>
      <x:c r="K521" s="13"/>
      <x:c r="L521" s="13">
        <x:v>20061228</x:v>
      </x:c>
      <x:c r="M521" s="13" t="s">
        <x:v>1812</x:v>
      </x:c>
      <x:c r="N521" s="13" t="s">
        <x:v>1965</x:v>
      </x:c>
      <x:c r="O521" s="13" t="s">
        <x:v>3147</x:v>
      </x:c>
      <x:c r="P521" s="202">
        <x:v>404</x:v>
      </x:c>
      <x:c r="Q521" s="13" t="s">
        <x:v>572</x:v>
      </x:c>
      <x:c r="R521" s="13" t="s">
        <x:v>1643</x:v>
      </x:c>
      <x:c r="S521" s="13" t="s">
        <x:v>1780</x:v>
      </x:c>
      <x:c r="T521" s="13" t="s">
        <x:v>1632</x:v>
      </x:c>
      <x:c r="U521" s="13"/>
      <x:c r="V521" s="13" t="s">
        <x:v>797</x:v>
      </x:c>
    </x:row>
    <x:row r="522" spans="1:22" s="14" customFormat="1" ht="13.5" customHeight="1">
      <x:c r="A522" s="13"/>
      <x:c r="B522" s="25" t="str">
        <x:f>L522&amp;"-"&amp;TEXT(P522,"0000")</x:f>
        <x:v>20061228-0403</x:v>
      </x:c>
      <x:c r="C522" s="13" t="s">
        <x:v>1978</x:v>
      </x:c>
      <x:c r="D522" s="13" t="s">
        <x:v>1533</x:v>
      </x:c>
      <x:c r="E522" s="13" t="s">
        <x:v>1568</x:v>
      </x:c>
      <x:c r="F522" s="13" t="s">
        <x:v>2192</x:v>
      </x:c>
      <x:c r="G522" s="13" t="s">
        <x:v>1289</x:v>
      </x:c>
      <x:c r="H522" s="13" t="str">
        <x:f>IFERROR(VLOOKUP(O522,'정보화기기 명부'!A$2:B$187,2,FALSE),"")</x:f>
        <x:v/>
      </x:c>
      <x:c r="I522" s="13"/>
      <x:c r="J522" s="13" t="s">
        <x:v>1751</x:v>
      </x:c>
      <x:c r="K522" s="13"/>
      <x:c r="L522" s="13">
        <x:v>20061228</x:v>
      </x:c>
      <x:c r="M522" s="13" t="s">
        <x:v>1812</x:v>
      </x:c>
      <x:c r="N522" s="13" t="s">
        <x:v>1965</x:v>
      </x:c>
      <x:c r="O522" s="13" t="s">
        <x:v>3147</x:v>
      </x:c>
      <x:c r="P522" s="202">
        <x:v>403</x:v>
      </x:c>
      <x:c r="Q522" s="13" t="s">
        <x:v>572</x:v>
      </x:c>
      <x:c r="R522" s="13" t="s">
        <x:v>1643</x:v>
      </x:c>
      <x:c r="S522" s="13" t="s">
        <x:v>1780</x:v>
      </x:c>
      <x:c r="T522" s="13" t="s">
        <x:v>1632</x:v>
      </x:c>
      <x:c r="U522" s="13"/>
      <x:c r="V522" s="13" t="s">
        <x:v>797</x:v>
      </x:c>
    </x:row>
    <x:row r="523" spans="1:22" s="14" customFormat="1" ht="13.5" customHeight="1">
      <x:c r="A523" s="13"/>
      <x:c r="B523" s="25" t="str">
        <x:f>L523&amp;"-"&amp;TEXT(P523,"0000")</x:f>
        <x:v>20061228-0402</x:v>
      </x:c>
      <x:c r="C523" s="13" t="s">
        <x:v>1978</x:v>
      </x:c>
      <x:c r="D523" s="13" t="s">
        <x:v>1533</x:v>
      </x:c>
      <x:c r="E523" s="13" t="s">
        <x:v>1568</x:v>
      </x:c>
      <x:c r="F523" s="13" t="s">
        <x:v>2192</x:v>
      </x:c>
      <x:c r="G523" s="13" t="s">
        <x:v>1289</x:v>
      </x:c>
      <x:c r="H523" s="13" t="str">
        <x:f>IFERROR(VLOOKUP(O523,'정보화기기 명부'!A$2:B$187,2,FALSE),"")</x:f>
        <x:v/>
      </x:c>
      <x:c r="I523" s="13"/>
      <x:c r="J523" s="13" t="s">
        <x:v>1751</x:v>
      </x:c>
      <x:c r="K523" s="13"/>
      <x:c r="L523" s="13">
        <x:v>20061228</x:v>
      </x:c>
      <x:c r="M523" s="13" t="s">
        <x:v>1812</x:v>
      </x:c>
      <x:c r="N523" s="13" t="s">
        <x:v>1965</x:v>
      </x:c>
      <x:c r="O523" s="13" t="s">
        <x:v>1313</x:v>
      </x:c>
      <x:c r="P523" s="202">
        <x:v>402</x:v>
      </x:c>
      <x:c r="Q523" s="13" t="s">
        <x:v>572</x:v>
      </x:c>
      <x:c r="R523" s="13" t="s">
        <x:v>1643</x:v>
      </x:c>
      <x:c r="S523" s="13" t="s">
        <x:v>1780</x:v>
      </x:c>
      <x:c r="T523" s="13" t="s">
        <x:v>1632</x:v>
      </x:c>
      <x:c r="U523" s="13"/>
      <x:c r="V523" s="13" t="s">
        <x:v>797</x:v>
      </x:c>
    </x:row>
    <x:row r="524" spans="1:22" s="14" customFormat="1" ht="13.5" customHeight="1">
      <x:c r="A524" s="13"/>
      <x:c r="B524" s="25" t="str">
        <x:f>L524&amp;"-"&amp;TEXT(P524,"0000")</x:f>
        <x:v>20061228-0401</x:v>
      </x:c>
      <x:c r="C524" s="13" t="s">
        <x:v>1978</x:v>
      </x:c>
      <x:c r="D524" s="13" t="s">
        <x:v>1533</x:v>
      </x:c>
      <x:c r="E524" s="13" t="s">
        <x:v>1568</x:v>
      </x:c>
      <x:c r="F524" s="13" t="s">
        <x:v>2192</x:v>
      </x:c>
      <x:c r="G524" s="13" t="s">
        <x:v>1289</x:v>
      </x:c>
      <x:c r="H524" s="13" t="str">
        <x:f>IFERROR(VLOOKUP(O524,'정보화기기 명부'!A$2:B$187,2,FALSE),"")</x:f>
        <x:v/>
      </x:c>
      <x:c r="I524" s="13"/>
      <x:c r="J524" s="13" t="s">
        <x:v>1751</x:v>
      </x:c>
      <x:c r="K524" s="13"/>
      <x:c r="L524" s="13">
        <x:v>20061228</x:v>
      </x:c>
      <x:c r="M524" s="13" t="s">
        <x:v>1812</x:v>
      </x:c>
      <x:c r="N524" s="13" t="s">
        <x:v>1965</x:v>
      </x:c>
      <x:c r="O524" s="13" t="s">
        <x:v>1313</x:v>
      </x:c>
      <x:c r="P524" s="202">
        <x:v>401</x:v>
      </x:c>
      <x:c r="Q524" s="13" t="s">
        <x:v>572</x:v>
      </x:c>
      <x:c r="R524" s="13" t="s">
        <x:v>1643</x:v>
      </x:c>
      <x:c r="S524" s="13" t="s">
        <x:v>1780</x:v>
      </x:c>
      <x:c r="T524" s="13" t="s">
        <x:v>1632</x:v>
      </x:c>
      <x:c r="U524" s="13"/>
      <x:c r="V524" s="13" t="s">
        <x:v>797</x:v>
      </x:c>
    </x:row>
    <x:row r="525" spans="1:22" s="14" customFormat="1" ht="13.5" customHeight="1">
      <x:c r="A525" s="13"/>
      <x:c r="B525" s="25" t="str">
        <x:f>L525&amp;"-"&amp;TEXT(P525,"0000")</x:f>
        <x:v>20061228-0400</x:v>
      </x:c>
      <x:c r="C525" s="13" t="s">
        <x:v>1978</x:v>
      </x:c>
      <x:c r="D525" s="13" t="s">
        <x:v>1533</x:v>
      </x:c>
      <x:c r="E525" s="13" t="s">
        <x:v>1568</x:v>
      </x:c>
      <x:c r="F525" s="13" t="s">
        <x:v>2192</x:v>
      </x:c>
      <x:c r="G525" s="13" t="s">
        <x:v>1289</x:v>
      </x:c>
      <x:c r="H525" s="13" t="str">
        <x:f>IFERROR(VLOOKUP(O525,'정보화기기 명부'!A$2:B$187,2,FALSE),"")</x:f>
        <x:v/>
      </x:c>
      <x:c r="I525" s="13"/>
      <x:c r="J525" s="13" t="s">
        <x:v>1751</x:v>
      </x:c>
      <x:c r="K525" s="13"/>
      <x:c r="L525" s="13">
        <x:v>20061228</x:v>
      </x:c>
      <x:c r="M525" s="13" t="s">
        <x:v>1812</x:v>
      </x:c>
      <x:c r="N525" s="13" t="s">
        <x:v>1965</x:v>
      </x:c>
      <x:c r="O525" s="13" t="s">
        <x:v>1313</x:v>
      </x:c>
      <x:c r="P525" s="202">
        <x:v>400</x:v>
      </x:c>
      <x:c r="Q525" s="13" t="s">
        <x:v>572</x:v>
      </x:c>
      <x:c r="R525" s="13" t="s">
        <x:v>1643</x:v>
      </x:c>
      <x:c r="S525" s="13" t="s">
        <x:v>1780</x:v>
      </x:c>
      <x:c r="T525" s="13" t="s">
        <x:v>1632</x:v>
      </x:c>
      <x:c r="U525" s="13"/>
      <x:c r="V525" s="13" t="s">
        <x:v>797</x:v>
      </x:c>
    </x:row>
    <x:row r="526" spans="1:22" s="14" customFormat="1" ht="13.5" customHeight="1">
      <x:c r="A526" s="13"/>
      <x:c r="B526" s="25" t="str">
        <x:f>L526&amp;"-"&amp;TEXT(P526,"0000")</x:f>
        <x:v>20061228-0399</x:v>
      </x:c>
      <x:c r="C526" s="13" t="s">
        <x:v>1978</x:v>
      </x:c>
      <x:c r="D526" s="13" t="s">
        <x:v>1533</x:v>
      </x:c>
      <x:c r="E526" s="13" t="s">
        <x:v>1568</x:v>
      </x:c>
      <x:c r="F526" s="13" t="s">
        <x:v>2192</x:v>
      </x:c>
      <x:c r="G526" s="13" t="s">
        <x:v>1289</x:v>
      </x:c>
      <x:c r="H526" s="13" t="str">
        <x:f>IFERROR(VLOOKUP(O526,'정보화기기 명부'!A$2:B$187,2,FALSE),"")</x:f>
        <x:v/>
      </x:c>
      <x:c r="I526" s="13"/>
      <x:c r="J526" s="13" t="s">
        <x:v>1751</x:v>
      </x:c>
      <x:c r="K526" s="13"/>
      <x:c r="L526" s="13">
        <x:v>20061228</x:v>
      </x:c>
      <x:c r="M526" s="13" t="s">
        <x:v>1812</x:v>
      </x:c>
      <x:c r="N526" s="13" t="s">
        <x:v>1965</x:v>
      </x:c>
      <x:c r="O526" s="13" t="s">
        <x:v>1313</x:v>
      </x:c>
      <x:c r="P526" s="202">
        <x:v>399</x:v>
      </x:c>
      <x:c r="Q526" s="13" t="s">
        <x:v>572</x:v>
      </x:c>
      <x:c r="R526" s="13" t="s">
        <x:v>1643</x:v>
      </x:c>
      <x:c r="S526" s="13" t="s">
        <x:v>1780</x:v>
      </x:c>
      <x:c r="T526" s="13" t="s">
        <x:v>1632</x:v>
      </x:c>
      <x:c r="U526" s="13"/>
      <x:c r="V526" s="13" t="s">
        <x:v>797</x:v>
      </x:c>
    </x:row>
    <x:row r="527" spans="1:22" s="14" customFormat="1" ht="13.5" customHeight="1">
      <x:c r="A527" s="13" t="str">
        <x:f>O527</x:f>
        <x:v>교사(2012.04.16일자)폐기</x:v>
      </x:c>
      <x:c r="B527" s="25" t="str">
        <x:f>L527&amp;"-"&amp;TEXT(P527,"0000")</x:f>
        <x:v>20061118-0385</x:v>
      </x:c>
      <x:c r="C527" s="13" t="s">
        <x:v>1564</x:v>
      </x:c>
      <x:c r="D527" s="13" t="s">
        <x:v>1533</x:v>
      </x:c>
      <x:c r="E527" s="13" t="s">
        <x:v>1251</x:v>
      </x:c>
      <x:c r="F527" s="13" t="s">
        <x:v>586</x:v>
      </x:c>
      <x:c r="G527" s="13" t="s">
        <x:v>1537</x:v>
      </x:c>
      <x:c r="H527" s="13" t="str">
        <x:f>IFERROR(VLOOKUP(O527,'정보화기기 명부'!A$2:B$187,2,FALSE),"")</x:f>
        <x:v/>
      </x:c>
      <x:c r="I527" s="13"/>
      <x:c r="J527" s="13"/>
      <x:c r="K527" s="13"/>
      <x:c r="L527" s="13">
        <x:v>20061118</x:v>
      </x:c>
      <x:c r="M527" s="13" t="s">
        <x:v>589</x:v>
      </x:c>
      <x:c r="N527" s="13" t="s">
        <x:v>1965</x:v>
      </x:c>
      <x:c r="O527" s="13" t="s">
        <x:v>3244</x:v>
      </x:c>
      <x:c r="P527" s="202">
        <x:v>385</x:v>
      </x:c>
      <x:c r="Q527" s="13" t="s">
        <x:v>572</x:v>
      </x:c>
      <x:c r="R527" s="13" t="s">
        <x:v>1774</x:v>
      </x:c>
      <x:c r="S527" s="13" t="s">
        <x:v>1813</x:v>
      </x:c>
      <x:c r="T527" s="13" t="s">
        <x:v>1755</x:v>
      </x:c>
      <x:c r="U527" s="13"/>
      <x:c r="V527" s="13" t="s">
        <x:v>797</x:v>
      </x:c>
    </x:row>
    <x:row r="528" spans="1:22" s="14" customFormat="1" ht="13.5" customHeight="1">
      <x:c r="A528" s="13" t="str">
        <x:f>O528</x:f>
        <x:v>김세미(수학보조강사)</x:v>
      </x:c>
      <x:c r="B528" s="25" t="str">
        <x:f>L528&amp;"-"&amp;TEXT(P528,"0000")</x:f>
        <x:v>20061118-0386</x:v>
      </x:c>
      <x:c r="C528" s="13" t="s">
        <x:v>1564</x:v>
      </x:c>
      <x:c r="D528" s="13" t="s">
        <x:v>1533</x:v>
      </x:c>
      <x:c r="E528" s="13" t="s">
        <x:v>1251</x:v>
      </x:c>
      <x:c r="F528" s="13" t="s">
        <x:v>586</x:v>
      </x:c>
      <x:c r="G528" s="13" t="s">
        <x:v>1537</x:v>
      </x:c>
      <x:c r="H528" s="13" t="str">
        <x:f>IFERROR(VLOOKUP(O528,'정보화기기 명부'!A$2:B$187,2,FALSE),"")</x:f>
        <x:v/>
      </x:c>
      <x:c r="I528" s="13"/>
      <x:c r="J528" s="13"/>
      <x:c r="K528" s="13"/>
      <x:c r="L528" s="13">
        <x:v>20061118</x:v>
      </x:c>
      <x:c r="M528" s="13" t="s">
        <x:v>589</x:v>
      </x:c>
      <x:c r="N528" s="13" t="s">
        <x:v>1965</x:v>
      </x:c>
      <x:c r="O528" s="13" t="s">
        <x:v>600</x:v>
      </x:c>
      <x:c r="P528" s="202">
        <x:v>386</x:v>
      </x:c>
      <x:c r="Q528" s="13" t="s">
        <x:v>572</x:v>
      </x:c>
      <x:c r="R528" s="13" t="s">
        <x:v>1774</x:v>
      </x:c>
      <x:c r="S528" s="13" t="s">
        <x:v>1813</x:v>
      </x:c>
      <x:c r="T528" s="13" t="s">
        <x:v>1755</x:v>
      </x:c>
      <x:c r="U528" s="13"/>
      <x:c r="V528" s="13" t="s">
        <x:v>797</x:v>
      </x:c>
    </x:row>
    <x:row r="529" spans="1:22" s="14" customFormat="1" ht="13.5" customHeight="1">
      <x:c r="A529" s="13" t="str">
        <x:f>O529</x:f>
        <x:v>교육실습생1</x:v>
      </x:c>
      <x:c r="B529" s="25" t="str">
        <x:f>L529&amp;"-"&amp;TEXT(P529,"0000")</x:f>
        <x:v>20061118-0387</x:v>
      </x:c>
      <x:c r="C529" s="13" t="s">
        <x:v>1564</x:v>
      </x:c>
      <x:c r="D529" s="13" t="s">
        <x:v>1533</x:v>
      </x:c>
      <x:c r="E529" s="13" t="s">
        <x:v>1251</x:v>
      </x:c>
      <x:c r="F529" s="13" t="s">
        <x:v>586</x:v>
      </x:c>
      <x:c r="G529" s="13" t="s">
        <x:v>1537</x:v>
      </x:c>
      <x:c r="H529" s="13" t="str">
        <x:f>IFERROR(VLOOKUP(O529,'정보화기기 명부'!A$2:B$187,2,FALSE),"")</x:f>
        <x:v/>
      </x:c>
      <x:c r="I529" s="13"/>
      <x:c r="J529" s="13"/>
      <x:c r="K529" s="13"/>
      <x:c r="L529" s="13">
        <x:v>20061118</x:v>
      </x:c>
      <x:c r="M529" s="13" t="s">
        <x:v>589</x:v>
      </x:c>
      <x:c r="N529" s="13" t="s">
        <x:v>1965</x:v>
      </x:c>
      <x:c r="O529" s="13" t="s">
        <x:v>1712</x:v>
      </x:c>
      <x:c r="P529" s="202">
        <x:v>387</x:v>
      </x:c>
      <x:c r="Q529" s="13" t="s">
        <x:v>572</x:v>
      </x:c>
      <x:c r="R529" s="13" t="s">
        <x:v>1774</x:v>
      </x:c>
      <x:c r="S529" s="13" t="s">
        <x:v>1813</x:v>
      </x:c>
      <x:c r="T529" s="13" t="s">
        <x:v>1755</x:v>
      </x:c>
      <x:c r="U529" s="13"/>
      <x:c r="V529" s="13" t="s">
        <x:v>797</x:v>
      </x:c>
    </x:row>
    <x:row r="530" spans="1:22" s="14" customFormat="1" ht="13.5" customHeight="1">
      <x:c r="A530" s="13" t="str">
        <x:f>O530</x:f>
        <x:v>김민정(특수보조)</x:v>
      </x:c>
      <x:c r="B530" s="25" t="str">
        <x:f>L530&amp;"-"&amp;TEXT(P530,"0000")</x:f>
        <x:v>20061118-0388</x:v>
      </x:c>
      <x:c r="C530" s="13" t="s">
        <x:v>1564</x:v>
      </x:c>
      <x:c r="D530" s="13" t="s">
        <x:v>1533</x:v>
      </x:c>
      <x:c r="E530" s="13" t="s">
        <x:v>1251</x:v>
      </x:c>
      <x:c r="F530" s="13" t="s">
        <x:v>586</x:v>
      </x:c>
      <x:c r="G530" s="13" t="s">
        <x:v>1537</x:v>
      </x:c>
      <x:c r="H530" s="13" t="str">
        <x:f>IFERROR(VLOOKUP(O530,'정보화기기 명부'!A$2:B$187,2,FALSE),"")</x:f>
        <x:v/>
      </x:c>
      <x:c r="I530" s="13"/>
      <x:c r="J530" s="13"/>
      <x:c r="K530" s="13"/>
      <x:c r="L530" s="13">
        <x:v>20061118</x:v>
      </x:c>
      <x:c r="M530" s="13" t="s">
        <x:v>589</x:v>
      </x:c>
      <x:c r="N530" s="13" t="s">
        <x:v>1965</x:v>
      </x:c>
      <x:c r="O530" s="13" t="s">
        <x:v>596</x:v>
      </x:c>
      <x:c r="P530" s="202">
        <x:v>388</x:v>
      </x:c>
      <x:c r="Q530" s="13" t="s">
        <x:v>572</x:v>
      </x:c>
      <x:c r="R530" s="13" t="s">
        <x:v>1774</x:v>
      </x:c>
      <x:c r="S530" s="13" t="s">
        <x:v>1813</x:v>
      </x:c>
      <x:c r="T530" s="13" t="s">
        <x:v>1755</x:v>
      </x:c>
      <x:c r="U530" s="13"/>
      <x:c r="V530" s="13" t="s">
        <x:v>797</x:v>
      </x:c>
    </x:row>
    <x:row r="531" spans="1:22" s="14" customFormat="1" ht="13.5" customHeight="1">
      <x:c r="A531" s="13" t="str">
        <x:f>O531</x:f>
        <x:v>(김나연(수학강사))</x:v>
      </x:c>
      <x:c r="B531" s="25" t="str">
        <x:f>L531&amp;"-"&amp;TEXT(P531,"0000")</x:f>
        <x:v>20061118-0389</x:v>
      </x:c>
      <x:c r="C531" s="13" t="s">
        <x:v>1564</x:v>
      </x:c>
      <x:c r="D531" s="13" t="s">
        <x:v>1533</x:v>
      </x:c>
      <x:c r="E531" s="13" t="s">
        <x:v>1251</x:v>
      </x:c>
      <x:c r="F531" s="13" t="s">
        <x:v>586</x:v>
      </x:c>
      <x:c r="G531" s="13" t="s">
        <x:v>1537</x:v>
      </x:c>
      <x:c r="H531" s="13" t="str">
        <x:f>IFERROR(VLOOKUP(O531,'정보화기기 명부'!A$2:B$187,2,FALSE),"")</x:f>
        <x:v/>
      </x:c>
      <x:c r="I531" s="13"/>
      <x:c r="J531" s="13"/>
      <x:c r="K531" s="13"/>
      <x:c r="L531" s="13">
        <x:v>20061118</x:v>
      </x:c>
      <x:c r="M531" s="13" t="s">
        <x:v>589</x:v>
      </x:c>
      <x:c r="N531" s="13" t="s">
        <x:v>1965</x:v>
      </x:c>
      <x:c r="O531" s="13" t="s">
        <x:v>577</x:v>
      </x:c>
      <x:c r="P531" s="202">
        <x:v>389</x:v>
      </x:c>
      <x:c r="Q531" s="13" t="s">
        <x:v>572</x:v>
      </x:c>
      <x:c r="R531" s="13" t="s">
        <x:v>1774</x:v>
      </x:c>
      <x:c r="S531" s="13" t="s">
        <x:v>1813</x:v>
      </x:c>
      <x:c r="T531" s="13" t="s">
        <x:v>1755</x:v>
      </x:c>
      <x:c r="U531" s="13"/>
      <x:c r="V531" s="13" t="s">
        <x:v>797</x:v>
      </x:c>
    </x:row>
    <x:row r="532" spans="1:22" s="14" customFormat="1" ht="13.5" customHeight="1">
      <x:c r="A532" s="13" t="str">
        <x:f>O532</x:f>
        <x:v>박현아</x:v>
      </x:c>
      <x:c r="B532" s="25" t="str">
        <x:f>L532&amp;"-"&amp;TEXT(P532,"0000")</x:f>
        <x:v>20061118-0390</x:v>
      </x:c>
      <x:c r="C532" s="13" t="s">
        <x:v>1564</x:v>
      </x:c>
      <x:c r="D532" s="13" t="s">
        <x:v>1533</x:v>
      </x:c>
      <x:c r="E532" s="13" t="s">
        <x:v>1251</x:v>
      </x:c>
      <x:c r="F532" s="13" t="s">
        <x:v>586</x:v>
      </x:c>
      <x:c r="G532" s="13" t="s">
        <x:v>1537</x:v>
      </x:c>
      <x:c r="H532" s="13" t="str">
        <x:f>IFERROR(VLOOKUP(O532,'정보화기기 명부'!A$2:B$187,2,FALSE),"")</x:f>
        <x:v/>
      </x:c>
      <x:c r="I532" s="13"/>
      <x:c r="J532" s="13"/>
      <x:c r="K532" s="13"/>
      <x:c r="L532" s="13">
        <x:v>20061118</x:v>
      </x:c>
      <x:c r="M532" s="13" t="s">
        <x:v>589</x:v>
      </x:c>
      <x:c r="N532" s="13" t="s">
        <x:v>1965</x:v>
      </x:c>
      <x:c r="O532" s="13" t="s">
        <x:v>1285</x:v>
      </x:c>
      <x:c r="P532" s="202">
        <x:v>390</x:v>
      </x:c>
      <x:c r="Q532" s="13" t="s">
        <x:v>572</x:v>
      </x:c>
      <x:c r="R532" s="13" t="s">
        <x:v>1774</x:v>
      </x:c>
      <x:c r="S532" s="13" t="s">
        <x:v>1813</x:v>
      </x:c>
      <x:c r="T532" s="13" t="s">
        <x:v>1755</x:v>
      </x:c>
      <x:c r="U532" s="13"/>
      <x:c r="V532" s="13" t="s">
        <x:v>797</x:v>
      </x:c>
    </x:row>
    <x:row r="533" spans="1:22" s="14" customFormat="1" ht="13.5" customHeight="1">
      <x:c r="A533" s="13" t="str">
        <x:f>O533</x:f>
        <x:v>(유희영(역사강사))</x:v>
      </x:c>
      <x:c r="B533" s="25" t="str">
        <x:f>L533&amp;"-"&amp;TEXT(P533,"0000")</x:f>
        <x:v>20061118-0391</x:v>
      </x:c>
      <x:c r="C533" s="13" t="s">
        <x:v>1564</x:v>
      </x:c>
      <x:c r="D533" s="13" t="s">
        <x:v>1533</x:v>
      </x:c>
      <x:c r="E533" s="13" t="s">
        <x:v>1251</x:v>
      </x:c>
      <x:c r="F533" s="13" t="s">
        <x:v>586</x:v>
      </x:c>
      <x:c r="G533" s="13" t="s">
        <x:v>1537</x:v>
      </x:c>
      <x:c r="H533" s="13" t="str">
        <x:f>IFERROR(VLOOKUP(O533,'정보화기기 명부'!A$2:B$187,2,FALSE),"")</x:f>
        <x:v/>
      </x:c>
      <x:c r="I533" s="13"/>
      <x:c r="J533" s="13"/>
      <x:c r="K533" s="13"/>
      <x:c r="L533" s="13">
        <x:v>20061118</x:v>
      </x:c>
      <x:c r="M533" s="13" t="s">
        <x:v>589</x:v>
      </x:c>
      <x:c r="N533" s="13" t="s">
        <x:v>1965</x:v>
      </x:c>
      <x:c r="O533" s="13" t="s">
        <x:v>597</x:v>
      </x:c>
      <x:c r="P533" s="202">
        <x:v>391</x:v>
      </x:c>
      <x:c r="Q533" s="13" t="s">
        <x:v>572</x:v>
      </x:c>
      <x:c r="R533" s="13" t="s">
        <x:v>1774</x:v>
      </x:c>
      <x:c r="S533" s="13" t="s">
        <x:v>1813</x:v>
      </x:c>
      <x:c r="T533" s="13" t="s">
        <x:v>1755</x:v>
      </x:c>
      <x:c r="U533" s="13"/>
      <x:c r="V533" s="13" t="s">
        <x:v>797</x:v>
      </x:c>
    </x:row>
    <x:row r="534" spans="1:22" s="14" customFormat="1" ht="13.5" customHeight="1">
      <x:c r="A534" s="13" t="str">
        <x:f>O534</x:f>
        <x:v>(원어민(Hadley))</x:v>
      </x:c>
      <x:c r="B534" s="25" t="str">
        <x:f>L534&amp;"-"&amp;TEXT(P534,"0000")</x:f>
        <x:v>20061118-0392</x:v>
      </x:c>
      <x:c r="C534" s="13" t="s">
        <x:v>1564</x:v>
      </x:c>
      <x:c r="D534" s="13" t="s">
        <x:v>1533</x:v>
      </x:c>
      <x:c r="E534" s="13" t="s">
        <x:v>1251</x:v>
      </x:c>
      <x:c r="F534" s="13" t="s">
        <x:v>586</x:v>
      </x:c>
      <x:c r="G534" s="13" t="s">
        <x:v>1537</x:v>
      </x:c>
      <x:c r="H534" s="13" t="str">
        <x:f>IFERROR(VLOOKUP(O534,'정보화기기 명부'!A$2:B$187,2,FALSE),"")</x:f>
        <x:v/>
      </x:c>
      <x:c r="I534" s="13"/>
      <x:c r="J534" s="13"/>
      <x:c r="K534" s="13"/>
      <x:c r="L534" s="13">
        <x:v>20061118</x:v>
      </x:c>
      <x:c r="M534" s="13" t="s">
        <x:v>589</x:v>
      </x:c>
      <x:c r="N534" s="13" t="s">
        <x:v>1965</x:v>
      </x:c>
      <x:c r="O534" s="13" t="s">
        <x:v>2180</x:v>
      </x:c>
      <x:c r="P534" s="202">
        <x:v>392</x:v>
      </x:c>
      <x:c r="Q534" s="13" t="s">
        <x:v>572</x:v>
      </x:c>
      <x:c r="R534" s="13" t="s">
        <x:v>1774</x:v>
      </x:c>
      <x:c r="S534" s="13" t="s">
        <x:v>1813</x:v>
      </x:c>
      <x:c r="T534" s="13" t="s">
        <x:v>1755</x:v>
      </x:c>
      <x:c r="U534" s="13"/>
      <x:c r="V534" s="13" t="s">
        <x:v>797</x:v>
      </x:c>
    </x:row>
    <x:row r="535" spans="1:22" s="14" customFormat="1" ht="13.5" customHeight="1">
      <x:c r="A535" s="13" t="str">
        <x:f>O535</x:f>
        <x:v>이길수</x:v>
      </x:c>
      <x:c r="B535" s="25" t="str">
        <x:f>L535&amp;"-"&amp;TEXT(P535,"0000")</x:f>
        <x:v>20060520-0376</x:v>
      </x:c>
      <x:c r="C535" s="13" t="s">
        <x:v>1564</x:v>
      </x:c>
      <x:c r="D535" s="13" t="s">
        <x:v>1533</x:v>
      </x:c>
      <x:c r="E535" s="13" t="s">
        <x:v>1543</x:v>
      </x:c>
      <x:c r="F535" s="13" t="s">
        <x:v>595</x:v>
      </x:c>
      <x:c r="G535" s="13" t="s">
        <x:v>1289</x:v>
      </x:c>
      <x:c r="H535" s="13" t="str">
        <x:f>IFERROR(VLOOKUP(O535,'정보화기기 명부'!A$2:B$187,2,FALSE),"")</x:f>
        <x:v/>
      </x:c>
      <x:c r="I535" s="13"/>
      <x:c r="J535" s="13"/>
      <x:c r="K535" s="13"/>
      <x:c r="L535" s="13">
        <x:v>20060520</x:v>
      </x:c>
      <x:c r="M535" s="13" t="s">
        <x:v>599</x:v>
      </x:c>
      <x:c r="N535" s="13" t="s">
        <x:v>1965</x:v>
      </x:c>
      <x:c r="O535" s="13" t="s">
        <x:v>1335</x:v>
      </x:c>
      <x:c r="P535" s="202">
        <x:v>376</x:v>
      </x:c>
      <x:c r="Q535" s="13" t="s">
        <x:v>572</x:v>
      </x:c>
      <x:c r="R535" s="13" t="s">
        <x:v>1744</x:v>
      </x:c>
      <x:c r="S535" s="13" t="s">
        <x:v>1813</x:v>
      </x:c>
      <x:c r="T535" s="13" t="s">
        <x:v>1786</x:v>
      </x:c>
      <x:c r="U535" s="13"/>
      <x:c r="V535" s="13" t="s">
        <x:v>1688</x:v>
      </x:c>
    </x:row>
    <x:row r="536" spans="1:22" s="14" customFormat="1" ht="13.5" customHeight="1">
      <x:c r="A536" s="13" t="str">
        <x:f>O536</x:f>
        <x:v>백승숙(교원내신)</x:v>
      </x:c>
      <x:c r="B536" s="25" t="str">
        <x:f>L536&amp;"-"&amp;TEXT(P536,"0000")</x:f>
        <x:v>20060520-0381</x:v>
      </x:c>
      <x:c r="C536" s="13" t="s">
        <x:v>1564</x:v>
      </x:c>
      <x:c r="D536" s="13" t="s">
        <x:v>1533</x:v>
      </x:c>
      <x:c r="E536" s="13" t="s">
        <x:v>1543</x:v>
      </x:c>
      <x:c r="F536" s="13" t="s">
        <x:v>628</x:v>
      </x:c>
      <x:c r="G536" s="13" t="s">
        <x:v>1537</x:v>
      </x:c>
      <x:c r="H536" s="13" t="str">
        <x:f>IFERROR(VLOOKUP(O536,'정보화기기 명부'!A$2:B$187,2,FALSE),"")</x:f>
        <x:v/>
      </x:c>
      <x:c r="I536" s="13"/>
      <x:c r="J536" s="13"/>
      <x:c r="K536" s="13"/>
      <x:c r="L536" s="13">
        <x:v>20060520</x:v>
      </x:c>
      <x:c r="M536" s="13" t="s">
        <x:v>592</x:v>
      </x:c>
      <x:c r="N536" s="13" t="s">
        <x:v>2034</x:v>
      </x:c>
      <x:c r="O536" s="13" t="s">
        <x:v>611</x:v>
      </x:c>
      <x:c r="P536" s="202">
        <x:v>381</x:v>
      </x:c>
      <x:c r="Q536" s="13" t="s">
        <x:v>572</x:v>
      </x:c>
      <x:c r="R536" s="13" t="s">
        <x:v>2008</x:v>
      </x:c>
      <x:c r="S536" s="13" t="s">
        <x:v>1810</x:v>
      </x:c>
      <x:c r="T536" s="13" t="s">
        <x:v>1298</x:v>
      </x:c>
      <x:c r="U536" s="13"/>
      <x:c r="V536" s="13" t="s">
        <x:v>1688</x:v>
      </x:c>
    </x:row>
    <x:row r="537" spans="1:22" s="14" customFormat="1" ht="13.5" customHeight="1">
      <x:c r="A537" s="13" t="str">
        <x:f>O537</x:f>
        <x:v>김희란</x:v>
      </x:c>
      <x:c r="B537" s="25" t="str">
        <x:f>L537&amp;"-"&amp;TEXT(P537,"0000")</x:f>
        <x:v>20060520-0382</x:v>
      </x:c>
      <x:c r="C537" s="13" t="s">
        <x:v>1564</x:v>
      </x:c>
      <x:c r="D537" s="13" t="s">
        <x:v>1533</x:v>
      </x:c>
      <x:c r="E537" s="13" t="s">
        <x:v>1543</x:v>
      </x:c>
      <x:c r="F537" s="13" t="s">
        <x:v>628</x:v>
      </x:c>
      <x:c r="G537" s="13" t="s">
        <x:v>1537</x:v>
      </x:c>
      <x:c r="H537" s="13" t="str">
        <x:f>IFERROR(VLOOKUP(O537,'정보화기기 명부'!A$2:B$187,2,FALSE),"")</x:f>
        <x:v/>
      </x:c>
      <x:c r="I537" s="13"/>
      <x:c r="J537" s="13"/>
      <x:c r="K537" s="13"/>
      <x:c r="L537" s="13">
        <x:v>20060520</x:v>
      </x:c>
      <x:c r="M537" s="13" t="s">
        <x:v>592</x:v>
      </x:c>
      <x:c r="N537" s="13" t="s">
        <x:v>2034</x:v>
      </x:c>
      <x:c r="O537" s="13" t="s">
        <x:v>1304</x:v>
      </x:c>
      <x:c r="P537" s="202">
        <x:v>382</x:v>
      </x:c>
      <x:c r="Q537" s="13" t="s">
        <x:v>572</x:v>
      </x:c>
      <x:c r="R537" s="13" t="s">
        <x:v>2008</x:v>
      </x:c>
      <x:c r="S537" s="13" t="s">
        <x:v>1810</x:v>
      </x:c>
      <x:c r="T537" s="13" t="s">
        <x:v>1298</x:v>
      </x:c>
      <x:c r="U537" s="13"/>
      <x:c r="V537" s="13" t="s">
        <x:v>1688</x:v>
      </x:c>
    </x:row>
    <x:row r="538" spans="1:22" s="14" customFormat="1" ht="13.5" customHeight="1">
      <x:c r="A538" s="13" t="str">
        <x:f>O538</x:f>
        <x:v>문경희(과학행정)</x:v>
      </x:c>
      <x:c r="B538" s="25" t="str">
        <x:f>L538&amp;"-"&amp;TEXT(P538,"0000")</x:f>
        <x:v>20060520-0383</x:v>
      </x:c>
      <x:c r="C538" s="13" t="s">
        <x:v>1564</x:v>
      </x:c>
      <x:c r="D538" s="13" t="s">
        <x:v>1533</x:v>
      </x:c>
      <x:c r="E538" s="13" t="s">
        <x:v>1543</x:v>
      </x:c>
      <x:c r="F538" s="13" t="s">
        <x:v>628</x:v>
      </x:c>
      <x:c r="G538" s="13" t="s">
        <x:v>1537</x:v>
      </x:c>
      <x:c r="H538" s="13" t="str">
        <x:f>IFERROR(VLOOKUP(O538,'정보화기기 명부'!A$2:B$187,2,FALSE),"")</x:f>
        <x:v/>
      </x:c>
      <x:c r="I538" s="13"/>
      <x:c r="J538" s="13"/>
      <x:c r="K538" s="13"/>
      <x:c r="L538" s="13">
        <x:v>20060520</x:v>
      </x:c>
      <x:c r="M538" s="13" t="s">
        <x:v>592</x:v>
      </x:c>
      <x:c r="N538" s="13" t="s">
        <x:v>2034</x:v>
      </x:c>
      <x:c r="O538" s="13" t="s">
        <x:v>593</x:v>
      </x:c>
      <x:c r="P538" s="202">
        <x:v>383</x:v>
      </x:c>
      <x:c r="Q538" s="13" t="s">
        <x:v>572</x:v>
      </x:c>
      <x:c r="R538" s="13" t="s">
        <x:v>2008</x:v>
      </x:c>
      <x:c r="S538" s="13" t="s">
        <x:v>1810</x:v>
      </x:c>
      <x:c r="T538" s="13" t="s">
        <x:v>1298</x:v>
      </x:c>
      <x:c r="U538" s="13"/>
      <x:c r="V538" s="13" t="s">
        <x:v>1688</x:v>
      </x:c>
    </x:row>
    <x:row r="539" spans="1:22" s="14" customFormat="1" ht="13.5" customHeight="1">
      <x:c r="A539" s="13" t="str">
        <x:f>O539</x:f>
        <x:v>수강신청서버(이선민)</x:v>
      </x:c>
      <x:c r="B539" s="25" t="str">
        <x:f>L539&amp;"-"&amp;TEXT(P539,"0000")</x:f>
        <x:v>20060520-0384</x:v>
      </x:c>
      <x:c r="C539" s="13" t="s">
        <x:v>1564</x:v>
      </x:c>
      <x:c r="D539" s="13" t="s">
        <x:v>1533</x:v>
      </x:c>
      <x:c r="E539" s="13" t="s">
        <x:v>1543</x:v>
      </x:c>
      <x:c r="F539" s="13" t="s">
        <x:v>628</x:v>
      </x:c>
      <x:c r="G539" s="13" t="s">
        <x:v>1537</x:v>
      </x:c>
      <x:c r="H539" s="13" t="str">
        <x:f>IFERROR(VLOOKUP(O539,'정보화기기 명부'!A$2:B$187,2,FALSE),"")</x:f>
        <x:v/>
      </x:c>
      <x:c r="I539" s="13"/>
      <x:c r="J539" s="13"/>
      <x:c r="K539" s="13"/>
      <x:c r="L539" s="13">
        <x:v>20060520</x:v>
      </x:c>
      <x:c r="M539" s="13" t="s">
        <x:v>592</x:v>
      </x:c>
      <x:c r="N539" s="13" t="s">
        <x:v>2034</x:v>
      </x:c>
      <x:c r="O539" s="13" t="s">
        <x:v>606</x:v>
      </x:c>
      <x:c r="P539" s="202">
        <x:v>384</x:v>
      </x:c>
      <x:c r="Q539" s="13" t="s">
        <x:v>572</x:v>
      </x:c>
      <x:c r="R539" s="13" t="s">
        <x:v>2008</x:v>
      </x:c>
      <x:c r="S539" s="13" t="s">
        <x:v>1810</x:v>
      </x:c>
      <x:c r="T539" s="13" t="s">
        <x:v>1298</x:v>
      </x:c>
      <x:c r="U539" s="13"/>
      <x:c r="V539" s="13" t="s">
        <x:v>1688</x:v>
      </x:c>
    </x:row>
    <x:row r="540" spans="1:22" s="14" customFormat="1" ht="13.5" customHeight="1">
      <x:c r="A540" s="13" t="str">
        <x:f>O540</x:f>
        <x:v>전용범</x:v>
      </x:c>
      <x:c r="B540" s="25" t="str">
        <x:f>L540&amp;"-"&amp;TEXT(P540,"0000")</x:f>
        <x:v>20060508-0379</x:v>
      </x:c>
      <x:c r="C540" s="13" t="s">
        <x:v>1978</x:v>
      </x:c>
      <x:c r="D540" s="13" t="s">
        <x:v>1533</x:v>
      </x:c>
      <x:c r="E540" s="13" t="s">
        <x:v>1543</x:v>
      </x:c>
      <x:c r="F540" s="13" t="s">
        <x:v>2171</x:v>
      </x:c>
      <x:c r="G540" s="13" t="s">
        <x:v>1289</x:v>
      </x:c>
      <x:c r="H540" s="13" t="str">
        <x:f>IFERROR(VLOOKUP(O540,'정보화기기 명부'!A$2:B$187,2,FALSE),"")</x:f>
        <x:v/>
      </x:c>
      <x:c r="I540" s="13"/>
      <x:c r="J540" s="13"/>
      <x:c r="K540" s="13"/>
      <x:c r="L540" s="13">
        <x:v>20060508</x:v>
      </x:c>
      <x:c r="M540" s="13" t="s">
        <x:v>1807</x:v>
      </x:c>
      <x:c r="N540" s="13" t="s">
        <x:v>1965</x:v>
      </x:c>
      <x:c r="O540" s="13" t="s">
        <x:v>1313</x:v>
      </x:c>
      <x:c r="P540" s="202">
        <x:v>379</x:v>
      </x:c>
      <x:c r="Q540" s="13" t="s">
        <x:v>572</x:v>
      </x:c>
      <x:c r="R540" s="13" t="s">
        <x:v>1769</x:v>
      </x:c>
      <x:c r="S540" s="13" t="s">
        <x:v>1780</x:v>
      </x:c>
      <x:c r="T540" s="13" t="s">
        <x:v>1766</x:v>
      </x:c>
      <x:c r="U540" s="13"/>
      <x:c r="V540" s="13" t="s">
        <x:v>1746</x:v>
      </x:c>
    </x:row>
    <x:row r="541" spans="1:22" s="14" customFormat="1" ht="13.5" customHeight="1">
      <x:c r="A541" s="13" t="str">
        <x:f>O541</x:f>
        <x:v>김경란</x:v>
      </x:c>
      <x:c r="B541" s="25" t="str">
        <x:f>L541&amp;"-"&amp;TEXT(P541,"0000")</x:f>
        <x:v>20060508-0378</x:v>
      </x:c>
      <x:c r="C541" s="13" t="s">
        <x:v>1978</x:v>
      </x:c>
      <x:c r="D541" s="13" t="s">
        <x:v>1533</x:v>
      </x:c>
      <x:c r="E541" s="13" t="s">
        <x:v>1543</x:v>
      </x:c>
      <x:c r="F541" s="13" t="s">
        <x:v>2171</x:v>
      </x:c>
      <x:c r="G541" s="13" t="s">
        <x:v>1289</x:v>
      </x:c>
      <x:c r="H541" s="13" t="str">
        <x:f>IFERROR(VLOOKUP(O541,'정보화기기 명부'!A$2:B$187,2,FALSE),"")</x:f>
        <x:v/>
      </x:c>
      <x:c r="I541" s="13"/>
      <x:c r="J541" s="13"/>
      <x:c r="K541" s="13"/>
      <x:c r="L541" s="13">
        <x:v>20060508</x:v>
      </x:c>
      <x:c r="M541" s="13" t="s">
        <x:v>1807</x:v>
      </x:c>
      <x:c r="N541" s="13" t="s">
        <x:v>1965</x:v>
      </x:c>
      <x:c r="O541" s="13" t="s">
        <x:v>1330</x:v>
      </x:c>
      <x:c r="P541" s="202">
        <x:v>378</x:v>
      </x:c>
      <x:c r="Q541" s="13" t="s">
        <x:v>572</x:v>
      </x:c>
      <x:c r="R541" s="13" t="s">
        <x:v>1769</x:v>
      </x:c>
      <x:c r="S541" s="13" t="s">
        <x:v>1780</x:v>
      </x:c>
      <x:c r="T541" s="13" t="s">
        <x:v>1766</x:v>
      </x:c>
      <x:c r="U541" s="13"/>
      <x:c r="V541" s="13" t="s">
        <x:v>1746</x:v>
      </x:c>
    </x:row>
    <x:row r="542" spans="1:22" s="14" customFormat="1" ht="13.5" customHeight="1">
      <x:c r="A542" s="13"/>
      <x:c r="B542" s="25" t="str">
        <x:f>L542&amp;"-"&amp;TEXT(P542,"0000")</x:f>
        <x:v>20060502-0375</x:v>
      </x:c>
      <x:c r="C542" s="13" t="s">
        <x:v>1978</x:v>
      </x:c>
      <x:c r="D542" s="13" t="s">
        <x:v>1533</x:v>
      </x:c>
      <x:c r="E542" s="13" t="s">
        <x:v>1543</x:v>
      </x:c>
      <x:c r="F542" s="13" t="s">
        <x:v>2171</x:v>
      </x:c>
      <x:c r="G542" s="13" t="s">
        <x:v>1289</x:v>
      </x:c>
      <x:c r="H542" s="13" t="str">
        <x:f>IFERROR(VLOOKUP(O542,'정보화기기 명부'!A$2:B$187,2,FALSE),"")</x:f>
        <x:v/>
      </x:c>
      <x:c r="I542" s="13"/>
      <x:c r="J542" s="13"/>
      <x:c r="K542" s="13"/>
      <x:c r="L542" s="13">
        <x:v>20060502</x:v>
      </x:c>
      <x:c r="M542" s="13" t="s">
        <x:v>1807</x:v>
      </x:c>
      <x:c r="N542" s="13" t="s">
        <x:v>1965</x:v>
      </x:c>
      <x:c r="O542" s="13" t="s">
        <x:v>3147</x:v>
      </x:c>
      <x:c r="P542" s="202">
        <x:v>375</x:v>
      </x:c>
      <x:c r="Q542" s="13" t="s">
        <x:v>572</x:v>
      </x:c>
      <x:c r="R542" s="13" t="s">
        <x:v>1769</x:v>
      </x:c>
      <x:c r="S542" s="13" t="s">
        <x:v>1780</x:v>
      </x:c>
      <x:c r="T542" s="13" t="s">
        <x:v>1766</x:v>
      </x:c>
      <x:c r="U542" s="13"/>
      <x:c r="V542" s="13" t="s">
        <x:v>1746</x:v>
      </x:c>
    </x:row>
    <x:row r="543" spans="1:22" s="14" customFormat="1" ht="13.5" customHeight="1">
      <x:c r="A543" s="13"/>
      <x:c r="B543" s="25" t="str">
        <x:f>L543&amp;"-"&amp;TEXT(P543,"0000")</x:f>
        <x:v>20060502-0374</x:v>
      </x:c>
      <x:c r="C543" s="13" t="s">
        <x:v>1978</x:v>
      </x:c>
      <x:c r="D543" s="13" t="s">
        <x:v>1533</x:v>
      </x:c>
      <x:c r="E543" s="13" t="s">
        <x:v>1543</x:v>
      </x:c>
      <x:c r="F543" s="13" t="s">
        <x:v>2171</x:v>
      </x:c>
      <x:c r="G543" s="13" t="s">
        <x:v>1289</x:v>
      </x:c>
      <x:c r="H543" s="13" t="str">
        <x:f>IFERROR(VLOOKUP(O543,'정보화기기 명부'!A$2:B$187,2,FALSE),"")</x:f>
        <x:v/>
      </x:c>
      <x:c r="I543" s="13"/>
      <x:c r="J543" s="13"/>
      <x:c r="K543" s="13"/>
      <x:c r="L543" s="13">
        <x:v>20060502</x:v>
      </x:c>
      <x:c r="M543" s="13" t="s">
        <x:v>1807</x:v>
      </x:c>
      <x:c r="N543" s="13" t="s">
        <x:v>1965</x:v>
      </x:c>
      <x:c r="O543" s="13" t="s">
        <x:v>3147</x:v>
      </x:c>
      <x:c r="P543" s="202">
        <x:v>374</x:v>
      </x:c>
      <x:c r="Q543" s="13" t="s">
        <x:v>572</x:v>
      </x:c>
      <x:c r="R543" s="13" t="s">
        <x:v>1769</x:v>
      </x:c>
      <x:c r="S543" s="13" t="s">
        <x:v>1780</x:v>
      </x:c>
      <x:c r="T543" s="13" t="s">
        <x:v>1766</x:v>
      </x:c>
      <x:c r="U543" s="13"/>
      <x:c r="V543" s="13" t="s">
        <x:v>1746</x:v>
      </x:c>
    </x:row>
    <x:row r="544" spans="1:22" s="14" customFormat="1" ht="13.5" customHeight="1">
      <x:c r="A544" s="13"/>
      <x:c r="B544" s="25" t="str">
        <x:f>L544&amp;"-"&amp;TEXT(P544,"0000")</x:f>
        <x:v>20060502-0373</x:v>
      </x:c>
      <x:c r="C544" s="13" t="s">
        <x:v>1978</x:v>
      </x:c>
      <x:c r="D544" s="13" t="s">
        <x:v>1533</x:v>
      </x:c>
      <x:c r="E544" s="13" t="s">
        <x:v>1568</x:v>
      </x:c>
      <x:c r="F544" s="13" t="s">
        <x:v>2171</x:v>
      </x:c>
      <x:c r="G544" s="13" t="s">
        <x:v>1289</x:v>
      </x:c>
      <x:c r="H544" s="13" t="str">
        <x:f>IFERROR(VLOOKUP(O544,'정보화기기 명부'!A$2:B$187,2,FALSE),"")</x:f>
        <x:v/>
      </x:c>
      <x:c r="I544" s="13"/>
      <x:c r="J544" s="13" t="s">
        <x:v>1751</x:v>
      </x:c>
      <x:c r="K544" s="13"/>
      <x:c r="L544" s="13">
        <x:v>20060502</x:v>
      </x:c>
      <x:c r="M544" s="13" t="s">
        <x:v>1807</x:v>
      </x:c>
      <x:c r="N544" s="13" t="s">
        <x:v>1965</x:v>
      </x:c>
      <x:c r="O544" s="13" t="s">
        <x:v>3147</x:v>
      </x:c>
      <x:c r="P544" s="202">
        <x:v>373</x:v>
      </x:c>
      <x:c r="Q544" s="13" t="s">
        <x:v>572</x:v>
      </x:c>
      <x:c r="R544" s="13" t="s">
        <x:v>1769</x:v>
      </x:c>
      <x:c r="S544" s="13" t="s">
        <x:v>1780</x:v>
      </x:c>
      <x:c r="T544" s="13" t="s">
        <x:v>1766</x:v>
      </x:c>
      <x:c r="U544" s="13"/>
      <x:c r="V544" s="13" t="s">
        <x:v>1746</x:v>
      </x:c>
    </x:row>
    <x:row r="545" spans="1:22" s="14" customFormat="1" ht="13.5" customHeight="1">
      <x:c r="A545" s="13"/>
      <x:c r="B545" s="25" t="str">
        <x:f>L545&amp;"-"&amp;TEXT(P545,"0000")</x:f>
        <x:v>20060502-0372</x:v>
      </x:c>
      <x:c r="C545" s="13" t="s">
        <x:v>1978</x:v>
      </x:c>
      <x:c r="D545" s="13" t="s">
        <x:v>1533</x:v>
      </x:c>
      <x:c r="E545" s="13" t="s">
        <x:v>1568</x:v>
      </x:c>
      <x:c r="F545" s="13" t="s">
        <x:v>2171</x:v>
      </x:c>
      <x:c r="G545" s="13" t="s">
        <x:v>1289</x:v>
      </x:c>
      <x:c r="H545" s="13" t="str">
        <x:f>IFERROR(VLOOKUP(O545,'정보화기기 명부'!A$2:B$187,2,FALSE),"")</x:f>
        <x:v/>
      </x:c>
      <x:c r="I545" s="13"/>
      <x:c r="J545" s="13" t="s">
        <x:v>1751</x:v>
      </x:c>
      <x:c r="K545" s="13"/>
      <x:c r="L545" s="13">
        <x:v>20060502</x:v>
      </x:c>
      <x:c r="M545" s="13" t="s">
        <x:v>1807</x:v>
      </x:c>
      <x:c r="N545" s="13" t="s">
        <x:v>1965</x:v>
      </x:c>
      <x:c r="O545" s="13" t="s">
        <x:v>1313</x:v>
      </x:c>
      <x:c r="P545" s="202">
        <x:v>372</x:v>
      </x:c>
      <x:c r="Q545" s="13" t="s">
        <x:v>572</x:v>
      </x:c>
      <x:c r="R545" s="13" t="s">
        <x:v>1769</x:v>
      </x:c>
      <x:c r="S545" s="13" t="s">
        <x:v>1780</x:v>
      </x:c>
      <x:c r="T545" s="13" t="s">
        <x:v>1766</x:v>
      </x:c>
      <x:c r="U545" s="13"/>
      <x:c r="V545" s="13" t="s">
        <x:v>1746</x:v>
      </x:c>
    </x:row>
    <x:row r="546" spans="1:22" s="14" customFormat="1" ht="13.5" customHeight="1">
      <x:c r="A546" s="13"/>
      <x:c r="B546" s="25" t="str">
        <x:f>L546&amp;"-"&amp;TEXT(P546,"0000")</x:f>
        <x:v>20060502-0371</x:v>
      </x:c>
      <x:c r="C546" s="13" t="s">
        <x:v>1978</x:v>
      </x:c>
      <x:c r="D546" s="13" t="s">
        <x:v>1533</x:v>
      </x:c>
      <x:c r="E546" s="13" t="s">
        <x:v>1568</x:v>
      </x:c>
      <x:c r="F546" s="13" t="s">
        <x:v>2171</x:v>
      </x:c>
      <x:c r="G546" s="13" t="s">
        <x:v>1289</x:v>
      </x:c>
      <x:c r="H546" s="13" t="str">
        <x:f>IFERROR(VLOOKUP(O546,'정보화기기 명부'!A$2:B$187,2,FALSE),"")</x:f>
        <x:v/>
      </x:c>
      <x:c r="I546" s="13"/>
      <x:c r="J546" s="13" t="s">
        <x:v>1751</x:v>
      </x:c>
      <x:c r="K546" s="13"/>
      <x:c r="L546" s="13">
        <x:v>20060502</x:v>
      </x:c>
      <x:c r="M546" s="13" t="s">
        <x:v>1807</x:v>
      </x:c>
      <x:c r="N546" s="13" t="s">
        <x:v>1965</x:v>
      </x:c>
      <x:c r="O546" s="13" t="s">
        <x:v>1313</x:v>
      </x:c>
      <x:c r="P546" s="202">
        <x:v>371</x:v>
      </x:c>
      <x:c r="Q546" s="13" t="s">
        <x:v>572</x:v>
      </x:c>
      <x:c r="R546" s="13" t="s">
        <x:v>1769</x:v>
      </x:c>
      <x:c r="S546" s="13" t="s">
        <x:v>1780</x:v>
      </x:c>
      <x:c r="T546" s="13" t="s">
        <x:v>1766</x:v>
      </x:c>
      <x:c r="U546" s="13"/>
      <x:c r="V546" s="13" t="s">
        <x:v>1746</x:v>
      </x:c>
    </x:row>
    <x:row r="547" spans="1:22" s="14" customFormat="1" ht="13.5" customHeight="1">
      <x:c r="A547" s="13"/>
      <x:c r="B547" s="25" t="str">
        <x:f>L547&amp;"-"&amp;TEXT(P547,"0000")</x:f>
        <x:v>20060502-0370</x:v>
      </x:c>
      <x:c r="C547" s="13" t="s">
        <x:v>1978</x:v>
      </x:c>
      <x:c r="D547" s="13" t="s">
        <x:v>1533</x:v>
      </x:c>
      <x:c r="E547" s="13" t="s">
        <x:v>1568</x:v>
      </x:c>
      <x:c r="F547" s="13" t="s">
        <x:v>2171</x:v>
      </x:c>
      <x:c r="G547" s="13" t="s">
        <x:v>1289</x:v>
      </x:c>
      <x:c r="H547" s="13" t="str">
        <x:f>IFERROR(VLOOKUP(O547,'정보화기기 명부'!A$2:B$187,2,FALSE),"")</x:f>
        <x:v/>
      </x:c>
      <x:c r="I547" s="13"/>
      <x:c r="J547" s="13" t="s">
        <x:v>1751</x:v>
      </x:c>
      <x:c r="K547" s="13"/>
      <x:c r="L547" s="13">
        <x:v>20060502</x:v>
      </x:c>
      <x:c r="M547" s="13" t="s">
        <x:v>1807</x:v>
      </x:c>
      <x:c r="N547" s="13" t="s">
        <x:v>1965</x:v>
      </x:c>
      <x:c r="O547" s="13" t="s">
        <x:v>1530</x:v>
      </x:c>
      <x:c r="P547" s="202">
        <x:v>370</x:v>
      </x:c>
      <x:c r="Q547" s="13" t="s">
        <x:v>572</x:v>
      </x:c>
      <x:c r="R547" s="13" t="s">
        <x:v>1769</x:v>
      </x:c>
      <x:c r="S547" s="13" t="s">
        <x:v>1780</x:v>
      </x:c>
      <x:c r="T547" s="13" t="s">
        <x:v>1766</x:v>
      </x:c>
      <x:c r="U547" s="13"/>
      <x:c r="V547" s="13" t="s">
        <x:v>1746</x:v>
      </x:c>
    </x:row>
    <x:row r="548" spans="1:22" s="14" customFormat="1" ht="13.5" customHeight="1">
      <x:c r="A548" s="13"/>
      <x:c r="B548" s="25" t="str">
        <x:f>L548&amp;"-"&amp;TEXT(P548,"0000")</x:f>
        <x:v>20060502-0369</x:v>
      </x:c>
      <x:c r="C548" s="13" t="s">
        <x:v>1978</x:v>
      </x:c>
      <x:c r="D548" s="13" t="s">
        <x:v>1533</x:v>
      </x:c>
      <x:c r="E548" s="13" t="s">
        <x:v>1568</x:v>
      </x:c>
      <x:c r="F548" s="13" t="s">
        <x:v>2171</x:v>
      </x:c>
      <x:c r="G548" s="13" t="s">
        <x:v>1289</x:v>
      </x:c>
      <x:c r="H548" s="13" t="str">
        <x:f>IFERROR(VLOOKUP(O548,'정보화기기 명부'!A$2:B$187,2,FALSE),"")</x:f>
        <x:v/>
      </x:c>
      <x:c r="I548" s="13"/>
      <x:c r="J548" s="13" t="s">
        <x:v>1751</x:v>
      </x:c>
      <x:c r="K548" s="13"/>
      <x:c r="L548" s="13">
        <x:v>20060502</x:v>
      </x:c>
      <x:c r="M548" s="13" t="s">
        <x:v>1807</x:v>
      </x:c>
      <x:c r="N548" s="13" t="s">
        <x:v>1965</x:v>
      </x:c>
      <x:c r="O548" s="13" t="s">
        <x:v>1313</x:v>
      </x:c>
      <x:c r="P548" s="202">
        <x:v>369</x:v>
      </x:c>
      <x:c r="Q548" s="13" t="s">
        <x:v>572</x:v>
      </x:c>
      <x:c r="R548" s="13" t="s">
        <x:v>1769</x:v>
      </x:c>
      <x:c r="S548" s="13" t="s">
        <x:v>1780</x:v>
      </x:c>
      <x:c r="T548" s="13" t="s">
        <x:v>1766</x:v>
      </x:c>
      <x:c r="U548" s="13"/>
      <x:c r="V548" s="13" t="s">
        <x:v>1746</x:v>
      </x:c>
    </x:row>
    <x:row r="549" spans="1:22" s="14" customFormat="1" ht="13.5" customHeight="1">
      <x:c r="A549" s="13"/>
      <x:c r="B549" s="25" t="str">
        <x:f>L549&amp;"-"&amp;TEXT(P549,"0000")</x:f>
        <x:v>20060502-0368</x:v>
      </x:c>
      <x:c r="C549" s="13" t="s">
        <x:v>1978</x:v>
      </x:c>
      <x:c r="D549" s="13" t="s">
        <x:v>1533</x:v>
      </x:c>
      <x:c r="E549" s="13" t="s">
        <x:v>1568</x:v>
      </x:c>
      <x:c r="F549" s="13" t="s">
        <x:v>2171</x:v>
      </x:c>
      <x:c r="G549" s="13" t="s">
        <x:v>1289</x:v>
      </x:c>
      <x:c r="H549" s="13" t="str">
        <x:f>IFERROR(VLOOKUP(O549,'정보화기기 명부'!A$2:B$187,2,FALSE),"")</x:f>
        <x:v/>
      </x:c>
      <x:c r="I549" s="13"/>
      <x:c r="J549" s="13" t="s">
        <x:v>1751</x:v>
      </x:c>
      <x:c r="K549" s="13"/>
      <x:c r="L549" s="13">
        <x:v>20060502</x:v>
      </x:c>
      <x:c r="M549" s="13" t="s">
        <x:v>1807</x:v>
      </x:c>
      <x:c r="N549" s="13" t="s">
        <x:v>1965</x:v>
      </x:c>
      <x:c r="O549" s="13" t="s">
        <x:v>1313</x:v>
      </x:c>
      <x:c r="P549" s="202">
        <x:v>368</x:v>
      </x:c>
      <x:c r="Q549" s="13" t="s">
        <x:v>572</x:v>
      </x:c>
      <x:c r="R549" s="13" t="s">
        <x:v>1769</x:v>
      </x:c>
      <x:c r="S549" s="13" t="s">
        <x:v>1780</x:v>
      </x:c>
      <x:c r="T549" s="13" t="s">
        <x:v>1766</x:v>
      </x:c>
      <x:c r="U549" s="13"/>
      <x:c r="V549" s="13" t="s">
        <x:v>1746</x:v>
      </x:c>
    </x:row>
    <x:row r="550" spans="1:22" s="14" customFormat="1" ht="13.5" customHeight="1">
      <x:c r="A550" s="13"/>
      <x:c r="B550" s="25" t="str">
        <x:f>L550&amp;"-"&amp;TEXT(P550,"0000")</x:f>
        <x:v>20060502-0367</x:v>
      </x:c>
      <x:c r="C550" s="13" t="s">
        <x:v>1978</x:v>
      </x:c>
      <x:c r="D550" s="13" t="s">
        <x:v>1533</x:v>
      </x:c>
      <x:c r="E550" s="13" t="s">
        <x:v>1568</x:v>
      </x:c>
      <x:c r="F550" s="13" t="s">
        <x:v>2171</x:v>
      </x:c>
      <x:c r="G550" s="13" t="s">
        <x:v>1289</x:v>
      </x:c>
      <x:c r="H550" s="13" t="str">
        <x:f>IFERROR(VLOOKUP(O550,'정보화기기 명부'!A$2:B$187,2,FALSE),"")</x:f>
        <x:v/>
      </x:c>
      <x:c r="I550" s="13"/>
      <x:c r="J550" s="13" t="s">
        <x:v>1751</x:v>
      </x:c>
      <x:c r="K550" s="13"/>
      <x:c r="L550" s="13">
        <x:v>20060502</x:v>
      </x:c>
      <x:c r="M550" s="13" t="s">
        <x:v>1807</x:v>
      </x:c>
      <x:c r="N550" s="13" t="s">
        <x:v>1965</x:v>
      </x:c>
      <x:c r="O550" s="13" t="s">
        <x:v>1313</x:v>
      </x:c>
      <x:c r="P550" s="202">
        <x:v>367</x:v>
      </x:c>
      <x:c r="Q550" s="13" t="s">
        <x:v>572</x:v>
      </x:c>
      <x:c r="R550" s="13" t="s">
        <x:v>1769</x:v>
      </x:c>
      <x:c r="S550" s="13" t="s">
        <x:v>1780</x:v>
      </x:c>
      <x:c r="T550" s="13" t="s">
        <x:v>1766</x:v>
      </x:c>
      <x:c r="U550" s="13"/>
      <x:c r="V550" s="13" t="s">
        <x:v>1746</x:v>
      </x:c>
    </x:row>
    <x:row r="551" spans="1:22" s="14" customFormat="1" ht="13.5" customHeight="1">
      <x:c r="A551" s="13"/>
      <x:c r="B551" s="25" t="str">
        <x:f>L551&amp;"-"&amp;TEXT(P551,"0000")</x:f>
        <x:v>20060502-0366</x:v>
      </x:c>
      <x:c r="C551" s="13" t="s">
        <x:v>1978</x:v>
      </x:c>
      <x:c r="D551" s="13" t="s">
        <x:v>1533</x:v>
      </x:c>
      <x:c r="E551" s="13" t="s">
        <x:v>1568</x:v>
      </x:c>
      <x:c r="F551" s="13" t="s">
        <x:v>2171</x:v>
      </x:c>
      <x:c r="G551" s="13" t="s">
        <x:v>1289</x:v>
      </x:c>
      <x:c r="H551" s="13" t="str">
        <x:f>IFERROR(VLOOKUP(O551,'정보화기기 명부'!A$2:B$187,2,FALSE),"")</x:f>
        <x:v/>
      </x:c>
      <x:c r="I551" s="13"/>
      <x:c r="J551" s="13" t="s">
        <x:v>1751</x:v>
      </x:c>
      <x:c r="K551" s="13"/>
      <x:c r="L551" s="13">
        <x:v>20060502</x:v>
      </x:c>
      <x:c r="M551" s="13" t="s">
        <x:v>1807</x:v>
      </x:c>
      <x:c r="N551" s="13" t="s">
        <x:v>1965</x:v>
      </x:c>
      <x:c r="O551" s="13" t="s">
        <x:v>1313</x:v>
      </x:c>
      <x:c r="P551" s="202">
        <x:v>366</x:v>
      </x:c>
      <x:c r="Q551" s="13" t="s">
        <x:v>572</x:v>
      </x:c>
      <x:c r="R551" s="13" t="s">
        <x:v>1769</x:v>
      </x:c>
      <x:c r="S551" s="13" t="s">
        <x:v>1780</x:v>
      </x:c>
      <x:c r="T551" s="13" t="s">
        <x:v>1766</x:v>
      </x:c>
      <x:c r="U551" s="13"/>
      <x:c r="V551" s="13" t="s">
        <x:v>1746</x:v>
      </x:c>
    </x:row>
    <x:row r="552" spans="1:22" s="14" customFormat="1" ht="13.5" customHeight="1">
      <x:c r="A552" s="13"/>
      <x:c r="B552" s="25" t="str">
        <x:f>L552&amp;"-"&amp;TEXT(P552,"0000")</x:f>
        <x:v>20060502-0365</x:v>
      </x:c>
      <x:c r="C552" s="13" t="s">
        <x:v>1978</x:v>
      </x:c>
      <x:c r="D552" s="13" t="s">
        <x:v>1533</x:v>
      </x:c>
      <x:c r="E552" s="13" t="s">
        <x:v>1568</x:v>
      </x:c>
      <x:c r="F552" s="13" t="s">
        <x:v>2171</x:v>
      </x:c>
      <x:c r="G552" s="13" t="s">
        <x:v>1289</x:v>
      </x:c>
      <x:c r="H552" s="13" t="str">
        <x:f>IFERROR(VLOOKUP(O552,'정보화기기 명부'!A$2:B$187,2,FALSE),"")</x:f>
        <x:v/>
      </x:c>
      <x:c r="I552" s="13"/>
      <x:c r="J552" s="13" t="s">
        <x:v>1751</x:v>
      </x:c>
      <x:c r="K552" s="13"/>
      <x:c r="L552" s="13">
        <x:v>20060502</x:v>
      </x:c>
      <x:c r="M552" s="13" t="s">
        <x:v>1807</x:v>
      </x:c>
      <x:c r="N552" s="13" t="s">
        <x:v>1965</x:v>
      </x:c>
      <x:c r="O552" s="13" t="s">
        <x:v>1313</x:v>
      </x:c>
      <x:c r="P552" s="202">
        <x:v>365</x:v>
      </x:c>
      <x:c r="Q552" s="13" t="s">
        <x:v>572</x:v>
      </x:c>
      <x:c r="R552" s="13" t="s">
        <x:v>1769</x:v>
      </x:c>
      <x:c r="S552" s="13" t="s">
        <x:v>1780</x:v>
      </x:c>
      <x:c r="T552" s="13" t="s">
        <x:v>1766</x:v>
      </x:c>
      <x:c r="U552" s="13"/>
      <x:c r="V552" s="13" t="s">
        <x:v>1746</x:v>
      </x:c>
    </x:row>
    <x:row r="553" spans="1:22" s="14" customFormat="1" ht="13.5" customHeight="1">
      <x:c r="A553" s="13"/>
      <x:c r="B553" s="25" t="str">
        <x:f>L553&amp;"-"&amp;TEXT(P553,"0000")</x:f>
        <x:v>20060502-0364</x:v>
      </x:c>
      <x:c r="C553" s="13" t="s">
        <x:v>1978</x:v>
      </x:c>
      <x:c r="D553" s="13" t="s">
        <x:v>1533</x:v>
      </x:c>
      <x:c r="E553" s="13" t="s">
        <x:v>1568</x:v>
      </x:c>
      <x:c r="F553" s="13" t="s">
        <x:v>2171</x:v>
      </x:c>
      <x:c r="G553" s="13" t="s">
        <x:v>1289</x:v>
      </x:c>
      <x:c r="H553" s="13" t="str">
        <x:f>IFERROR(VLOOKUP(O553,'정보화기기 명부'!A$2:B$187,2,FALSE),"")</x:f>
        <x:v/>
      </x:c>
      <x:c r="I553" s="13"/>
      <x:c r="J553" s="13" t="s">
        <x:v>1751</x:v>
      </x:c>
      <x:c r="K553" s="13"/>
      <x:c r="L553" s="13">
        <x:v>20060502</x:v>
      </x:c>
      <x:c r="M553" s="13" t="s">
        <x:v>1807</x:v>
      </x:c>
      <x:c r="N553" s="13" t="s">
        <x:v>1965</x:v>
      </x:c>
      <x:c r="O553" s="13" t="s">
        <x:v>1313</x:v>
      </x:c>
      <x:c r="P553" s="202">
        <x:v>364</x:v>
      </x:c>
      <x:c r="Q553" s="13" t="s">
        <x:v>572</x:v>
      </x:c>
      <x:c r="R553" s="13" t="s">
        <x:v>1769</x:v>
      </x:c>
      <x:c r="S553" s="13" t="s">
        <x:v>1780</x:v>
      </x:c>
      <x:c r="T553" s="13" t="s">
        <x:v>1766</x:v>
      </x:c>
      <x:c r="U553" s="13"/>
      <x:c r="V553" s="13" t="s">
        <x:v>1746</x:v>
      </x:c>
    </x:row>
    <x:row r="554" spans="1:22" s="14" customFormat="1" ht="13.5" customHeight="1">
      <x:c r="A554" s="13"/>
      <x:c r="B554" s="25" t="str">
        <x:f>L554&amp;"-"&amp;TEXT(P554,"0000")</x:f>
        <x:v>20060502-0363</x:v>
      </x:c>
      <x:c r="C554" s="13" t="s">
        <x:v>1978</x:v>
      </x:c>
      <x:c r="D554" s="13" t="s">
        <x:v>1533</x:v>
      </x:c>
      <x:c r="E554" s="13" t="s">
        <x:v>1568</x:v>
      </x:c>
      <x:c r="F554" s="13" t="s">
        <x:v>2171</x:v>
      </x:c>
      <x:c r="G554" s="13" t="s">
        <x:v>1289</x:v>
      </x:c>
      <x:c r="H554" s="13" t="str">
        <x:f>IFERROR(VLOOKUP(O554,'정보화기기 명부'!A$2:B$187,2,FALSE),"")</x:f>
        <x:v/>
      </x:c>
      <x:c r="I554" s="13"/>
      <x:c r="J554" s="13" t="s">
        <x:v>1751</x:v>
      </x:c>
      <x:c r="K554" s="13"/>
      <x:c r="L554" s="13">
        <x:v>20060502</x:v>
      </x:c>
      <x:c r="M554" s="13" t="s">
        <x:v>1807</x:v>
      </x:c>
      <x:c r="N554" s="13" t="s">
        <x:v>1965</x:v>
      </x:c>
      <x:c r="O554" s="13" t="s">
        <x:v>1313</x:v>
      </x:c>
      <x:c r="P554" s="202">
        <x:v>363</x:v>
      </x:c>
      <x:c r="Q554" s="13" t="s">
        <x:v>572</x:v>
      </x:c>
      <x:c r="R554" s="13" t="s">
        <x:v>1769</x:v>
      </x:c>
      <x:c r="S554" s="13" t="s">
        <x:v>1780</x:v>
      </x:c>
      <x:c r="T554" s="13" t="s">
        <x:v>1766</x:v>
      </x:c>
      <x:c r="U554" s="13"/>
      <x:c r="V554" s="13" t="s">
        <x:v>1746</x:v>
      </x:c>
    </x:row>
    <x:row r="555" spans="1:22" s="14" customFormat="1" ht="13.5" customHeight="1">
      <x:c r="A555" s="13"/>
      <x:c r="B555" s="25" t="str">
        <x:f>L555&amp;"-"&amp;TEXT(P555,"0000")</x:f>
        <x:v>20060502-0362</x:v>
      </x:c>
      <x:c r="C555" s="13" t="s">
        <x:v>1978</x:v>
      </x:c>
      <x:c r="D555" s="13" t="s">
        <x:v>1533</x:v>
      </x:c>
      <x:c r="E555" s="13" t="s">
        <x:v>1568</x:v>
      </x:c>
      <x:c r="F555" s="13" t="s">
        <x:v>2171</x:v>
      </x:c>
      <x:c r="G555" s="13" t="s">
        <x:v>1289</x:v>
      </x:c>
      <x:c r="H555" s="13" t="str">
        <x:f>IFERROR(VLOOKUP(O555,'정보화기기 명부'!A$2:B$187,2,FALSE),"")</x:f>
        <x:v/>
      </x:c>
      <x:c r="I555" s="13"/>
      <x:c r="J555" s="13" t="s">
        <x:v>1751</x:v>
      </x:c>
      <x:c r="K555" s="13"/>
      <x:c r="L555" s="13">
        <x:v>20060502</x:v>
      </x:c>
      <x:c r="M555" s="13" t="s">
        <x:v>1807</x:v>
      </x:c>
      <x:c r="N555" s="13" t="s">
        <x:v>1965</x:v>
      </x:c>
      <x:c r="O555" s="13" t="s">
        <x:v>1313</x:v>
      </x:c>
      <x:c r="P555" s="202">
        <x:v>362</x:v>
      </x:c>
      <x:c r="Q555" s="13" t="s">
        <x:v>572</x:v>
      </x:c>
      <x:c r="R555" s="13" t="s">
        <x:v>1769</x:v>
      </x:c>
      <x:c r="S555" s="13" t="s">
        <x:v>1780</x:v>
      </x:c>
      <x:c r="T555" s="13" t="s">
        <x:v>1766</x:v>
      </x:c>
      <x:c r="U555" s="13"/>
      <x:c r="V555" s="13" t="s">
        <x:v>1746</x:v>
      </x:c>
    </x:row>
    <x:row r="556" spans="1:22" s="14" customFormat="1" ht="13.5" customHeight="1">
      <x:c r="A556" s="13"/>
      <x:c r="B556" s="25" t="str">
        <x:f>L556&amp;"-"&amp;TEXT(P556,"0000")</x:f>
        <x:v>20060502-0361</x:v>
      </x:c>
      <x:c r="C556" s="13" t="s">
        <x:v>1978</x:v>
      </x:c>
      <x:c r="D556" s="13" t="s">
        <x:v>1533</x:v>
      </x:c>
      <x:c r="E556" s="13" t="s">
        <x:v>1568</x:v>
      </x:c>
      <x:c r="F556" s="13" t="s">
        <x:v>2171</x:v>
      </x:c>
      <x:c r="G556" s="13" t="s">
        <x:v>1289</x:v>
      </x:c>
      <x:c r="H556" s="13" t="str">
        <x:f>IFERROR(VLOOKUP(O556,'정보화기기 명부'!A$2:B$187,2,FALSE),"")</x:f>
        <x:v/>
      </x:c>
      <x:c r="I556" s="13"/>
      <x:c r="J556" s="13" t="s">
        <x:v>1751</x:v>
      </x:c>
      <x:c r="K556" s="13"/>
      <x:c r="L556" s="13">
        <x:v>20060502</x:v>
      </x:c>
      <x:c r="M556" s="13" t="s">
        <x:v>1807</x:v>
      </x:c>
      <x:c r="N556" s="13" t="s">
        <x:v>1965</x:v>
      </x:c>
      <x:c r="O556" s="13" t="s">
        <x:v>1313</x:v>
      </x:c>
      <x:c r="P556" s="202">
        <x:v>361</x:v>
      </x:c>
      <x:c r="Q556" s="13" t="s">
        <x:v>572</x:v>
      </x:c>
      <x:c r="R556" s="13" t="s">
        <x:v>1769</x:v>
      </x:c>
      <x:c r="S556" s="13" t="s">
        <x:v>1780</x:v>
      </x:c>
      <x:c r="T556" s="13" t="s">
        <x:v>1766</x:v>
      </x:c>
      <x:c r="U556" s="13"/>
      <x:c r="V556" s="13" t="s">
        <x:v>1746</x:v>
      </x:c>
    </x:row>
    <x:row r="557" spans="1:22" s="14" customFormat="1" ht="13.5" customHeight="1">
      <x:c r="A557" s="13"/>
      <x:c r="B557" s="25" t="str">
        <x:f>L557&amp;"-"&amp;TEXT(P557,"0000")</x:f>
        <x:v>20060502-0360</x:v>
      </x:c>
      <x:c r="C557" s="13" t="s">
        <x:v>1978</x:v>
      </x:c>
      <x:c r="D557" s="13" t="s">
        <x:v>1533</x:v>
      </x:c>
      <x:c r="E557" s="13" t="s">
        <x:v>1568</x:v>
      </x:c>
      <x:c r="F557" s="13" t="s">
        <x:v>2171</x:v>
      </x:c>
      <x:c r="G557" s="13" t="s">
        <x:v>1289</x:v>
      </x:c>
      <x:c r="H557" s="13" t="str">
        <x:f>IFERROR(VLOOKUP(O557,'정보화기기 명부'!A$2:B$187,2,FALSE),"")</x:f>
        <x:v/>
      </x:c>
      <x:c r="I557" s="13"/>
      <x:c r="J557" s="13" t="s">
        <x:v>1751</x:v>
      </x:c>
      <x:c r="K557" s="13"/>
      <x:c r="L557" s="13">
        <x:v>20060502</x:v>
      </x:c>
      <x:c r="M557" s="13" t="s">
        <x:v>1807</x:v>
      </x:c>
      <x:c r="N557" s="13" t="s">
        <x:v>1965</x:v>
      </x:c>
      <x:c r="O557" s="13" t="s">
        <x:v>1313</x:v>
      </x:c>
      <x:c r="P557" s="202">
        <x:v>360</x:v>
      </x:c>
      <x:c r="Q557" s="13" t="s">
        <x:v>572</x:v>
      </x:c>
      <x:c r="R557" s="13" t="s">
        <x:v>1769</x:v>
      </x:c>
      <x:c r="S557" s="13" t="s">
        <x:v>1780</x:v>
      </x:c>
      <x:c r="T557" s="13" t="s">
        <x:v>1766</x:v>
      </x:c>
      <x:c r="U557" s="13"/>
      <x:c r="V557" s="13" t="s">
        <x:v>1746</x:v>
      </x:c>
    </x:row>
    <x:row r="558" spans="1:22" s="14" customFormat="1" ht="13.5" customHeight="1">
      <x:c r="A558" s="13"/>
      <x:c r="B558" s="25" t="str">
        <x:f>L558&amp;"-"&amp;TEXT(P558,"0000")</x:f>
        <x:v>20060502-0359</x:v>
      </x:c>
      <x:c r="C558" s="13" t="s">
        <x:v>1978</x:v>
      </x:c>
      <x:c r="D558" s="13" t="s">
        <x:v>1533</x:v>
      </x:c>
      <x:c r="E558" s="13" t="s">
        <x:v>1568</x:v>
      </x:c>
      <x:c r="F558" s="13" t="s">
        <x:v>2171</x:v>
      </x:c>
      <x:c r="G558" s="13" t="s">
        <x:v>1289</x:v>
      </x:c>
      <x:c r="H558" s="13" t="str">
        <x:f>IFERROR(VLOOKUP(O558,'정보화기기 명부'!A$2:B$187,2,FALSE),"")</x:f>
        <x:v/>
      </x:c>
      <x:c r="I558" s="13"/>
      <x:c r="J558" s="13" t="s">
        <x:v>1751</x:v>
      </x:c>
      <x:c r="K558" s="13"/>
      <x:c r="L558" s="13">
        <x:v>20060502</x:v>
      </x:c>
      <x:c r="M558" s="13" t="s">
        <x:v>1807</x:v>
      </x:c>
      <x:c r="N558" s="13" t="s">
        <x:v>1965</x:v>
      </x:c>
      <x:c r="O558" s="13" t="s">
        <x:v>1313</x:v>
      </x:c>
      <x:c r="P558" s="202">
        <x:v>359</x:v>
      </x:c>
      <x:c r="Q558" s="13" t="s">
        <x:v>572</x:v>
      </x:c>
      <x:c r="R558" s="13" t="s">
        <x:v>1769</x:v>
      </x:c>
      <x:c r="S558" s="13" t="s">
        <x:v>1780</x:v>
      </x:c>
      <x:c r="T558" s="13" t="s">
        <x:v>1766</x:v>
      </x:c>
      <x:c r="U558" s="13"/>
      <x:c r="V558" s="13" t="s">
        <x:v>1746</x:v>
      </x:c>
    </x:row>
    <x:row r="559" spans="1:22" s="14" customFormat="1" ht="13.5" customHeight="1">
      <x:c r="A559" s="13"/>
      <x:c r="B559" s="25" t="str">
        <x:f>L559&amp;"-"&amp;TEXT(P559,"0000")</x:f>
        <x:v>20060502-0358</x:v>
      </x:c>
      <x:c r="C559" s="13" t="s">
        <x:v>1978</x:v>
      </x:c>
      <x:c r="D559" s="13" t="s">
        <x:v>1533</x:v>
      </x:c>
      <x:c r="E559" s="13" t="s">
        <x:v>1568</x:v>
      </x:c>
      <x:c r="F559" s="13" t="s">
        <x:v>2171</x:v>
      </x:c>
      <x:c r="G559" s="13" t="s">
        <x:v>1289</x:v>
      </x:c>
      <x:c r="H559" s="13" t="str">
        <x:f>IFERROR(VLOOKUP(O559,'정보화기기 명부'!A$2:B$187,2,FALSE),"")</x:f>
        <x:v/>
      </x:c>
      <x:c r="I559" s="13"/>
      <x:c r="J559" s="13" t="s">
        <x:v>1751</x:v>
      </x:c>
      <x:c r="K559" s="13"/>
      <x:c r="L559" s="13">
        <x:v>20060502</x:v>
      </x:c>
      <x:c r="M559" s="13" t="s">
        <x:v>1807</x:v>
      </x:c>
      <x:c r="N559" s="13" t="s">
        <x:v>1965</x:v>
      </x:c>
      <x:c r="O559" s="13" t="s">
        <x:v>1313</x:v>
      </x:c>
      <x:c r="P559" s="202">
        <x:v>358</x:v>
      </x:c>
      <x:c r="Q559" s="13" t="s">
        <x:v>572</x:v>
      </x:c>
      <x:c r="R559" s="13" t="s">
        <x:v>1769</x:v>
      </x:c>
      <x:c r="S559" s="13" t="s">
        <x:v>1780</x:v>
      </x:c>
      <x:c r="T559" s="13" t="s">
        <x:v>1766</x:v>
      </x:c>
      <x:c r="U559" s="13"/>
      <x:c r="V559" s="13" t="s">
        <x:v>1746</x:v>
      </x:c>
    </x:row>
    <x:row r="560" spans="1:22" s="14" customFormat="1" ht="13.5" customHeight="1">
      <x:c r="A560" s="13"/>
      <x:c r="B560" s="25" t="str">
        <x:f>L560&amp;"-"&amp;TEXT(P560,"0000")</x:f>
        <x:v>20060502-0357</x:v>
      </x:c>
      <x:c r="C560" s="13" t="s">
        <x:v>1978</x:v>
      </x:c>
      <x:c r="D560" s="13" t="s">
        <x:v>1533</x:v>
      </x:c>
      <x:c r="E560" s="13" t="s">
        <x:v>1568</x:v>
      </x:c>
      <x:c r="F560" s="13" t="s">
        <x:v>2171</x:v>
      </x:c>
      <x:c r="G560" s="13" t="s">
        <x:v>1289</x:v>
      </x:c>
      <x:c r="H560" s="13" t="str">
        <x:f>IFERROR(VLOOKUP(O560,'정보화기기 명부'!A$2:B$187,2,FALSE),"")</x:f>
        <x:v/>
      </x:c>
      <x:c r="I560" s="13"/>
      <x:c r="J560" s="13" t="s">
        <x:v>1751</x:v>
      </x:c>
      <x:c r="K560" s="13"/>
      <x:c r="L560" s="13">
        <x:v>20060502</x:v>
      </x:c>
      <x:c r="M560" s="13" t="s">
        <x:v>1807</x:v>
      </x:c>
      <x:c r="N560" s="13" t="s">
        <x:v>1965</x:v>
      </x:c>
      <x:c r="O560" s="13" t="s">
        <x:v>1313</x:v>
      </x:c>
      <x:c r="P560" s="202">
        <x:v>357</x:v>
      </x:c>
      <x:c r="Q560" s="13" t="s">
        <x:v>572</x:v>
      </x:c>
      <x:c r="R560" s="13" t="s">
        <x:v>1769</x:v>
      </x:c>
      <x:c r="S560" s="13" t="s">
        <x:v>1780</x:v>
      </x:c>
      <x:c r="T560" s="13" t="s">
        <x:v>1766</x:v>
      </x:c>
      <x:c r="U560" s="13"/>
      <x:c r="V560" s="13" t="s">
        <x:v>1746</x:v>
      </x:c>
    </x:row>
    <x:row r="561" spans="1:22" s="14" customFormat="1" ht="13.5" customHeight="1">
      <x:c r="A561" s="13"/>
      <x:c r="B561" s="25" t="str">
        <x:f>L561&amp;"-"&amp;TEXT(P561,"0000")</x:f>
        <x:v>20060502-0356</x:v>
      </x:c>
      <x:c r="C561" s="13" t="s">
        <x:v>1978</x:v>
      </x:c>
      <x:c r="D561" s="13" t="s">
        <x:v>1533</x:v>
      </x:c>
      <x:c r="E561" s="13" t="s">
        <x:v>1568</x:v>
      </x:c>
      <x:c r="F561" s="13" t="s">
        <x:v>2171</x:v>
      </x:c>
      <x:c r="G561" s="13" t="s">
        <x:v>1289</x:v>
      </x:c>
      <x:c r="H561" s="13" t="str">
        <x:f>IFERROR(VLOOKUP(O561,'정보화기기 명부'!A$2:B$187,2,FALSE),"")</x:f>
        <x:v/>
      </x:c>
      <x:c r="I561" s="13"/>
      <x:c r="J561" s="13" t="s">
        <x:v>1751</x:v>
      </x:c>
      <x:c r="K561" s="13"/>
      <x:c r="L561" s="13">
        <x:v>20060502</x:v>
      </x:c>
      <x:c r="M561" s="13" t="s">
        <x:v>1807</x:v>
      </x:c>
      <x:c r="N561" s="13" t="s">
        <x:v>1965</x:v>
      </x:c>
      <x:c r="O561" s="13" t="s">
        <x:v>1316</x:v>
      </x:c>
      <x:c r="P561" s="202">
        <x:v>356</x:v>
      </x:c>
      <x:c r="Q561" s="13" t="s">
        <x:v>572</x:v>
      </x:c>
      <x:c r="R561" s="13" t="s">
        <x:v>1769</x:v>
      </x:c>
      <x:c r="S561" s="13" t="s">
        <x:v>1780</x:v>
      </x:c>
      <x:c r="T561" s="13" t="s">
        <x:v>1766</x:v>
      </x:c>
      <x:c r="U561" s="13"/>
      <x:c r="V561" s="13" t="s">
        <x:v>1746</x:v>
      </x:c>
    </x:row>
    <x:row r="562" spans="1:22" s="14" customFormat="1" ht="13.5" customHeight="1">
      <x:c r="A562" s="13"/>
      <x:c r="B562" s="25" t="str">
        <x:f>L562&amp;"-"&amp;TEXT(P562,"0000")</x:f>
        <x:v>20060502-0355</x:v>
      </x:c>
      <x:c r="C562" s="13" t="s">
        <x:v>1978</x:v>
      </x:c>
      <x:c r="D562" s="13" t="s">
        <x:v>1533</x:v>
      </x:c>
      <x:c r="E562" s="13" t="s">
        <x:v>1568</x:v>
      </x:c>
      <x:c r="F562" s="13" t="s">
        <x:v>2171</x:v>
      </x:c>
      <x:c r="G562" s="13" t="s">
        <x:v>1289</x:v>
      </x:c>
      <x:c r="H562" s="13" t="str">
        <x:f>IFERROR(VLOOKUP(O562,'정보화기기 명부'!A$2:B$187,2,FALSE),"")</x:f>
        <x:v/>
      </x:c>
      <x:c r="I562" s="13"/>
      <x:c r="J562" s="13" t="s">
        <x:v>1751</x:v>
      </x:c>
      <x:c r="K562" s="13"/>
      <x:c r="L562" s="13">
        <x:v>20060502</x:v>
      </x:c>
      <x:c r="M562" s="13" t="s">
        <x:v>1807</x:v>
      </x:c>
      <x:c r="N562" s="13" t="s">
        <x:v>1965</x:v>
      </x:c>
      <x:c r="O562" s="13" t="s">
        <x:v>1313</x:v>
      </x:c>
      <x:c r="P562" s="202">
        <x:v>355</x:v>
      </x:c>
      <x:c r="Q562" s="13" t="s">
        <x:v>572</x:v>
      </x:c>
      <x:c r="R562" s="13" t="s">
        <x:v>1769</x:v>
      </x:c>
      <x:c r="S562" s="13" t="s">
        <x:v>1780</x:v>
      </x:c>
      <x:c r="T562" s="13" t="s">
        <x:v>1766</x:v>
      </x:c>
      <x:c r="U562" s="13"/>
      <x:c r="V562" s="13" t="s">
        <x:v>1746</x:v>
      </x:c>
    </x:row>
    <x:row r="563" spans="1:22" s="14" customFormat="1" ht="13.5" customHeight="1">
      <x:c r="A563" s="13"/>
      <x:c r="B563" s="25" t="str">
        <x:f>L563&amp;"-"&amp;TEXT(P563,"0000")</x:f>
        <x:v>20060502-0354</x:v>
      </x:c>
      <x:c r="C563" s="13" t="s">
        <x:v>1978</x:v>
      </x:c>
      <x:c r="D563" s="13" t="s">
        <x:v>1533</x:v>
      </x:c>
      <x:c r="E563" s="13" t="s">
        <x:v>1568</x:v>
      </x:c>
      <x:c r="F563" s="13" t="s">
        <x:v>2171</x:v>
      </x:c>
      <x:c r="G563" s="13" t="s">
        <x:v>1289</x:v>
      </x:c>
      <x:c r="H563" s="13" t="str">
        <x:f>IFERROR(VLOOKUP(O563,'정보화기기 명부'!A$2:B$187,2,FALSE),"")</x:f>
        <x:v/>
      </x:c>
      <x:c r="I563" s="13"/>
      <x:c r="J563" s="13" t="s">
        <x:v>1751</x:v>
      </x:c>
      <x:c r="K563" s="13"/>
      <x:c r="L563" s="13">
        <x:v>20060502</x:v>
      </x:c>
      <x:c r="M563" s="13" t="s">
        <x:v>1807</x:v>
      </x:c>
      <x:c r="N563" s="13" t="s">
        <x:v>1965</x:v>
      </x:c>
      <x:c r="O563" s="13" t="s">
        <x:v>1313</x:v>
      </x:c>
      <x:c r="P563" s="202">
        <x:v>354</x:v>
      </x:c>
      <x:c r="Q563" s="13" t="s">
        <x:v>572</x:v>
      </x:c>
      <x:c r="R563" s="13" t="s">
        <x:v>1769</x:v>
      </x:c>
      <x:c r="S563" s="13" t="s">
        <x:v>1780</x:v>
      </x:c>
      <x:c r="T563" s="13" t="s">
        <x:v>1766</x:v>
      </x:c>
      <x:c r="U563" s="13"/>
      <x:c r="V563" s="13" t="s">
        <x:v>1746</x:v>
      </x:c>
    </x:row>
    <x:row r="564" spans="1:22" s="14" customFormat="1" ht="13.5" customHeight="1">
      <x:c r="A564" s="13"/>
      <x:c r="B564" s="25" t="str">
        <x:f>L564&amp;"-"&amp;TEXT(P564,"0000")</x:f>
        <x:v>20060502-0353</x:v>
      </x:c>
      <x:c r="C564" s="13" t="s">
        <x:v>1978</x:v>
      </x:c>
      <x:c r="D564" s="13" t="s">
        <x:v>1533</x:v>
      </x:c>
      <x:c r="E564" s="13" t="s">
        <x:v>1568</x:v>
      </x:c>
      <x:c r="F564" s="13" t="s">
        <x:v>2171</x:v>
      </x:c>
      <x:c r="G564" s="13" t="s">
        <x:v>1289</x:v>
      </x:c>
      <x:c r="H564" s="13" t="str">
        <x:f>IFERROR(VLOOKUP(O564,'정보화기기 명부'!A$2:B$187,2,FALSE),"")</x:f>
        <x:v/>
      </x:c>
      <x:c r="I564" s="13"/>
      <x:c r="J564" s="13" t="s">
        <x:v>1751</x:v>
      </x:c>
      <x:c r="K564" s="13"/>
      <x:c r="L564" s="13">
        <x:v>20060502</x:v>
      </x:c>
      <x:c r="M564" s="13" t="s">
        <x:v>1807</x:v>
      </x:c>
      <x:c r="N564" s="13" t="s">
        <x:v>1965</x:v>
      </x:c>
      <x:c r="O564" s="13" t="s">
        <x:v>1313</x:v>
      </x:c>
      <x:c r="P564" s="202">
        <x:v>353</x:v>
      </x:c>
      <x:c r="Q564" s="13" t="s">
        <x:v>572</x:v>
      </x:c>
      <x:c r="R564" s="13" t="s">
        <x:v>1769</x:v>
      </x:c>
      <x:c r="S564" s="13" t="s">
        <x:v>1780</x:v>
      </x:c>
      <x:c r="T564" s="13" t="s">
        <x:v>1766</x:v>
      </x:c>
      <x:c r="U564" s="13"/>
      <x:c r="V564" s="13" t="s">
        <x:v>1746</x:v>
      </x:c>
    </x:row>
    <x:row r="565" spans="1:22" s="14" customFormat="1" ht="13.5" customHeight="1">
      <x:c r="A565" s="13"/>
      <x:c r="B565" s="25" t="str">
        <x:f>L565&amp;"-"&amp;TEXT(P565,"0000")</x:f>
        <x:v>20060502-0352</x:v>
      </x:c>
      <x:c r="C565" s="13" t="s">
        <x:v>1978</x:v>
      </x:c>
      <x:c r="D565" s="13" t="s">
        <x:v>1533</x:v>
      </x:c>
      <x:c r="E565" s="13" t="s">
        <x:v>1568</x:v>
      </x:c>
      <x:c r="F565" s="13" t="s">
        <x:v>2171</x:v>
      </x:c>
      <x:c r="G565" s="13" t="s">
        <x:v>1289</x:v>
      </x:c>
      <x:c r="H565" s="13" t="str">
        <x:f>IFERROR(VLOOKUP(O565,'정보화기기 명부'!A$2:B$187,2,FALSE),"")</x:f>
        <x:v/>
      </x:c>
      <x:c r="I565" s="13"/>
      <x:c r="J565" s="13" t="s">
        <x:v>1751</x:v>
      </x:c>
      <x:c r="K565" s="13"/>
      <x:c r="L565" s="13">
        <x:v>20060502</x:v>
      </x:c>
      <x:c r="M565" s="13" t="s">
        <x:v>1807</x:v>
      </x:c>
      <x:c r="N565" s="13" t="s">
        <x:v>1965</x:v>
      </x:c>
      <x:c r="O565" s="13" t="s">
        <x:v>1313</x:v>
      </x:c>
      <x:c r="P565" s="202">
        <x:v>352</x:v>
      </x:c>
      <x:c r="Q565" s="13" t="s">
        <x:v>572</x:v>
      </x:c>
      <x:c r="R565" s="13" t="s">
        <x:v>1769</x:v>
      </x:c>
      <x:c r="S565" s="13" t="s">
        <x:v>1780</x:v>
      </x:c>
      <x:c r="T565" s="13" t="s">
        <x:v>1766</x:v>
      </x:c>
      <x:c r="U565" s="13"/>
      <x:c r="V565" s="13" t="s">
        <x:v>1746</x:v>
      </x:c>
    </x:row>
    <x:row r="566" spans="1:22" s="14" customFormat="1" ht="13.5" customHeight="1">
      <x:c r="A566" s="13"/>
      <x:c r="B566" s="25" t="str">
        <x:f>L566&amp;"-"&amp;TEXT(P566,"0000")</x:f>
        <x:v>20060502-0351</x:v>
      </x:c>
      <x:c r="C566" s="13" t="s">
        <x:v>1978</x:v>
      </x:c>
      <x:c r="D566" s="13" t="s">
        <x:v>1533</x:v>
      </x:c>
      <x:c r="E566" s="13" t="s">
        <x:v>1568</x:v>
      </x:c>
      <x:c r="F566" s="13" t="s">
        <x:v>2171</x:v>
      </x:c>
      <x:c r="G566" s="13" t="s">
        <x:v>1289</x:v>
      </x:c>
      <x:c r="H566" s="13" t="str">
        <x:f>IFERROR(VLOOKUP(O566,'정보화기기 명부'!A$2:B$187,2,FALSE),"")</x:f>
        <x:v/>
      </x:c>
      <x:c r="I566" s="13"/>
      <x:c r="J566" s="13" t="s">
        <x:v>1751</x:v>
      </x:c>
      <x:c r="K566" s="13"/>
      <x:c r="L566" s="13">
        <x:v>20060502</x:v>
      </x:c>
      <x:c r="M566" s="13" t="s">
        <x:v>1807</x:v>
      </x:c>
      <x:c r="N566" s="13" t="s">
        <x:v>1965</x:v>
      </x:c>
      <x:c r="O566" s="13" t="s">
        <x:v>1313</x:v>
      </x:c>
      <x:c r="P566" s="202">
        <x:v>351</x:v>
      </x:c>
      <x:c r="Q566" s="13" t="s">
        <x:v>572</x:v>
      </x:c>
      <x:c r="R566" s="13" t="s">
        <x:v>1769</x:v>
      </x:c>
      <x:c r="S566" s="13" t="s">
        <x:v>1780</x:v>
      </x:c>
      <x:c r="T566" s="13" t="s">
        <x:v>1766</x:v>
      </x:c>
      <x:c r="U566" s="13"/>
      <x:c r="V566" s="13" t="s">
        <x:v>1746</x:v>
      </x:c>
    </x:row>
    <x:row r="567" spans="1:22" s="14" customFormat="1" ht="13.5" customHeight="1">
      <x:c r="A567" s="13"/>
      <x:c r="B567" s="25" t="str">
        <x:f>L567&amp;"-"&amp;TEXT(P567,"0000")</x:f>
        <x:v>20060502-0350</x:v>
      </x:c>
      <x:c r="C567" s="13" t="s">
        <x:v>1978</x:v>
      </x:c>
      <x:c r="D567" s="13" t="s">
        <x:v>1533</x:v>
      </x:c>
      <x:c r="E567" s="13" t="s">
        <x:v>1568</x:v>
      </x:c>
      <x:c r="F567" s="13" t="s">
        <x:v>2171</x:v>
      </x:c>
      <x:c r="G567" s="13" t="s">
        <x:v>1289</x:v>
      </x:c>
      <x:c r="H567" s="13" t="str">
        <x:f>IFERROR(VLOOKUP(O567,'정보화기기 명부'!A$2:B$187,2,FALSE),"")</x:f>
        <x:v/>
      </x:c>
      <x:c r="I567" s="13"/>
      <x:c r="J567" s="13" t="s">
        <x:v>1751</x:v>
      </x:c>
      <x:c r="K567" s="13"/>
      <x:c r="L567" s="13">
        <x:v>20060502</x:v>
      </x:c>
      <x:c r="M567" s="13" t="s">
        <x:v>1807</x:v>
      </x:c>
      <x:c r="N567" s="13" t="s">
        <x:v>1965</x:v>
      </x:c>
      <x:c r="O567" s="13" t="s">
        <x:v>1313</x:v>
      </x:c>
      <x:c r="P567" s="202">
        <x:v>350</x:v>
      </x:c>
      <x:c r="Q567" s="13" t="s">
        <x:v>572</x:v>
      </x:c>
      <x:c r="R567" s="13" t="s">
        <x:v>1769</x:v>
      </x:c>
      <x:c r="S567" s="13" t="s">
        <x:v>1780</x:v>
      </x:c>
      <x:c r="T567" s="13" t="s">
        <x:v>1766</x:v>
      </x:c>
      <x:c r="U567" s="13"/>
      <x:c r="V567" s="13" t="s">
        <x:v>1746</x:v>
      </x:c>
    </x:row>
    <x:row r="568" spans="1:22" s="14" customFormat="1" ht="13.5" customHeight="1">
      <x:c r="A568" s="13"/>
      <x:c r="B568" s="25" t="str">
        <x:f>L568&amp;"-"&amp;TEXT(P568,"0000")</x:f>
        <x:v>20060502-0349</x:v>
      </x:c>
      <x:c r="C568" s="13" t="s">
        <x:v>1978</x:v>
      </x:c>
      <x:c r="D568" s="13" t="s">
        <x:v>1533</x:v>
      </x:c>
      <x:c r="E568" s="13" t="s">
        <x:v>1568</x:v>
      </x:c>
      <x:c r="F568" s="13" t="s">
        <x:v>2171</x:v>
      </x:c>
      <x:c r="G568" s="13" t="s">
        <x:v>1289</x:v>
      </x:c>
      <x:c r="H568" s="13" t="str">
        <x:f>IFERROR(VLOOKUP(O568,'정보화기기 명부'!A$2:B$187,2,FALSE),"")</x:f>
        <x:v/>
      </x:c>
      <x:c r="I568" s="13"/>
      <x:c r="J568" s="13" t="s">
        <x:v>1751</x:v>
      </x:c>
      <x:c r="K568" s="13"/>
      <x:c r="L568" s="13">
        <x:v>20060502</x:v>
      </x:c>
      <x:c r="M568" s="13" t="s">
        <x:v>1807</x:v>
      </x:c>
      <x:c r="N568" s="13" t="s">
        <x:v>1965</x:v>
      </x:c>
      <x:c r="O568" s="13" t="s">
        <x:v>1313</x:v>
      </x:c>
      <x:c r="P568" s="202">
        <x:v>349</x:v>
      </x:c>
      <x:c r="Q568" s="13" t="s">
        <x:v>572</x:v>
      </x:c>
      <x:c r="R568" s="13" t="s">
        <x:v>1769</x:v>
      </x:c>
      <x:c r="S568" s="13" t="s">
        <x:v>1780</x:v>
      </x:c>
      <x:c r="T568" s="13" t="s">
        <x:v>1766</x:v>
      </x:c>
      <x:c r="U568" s="13"/>
      <x:c r="V568" s="13" t="s">
        <x:v>1746</x:v>
      </x:c>
    </x:row>
    <x:row r="569" spans="1:22" s="14" customFormat="1" ht="13.5" customHeight="1">
      <x:c r="A569" s="13"/>
      <x:c r="B569" s="25" t="str">
        <x:f>L569&amp;"-"&amp;TEXT(P569,"0000")</x:f>
        <x:v>20060502-0348</x:v>
      </x:c>
      <x:c r="C569" s="13" t="s">
        <x:v>1978</x:v>
      </x:c>
      <x:c r="D569" s="13" t="s">
        <x:v>1533</x:v>
      </x:c>
      <x:c r="E569" s="13" t="s">
        <x:v>1568</x:v>
      </x:c>
      <x:c r="F569" s="13" t="s">
        <x:v>2171</x:v>
      </x:c>
      <x:c r="G569" s="13" t="s">
        <x:v>1289</x:v>
      </x:c>
      <x:c r="H569" s="13" t="str">
        <x:f>IFERROR(VLOOKUP(O569,'정보화기기 명부'!A$2:B$187,2,FALSE),"")</x:f>
        <x:v/>
      </x:c>
      <x:c r="I569" s="13"/>
      <x:c r="J569" s="13" t="s">
        <x:v>1751</x:v>
      </x:c>
      <x:c r="K569" s="13"/>
      <x:c r="L569" s="13">
        <x:v>20060502</x:v>
      </x:c>
      <x:c r="M569" s="13" t="s">
        <x:v>1807</x:v>
      </x:c>
      <x:c r="N569" s="13" t="s">
        <x:v>1965</x:v>
      </x:c>
      <x:c r="O569" s="13" t="s">
        <x:v>1313</x:v>
      </x:c>
      <x:c r="P569" s="202">
        <x:v>348</x:v>
      </x:c>
      <x:c r="Q569" s="13" t="s">
        <x:v>572</x:v>
      </x:c>
      <x:c r="R569" s="13" t="s">
        <x:v>1769</x:v>
      </x:c>
      <x:c r="S569" s="13" t="s">
        <x:v>1780</x:v>
      </x:c>
      <x:c r="T569" s="13" t="s">
        <x:v>1766</x:v>
      </x:c>
      <x:c r="U569" s="13"/>
      <x:c r="V569" s="13" t="s">
        <x:v>1746</x:v>
      </x:c>
    </x:row>
    <x:row r="570" spans="1:22" s="14" customFormat="1" ht="13.5" customHeight="1">
      <x:c r="A570" s="13"/>
      <x:c r="B570" s="25" t="str">
        <x:f>L570&amp;"-"&amp;TEXT(P570,"0000")</x:f>
        <x:v>20060502-0347</x:v>
      </x:c>
      <x:c r="C570" s="13" t="s">
        <x:v>1978</x:v>
      </x:c>
      <x:c r="D570" s="13" t="s">
        <x:v>1533</x:v>
      </x:c>
      <x:c r="E570" s="13" t="s">
        <x:v>1568</x:v>
      </x:c>
      <x:c r="F570" s="13" t="s">
        <x:v>2171</x:v>
      </x:c>
      <x:c r="G570" s="13" t="s">
        <x:v>1289</x:v>
      </x:c>
      <x:c r="H570" s="13" t="str">
        <x:f>IFERROR(VLOOKUP(O570,'정보화기기 명부'!A$2:B$187,2,FALSE),"")</x:f>
        <x:v/>
      </x:c>
      <x:c r="I570" s="13"/>
      <x:c r="J570" s="13" t="s">
        <x:v>1751</x:v>
      </x:c>
      <x:c r="K570" s="13"/>
      <x:c r="L570" s="13">
        <x:v>20060502</x:v>
      </x:c>
      <x:c r="M570" s="13" t="s">
        <x:v>1807</x:v>
      </x:c>
      <x:c r="N570" s="13" t="s">
        <x:v>1965</x:v>
      </x:c>
      <x:c r="O570" s="13" t="s">
        <x:v>1313</x:v>
      </x:c>
      <x:c r="P570" s="202">
        <x:v>347</x:v>
      </x:c>
      <x:c r="Q570" s="13" t="s">
        <x:v>572</x:v>
      </x:c>
      <x:c r="R570" s="13" t="s">
        <x:v>1769</x:v>
      </x:c>
      <x:c r="S570" s="13" t="s">
        <x:v>1780</x:v>
      </x:c>
      <x:c r="T570" s="13" t="s">
        <x:v>1766</x:v>
      </x:c>
      <x:c r="U570" s="13"/>
      <x:c r="V570" s="13" t="s">
        <x:v>1746</x:v>
      </x:c>
    </x:row>
    <x:row r="571" spans="1:22" s="14" customFormat="1" ht="13.5" customHeight="1">
      <x:c r="A571" s="13"/>
      <x:c r="B571" s="25" t="str">
        <x:f>L571&amp;"-"&amp;TEXT(P571,"0000")</x:f>
        <x:v>20060502-0346</x:v>
      </x:c>
      <x:c r="C571" s="13" t="s">
        <x:v>1978</x:v>
      </x:c>
      <x:c r="D571" s="13" t="s">
        <x:v>1533</x:v>
      </x:c>
      <x:c r="E571" s="13" t="s">
        <x:v>1568</x:v>
      </x:c>
      <x:c r="F571" s="13" t="s">
        <x:v>2171</x:v>
      </x:c>
      <x:c r="G571" s="13" t="s">
        <x:v>1289</x:v>
      </x:c>
      <x:c r="H571" s="13" t="str">
        <x:f>IFERROR(VLOOKUP(O571,'정보화기기 명부'!A$2:B$187,2,FALSE),"")</x:f>
        <x:v/>
      </x:c>
      <x:c r="I571" s="13"/>
      <x:c r="J571" s="13" t="s">
        <x:v>1751</x:v>
      </x:c>
      <x:c r="K571" s="13"/>
      <x:c r="L571" s="13">
        <x:v>20060502</x:v>
      </x:c>
      <x:c r="M571" s="13" t="s">
        <x:v>1807</x:v>
      </x:c>
      <x:c r="N571" s="13" t="s">
        <x:v>1965</x:v>
      </x:c>
      <x:c r="O571" s="13" t="s">
        <x:v>1313</x:v>
      </x:c>
      <x:c r="P571" s="202">
        <x:v>346</x:v>
      </x:c>
      <x:c r="Q571" s="13" t="s">
        <x:v>572</x:v>
      </x:c>
      <x:c r="R571" s="13" t="s">
        <x:v>1769</x:v>
      </x:c>
      <x:c r="S571" s="13" t="s">
        <x:v>1780</x:v>
      </x:c>
      <x:c r="T571" s="13" t="s">
        <x:v>1766</x:v>
      </x:c>
      <x:c r="U571" s="13"/>
      <x:c r="V571" s="13" t="s">
        <x:v>1746</x:v>
      </x:c>
    </x:row>
    <x:row r="572" spans="1:22" s="14" customFormat="1" ht="13.5" customHeight="1">
      <x:c r="A572" s="13"/>
      <x:c r="B572" s="25" t="str">
        <x:f>L572&amp;"-"&amp;TEXT(P572,"0000")</x:f>
        <x:v>20060502-0345</x:v>
      </x:c>
      <x:c r="C572" s="13" t="s">
        <x:v>1978</x:v>
      </x:c>
      <x:c r="D572" s="13" t="s">
        <x:v>1533</x:v>
      </x:c>
      <x:c r="E572" s="13" t="s">
        <x:v>1568</x:v>
      </x:c>
      <x:c r="F572" s="13" t="s">
        <x:v>2171</x:v>
      </x:c>
      <x:c r="G572" s="13" t="s">
        <x:v>1289</x:v>
      </x:c>
      <x:c r="H572" s="13" t="str">
        <x:f>IFERROR(VLOOKUP(O572,'정보화기기 명부'!A$2:B$187,2,FALSE),"")</x:f>
        <x:v/>
      </x:c>
      <x:c r="I572" s="13"/>
      <x:c r="J572" s="13" t="s">
        <x:v>1751</x:v>
      </x:c>
      <x:c r="K572" s="13"/>
      <x:c r="L572" s="13">
        <x:v>20060502</x:v>
      </x:c>
      <x:c r="M572" s="13" t="s">
        <x:v>1807</x:v>
      </x:c>
      <x:c r="N572" s="13" t="s">
        <x:v>1965</x:v>
      </x:c>
      <x:c r="O572" s="13" t="s">
        <x:v>1313</x:v>
      </x:c>
      <x:c r="P572" s="202">
        <x:v>345</x:v>
      </x:c>
      <x:c r="Q572" s="13" t="s">
        <x:v>572</x:v>
      </x:c>
      <x:c r="R572" s="13" t="s">
        <x:v>1769</x:v>
      </x:c>
      <x:c r="S572" s="13" t="s">
        <x:v>1780</x:v>
      </x:c>
      <x:c r="T572" s="13" t="s">
        <x:v>1766</x:v>
      </x:c>
      <x:c r="U572" s="13"/>
      <x:c r="V572" s="13" t="s">
        <x:v>1746</x:v>
      </x:c>
    </x:row>
    <x:row r="573" spans="1:22" s="14" customFormat="1" ht="13.5" customHeight="1">
      <x:c r="A573" s="13"/>
      <x:c r="B573" s="25" t="str">
        <x:f>L573&amp;"-"&amp;TEXT(P573,"0000")</x:f>
        <x:v>20060502-0344</x:v>
      </x:c>
      <x:c r="C573" s="13" t="s">
        <x:v>1978</x:v>
      </x:c>
      <x:c r="D573" s="13" t="s">
        <x:v>1533</x:v>
      </x:c>
      <x:c r="E573" s="13" t="s">
        <x:v>1568</x:v>
      </x:c>
      <x:c r="F573" s="13" t="s">
        <x:v>2171</x:v>
      </x:c>
      <x:c r="G573" s="13" t="s">
        <x:v>1289</x:v>
      </x:c>
      <x:c r="H573" s="13" t="str">
        <x:f>IFERROR(VLOOKUP(O573,'정보화기기 명부'!A$2:B$187,2,FALSE),"")</x:f>
        <x:v/>
      </x:c>
      <x:c r="I573" s="13"/>
      <x:c r="J573" s="13" t="s">
        <x:v>1751</x:v>
      </x:c>
      <x:c r="K573" s="13"/>
      <x:c r="L573" s="13">
        <x:v>20060502</x:v>
      </x:c>
      <x:c r="M573" s="13" t="s">
        <x:v>1807</x:v>
      </x:c>
      <x:c r="N573" s="13" t="s">
        <x:v>1965</x:v>
      </x:c>
      <x:c r="O573" s="13" t="s">
        <x:v>1313</x:v>
      </x:c>
      <x:c r="P573" s="202">
        <x:v>344</x:v>
      </x:c>
      <x:c r="Q573" s="13" t="s">
        <x:v>572</x:v>
      </x:c>
      <x:c r="R573" s="13" t="s">
        <x:v>1769</x:v>
      </x:c>
      <x:c r="S573" s="13" t="s">
        <x:v>1780</x:v>
      </x:c>
      <x:c r="T573" s="13" t="s">
        <x:v>1766</x:v>
      </x:c>
      <x:c r="U573" s="13"/>
      <x:c r="V573" s="13" t="s">
        <x:v>1746</x:v>
      </x:c>
    </x:row>
    <x:row r="574" spans="1:22" s="14" customFormat="1" ht="13.5" customHeight="1">
      <x:c r="A574" s="13"/>
      <x:c r="B574" s="25" t="str">
        <x:f>L574&amp;"-"&amp;TEXT(P574,"0000")</x:f>
        <x:v>20060502-0343</x:v>
      </x:c>
      <x:c r="C574" s="13" t="s">
        <x:v>1978</x:v>
      </x:c>
      <x:c r="D574" s="13" t="s">
        <x:v>1533</x:v>
      </x:c>
      <x:c r="E574" s="13" t="s">
        <x:v>1568</x:v>
      </x:c>
      <x:c r="F574" s="13" t="s">
        <x:v>2171</x:v>
      </x:c>
      <x:c r="G574" s="13" t="s">
        <x:v>1289</x:v>
      </x:c>
      <x:c r="H574" s="13" t="str">
        <x:f>IFERROR(VLOOKUP(O574,'정보화기기 명부'!A$2:B$187,2,FALSE),"")</x:f>
        <x:v/>
      </x:c>
      <x:c r="I574" s="13"/>
      <x:c r="J574" s="13" t="s">
        <x:v>1751</x:v>
      </x:c>
      <x:c r="K574" s="13"/>
      <x:c r="L574" s="13">
        <x:v>20060502</x:v>
      </x:c>
      <x:c r="M574" s="13" t="s">
        <x:v>1807</x:v>
      </x:c>
      <x:c r="N574" s="13" t="s">
        <x:v>1965</x:v>
      </x:c>
      <x:c r="O574" s="13" t="s">
        <x:v>1313</x:v>
      </x:c>
      <x:c r="P574" s="202">
        <x:v>343</x:v>
      </x:c>
      <x:c r="Q574" s="13" t="s">
        <x:v>572</x:v>
      </x:c>
      <x:c r="R574" s="13" t="s">
        <x:v>1769</x:v>
      </x:c>
      <x:c r="S574" s="13" t="s">
        <x:v>1780</x:v>
      </x:c>
      <x:c r="T574" s="13" t="s">
        <x:v>1766</x:v>
      </x:c>
      <x:c r="U574" s="13"/>
      <x:c r="V574" s="13" t="s">
        <x:v>1746</x:v>
      </x:c>
    </x:row>
    <x:row r="575" spans="1:22" s="14" customFormat="1" ht="13.5" customHeight="1">
      <x:c r="A575" s="13"/>
      <x:c r="B575" s="25" t="str">
        <x:f>L575&amp;"-"&amp;TEXT(P575,"0000")</x:f>
        <x:v>20060502-0342</x:v>
      </x:c>
      <x:c r="C575" s="13" t="s">
        <x:v>1978</x:v>
      </x:c>
      <x:c r="D575" s="13" t="s">
        <x:v>1533</x:v>
      </x:c>
      <x:c r="E575" s="13" t="s">
        <x:v>1568</x:v>
      </x:c>
      <x:c r="F575" s="13" t="s">
        <x:v>2171</x:v>
      </x:c>
      <x:c r="G575" s="13" t="s">
        <x:v>1289</x:v>
      </x:c>
      <x:c r="H575" s="13" t="str">
        <x:f>IFERROR(VLOOKUP(O575,'정보화기기 명부'!A$2:B$187,2,FALSE),"")</x:f>
        <x:v/>
      </x:c>
      <x:c r="I575" s="13"/>
      <x:c r="J575" s="13" t="s">
        <x:v>1751</x:v>
      </x:c>
      <x:c r="K575" s="13"/>
      <x:c r="L575" s="13">
        <x:v>20060502</x:v>
      </x:c>
      <x:c r="M575" s="13" t="s">
        <x:v>1807</x:v>
      </x:c>
      <x:c r="N575" s="13" t="s">
        <x:v>1965</x:v>
      </x:c>
      <x:c r="O575" s="13" t="s">
        <x:v>1313</x:v>
      </x:c>
      <x:c r="P575" s="202">
        <x:v>342</x:v>
      </x:c>
      <x:c r="Q575" s="13" t="s">
        <x:v>572</x:v>
      </x:c>
      <x:c r="R575" s="13" t="s">
        <x:v>1769</x:v>
      </x:c>
      <x:c r="S575" s="13" t="s">
        <x:v>1780</x:v>
      </x:c>
      <x:c r="T575" s="13" t="s">
        <x:v>1766</x:v>
      </x:c>
      <x:c r="U575" s="13"/>
      <x:c r="V575" s="13" t="s">
        <x:v>1746</x:v>
      </x:c>
    </x:row>
    <x:row r="576" spans="1:22" s="14" customFormat="1" ht="13.5" customHeight="1">
      <x:c r="A576" s="13"/>
      <x:c r="B576" s="25" t="str">
        <x:f>L576&amp;"-"&amp;TEXT(P576,"0000")</x:f>
        <x:v>20060502-0341</x:v>
      </x:c>
      <x:c r="C576" s="13" t="s">
        <x:v>1978</x:v>
      </x:c>
      <x:c r="D576" s="13" t="s">
        <x:v>1533</x:v>
      </x:c>
      <x:c r="E576" s="13" t="s">
        <x:v>1568</x:v>
      </x:c>
      <x:c r="F576" s="13" t="s">
        <x:v>2171</x:v>
      </x:c>
      <x:c r="G576" s="13" t="s">
        <x:v>1289</x:v>
      </x:c>
      <x:c r="H576" s="13" t="str">
        <x:f>IFERROR(VLOOKUP(O576,'정보화기기 명부'!A$2:B$187,2,FALSE),"")</x:f>
        <x:v/>
      </x:c>
      <x:c r="I576" s="13"/>
      <x:c r="J576" s="13" t="s">
        <x:v>1751</x:v>
      </x:c>
      <x:c r="K576" s="13"/>
      <x:c r="L576" s="13">
        <x:v>20060502</x:v>
      </x:c>
      <x:c r="M576" s="13" t="s">
        <x:v>1807</x:v>
      </x:c>
      <x:c r="N576" s="13" t="s">
        <x:v>1965</x:v>
      </x:c>
      <x:c r="O576" s="13" t="s">
        <x:v>1313</x:v>
      </x:c>
      <x:c r="P576" s="202">
        <x:v>341</x:v>
      </x:c>
      <x:c r="Q576" s="13" t="s">
        <x:v>572</x:v>
      </x:c>
      <x:c r="R576" s="13" t="s">
        <x:v>1769</x:v>
      </x:c>
      <x:c r="S576" s="13" t="s">
        <x:v>1780</x:v>
      </x:c>
      <x:c r="T576" s="13" t="s">
        <x:v>1766</x:v>
      </x:c>
      <x:c r="U576" s="13"/>
      <x:c r="V576" s="13" t="s">
        <x:v>1746</x:v>
      </x:c>
    </x:row>
    <x:row r="577" spans="1:22" s="14" customFormat="1" ht="13.5" customHeight="1">
      <x:c r="A577" s="13"/>
      <x:c r="B577" s="25" t="str">
        <x:f>L577&amp;"-"&amp;TEXT(P577,"0000")</x:f>
        <x:v>20060502-0340</x:v>
      </x:c>
      <x:c r="C577" s="13" t="s">
        <x:v>1978</x:v>
      </x:c>
      <x:c r="D577" s="13" t="s">
        <x:v>1533</x:v>
      </x:c>
      <x:c r="E577" s="13" t="s">
        <x:v>1568</x:v>
      </x:c>
      <x:c r="F577" s="13" t="s">
        <x:v>2171</x:v>
      </x:c>
      <x:c r="G577" s="13" t="s">
        <x:v>1289</x:v>
      </x:c>
      <x:c r="H577" s="13" t="str">
        <x:f>IFERROR(VLOOKUP(O577,'정보화기기 명부'!A$2:B$187,2,FALSE),"")</x:f>
        <x:v/>
      </x:c>
      <x:c r="I577" s="13"/>
      <x:c r="J577" s="13" t="s">
        <x:v>1751</x:v>
      </x:c>
      <x:c r="K577" s="13"/>
      <x:c r="L577" s="13">
        <x:v>20060502</x:v>
      </x:c>
      <x:c r="M577" s="13" t="s">
        <x:v>1807</x:v>
      </x:c>
      <x:c r="N577" s="13" t="s">
        <x:v>1965</x:v>
      </x:c>
      <x:c r="O577" s="13" t="s">
        <x:v>1313</x:v>
      </x:c>
      <x:c r="P577" s="202">
        <x:v>340</x:v>
      </x:c>
      <x:c r="Q577" s="13" t="s">
        <x:v>572</x:v>
      </x:c>
      <x:c r="R577" s="13" t="s">
        <x:v>1769</x:v>
      </x:c>
      <x:c r="S577" s="13" t="s">
        <x:v>1780</x:v>
      </x:c>
      <x:c r="T577" s="13" t="s">
        <x:v>1766</x:v>
      </x:c>
      <x:c r="U577" s="13"/>
      <x:c r="V577" s="13" t="s">
        <x:v>1746</x:v>
      </x:c>
    </x:row>
    <x:row r="578" spans="1:22" s="14" customFormat="1" ht="13.5" customHeight="1">
      <x:c r="A578" s="13"/>
      <x:c r="B578" s="25" t="str">
        <x:f>L578&amp;"-"&amp;TEXT(P578,"0000")</x:f>
        <x:v>20060502-0339</x:v>
      </x:c>
      <x:c r="C578" s="13" t="s">
        <x:v>1978</x:v>
      </x:c>
      <x:c r="D578" s="13" t="s">
        <x:v>1533</x:v>
      </x:c>
      <x:c r="E578" s="13" t="s">
        <x:v>1568</x:v>
      </x:c>
      <x:c r="F578" s="13" t="s">
        <x:v>2171</x:v>
      </x:c>
      <x:c r="G578" s="13" t="s">
        <x:v>1289</x:v>
      </x:c>
      <x:c r="H578" s="13" t="str">
        <x:f>IFERROR(VLOOKUP(O578,'정보화기기 명부'!A$2:B$187,2,FALSE),"")</x:f>
        <x:v/>
      </x:c>
      <x:c r="I578" s="13"/>
      <x:c r="J578" s="13" t="s">
        <x:v>1751</x:v>
      </x:c>
      <x:c r="K578" s="13"/>
      <x:c r="L578" s="13">
        <x:v>20060502</x:v>
      </x:c>
      <x:c r="M578" s="13" t="s">
        <x:v>1807</x:v>
      </x:c>
      <x:c r="N578" s="13" t="s">
        <x:v>1965</x:v>
      </x:c>
      <x:c r="O578" s="13" t="s">
        <x:v>1313</x:v>
      </x:c>
      <x:c r="P578" s="202">
        <x:v>339</x:v>
      </x:c>
      <x:c r="Q578" s="13" t="s">
        <x:v>572</x:v>
      </x:c>
      <x:c r="R578" s="13" t="s">
        <x:v>1769</x:v>
      </x:c>
      <x:c r="S578" s="13" t="s">
        <x:v>1780</x:v>
      </x:c>
      <x:c r="T578" s="13" t="s">
        <x:v>1766</x:v>
      </x:c>
      <x:c r="U578" s="13"/>
      <x:c r="V578" s="13" t="s">
        <x:v>1746</x:v>
      </x:c>
    </x:row>
    <x:row r="579" spans="1:22" s="14" customFormat="1" ht="13.5" customHeight="1">
      <x:c r="A579" s="13"/>
      <x:c r="B579" s="25" t="str">
        <x:f>L579&amp;"-"&amp;TEXT(P579,"0000")</x:f>
        <x:v>20060502-0338</x:v>
      </x:c>
      <x:c r="C579" s="13" t="s">
        <x:v>1978</x:v>
      </x:c>
      <x:c r="D579" s="13" t="s">
        <x:v>1533</x:v>
      </x:c>
      <x:c r="E579" s="13" t="s">
        <x:v>1568</x:v>
      </x:c>
      <x:c r="F579" s="13" t="s">
        <x:v>2171</x:v>
      </x:c>
      <x:c r="G579" s="13" t="s">
        <x:v>1289</x:v>
      </x:c>
      <x:c r="H579" s="13" t="str">
        <x:f>IFERROR(VLOOKUP(O579,'정보화기기 명부'!A$2:B$187,2,FALSE),"")</x:f>
        <x:v/>
      </x:c>
      <x:c r="I579" s="13"/>
      <x:c r="J579" s="13" t="s">
        <x:v>1751</x:v>
      </x:c>
      <x:c r="K579" s="13"/>
      <x:c r="L579" s="13">
        <x:v>20060502</x:v>
      </x:c>
      <x:c r="M579" s="13" t="s">
        <x:v>1807</x:v>
      </x:c>
      <x:c r="N579" s="13" t="s">
        <x:v>1965</x:v>
      </x:c>
      <x:c r="O579" s="13" t="s">
        <x:v>1530</x:v>
      </x:c>
      <x:c r="P579" s="202">
        <x:v>338</x:v>
      </x:c>
      <x:c r="Q579" s="13" t="s">
        <x:v>572</x:v>
      </x:c>
      <x:c r="R579" s="13" t="s">
        <x:v>1769</x:v>
      </x:c>
      <x:c r="S579" s="13" t="s">
        <x:v>1780</x:v>
      </x:c>
      <x:c r="T579" s="13" t="s">
        <x:v>1766</x:v>
      </x:c>
      <x:c r="U579" s="13"/>
      <x:c r="V579" s="13" t="s">
        <x:v>1746</x:v>
      </x:c>
    </x:row>
    <x:row r="580" spans="1:22" s="14" customFormat="1" ht="13.5" customHeight="1">
      <x:c r="A580" s="13"/>
      <x:c r="B580" s="25" t="str">
        <x:f>L580&amp;"-"&amp;TEXT(P580,"0000")</x:f>
        <x:v>20060502-0337</x:v>
      </x:c>
      <x:c r="C580" s="13" t="s">
        <x:v>1978</x:v>
      </x:c>
      <x:c r="D580" s="13" t="s">
        <x:v>1533</x:v>
      </x:c>
      <x:c r="E580" s="13" t="s">
        <x:v>1568</x:v>
      </x:c>
      <x:c r="F580" s="13" t="s">
        <x:v>2171</x:v>
      </x:c>
      <x:c r="G580" s="13" t="s">
        <x:v>1289</x:v>
      </x:c>
      <x:c r="H580" s="13" t="str">
        <x:f>IFERROR(VLOOKUP(O580,'정보화기기 명부'!A$2:B$187,2,FALSE),"")</x:f>
        <x:v/>
      </x:c>
      <x:c r="I580" s="13"/>
      <x:c r="J580" s="13" t="s">
        <x:v>1751</x:v>
      </x:c>
      <x:c r="K580" s="13"/>
      <x:c r="L580" s="13">
        <x:v>20060502</x:v>
      </x:c>
      <x:c r="M580" s="13" t="s">
        <x:v>1807</x:v>
      </x:c>
      <x:c r="N580" s="13" t="s">
        <x:v>1965</x:v>
      </x:c>
      <x:c r="O580" s="13" t="s">
        <x:v>1313</x:v>
      </x:c>
      <x:c r="P580" s="202">
        <x:v>337</x:v>
      </x:c>
      <x:c r="Q580" s="13" t="s">
        <x:v>572</x:v>
      </x:c>
      <x:c r="R580" s="13" t="s">
        <x:v>1769</x:v>
      </x:c>
      <x:c r="S580" s="13" t="s">
        <x:v>1780</x:v>
      </x:c>
      <x:c r="T580" s="13" t="s">
        <x:v>1766</x:v>
      </x:c>
      <x:c r="U580" s="13"/>
      <x:c r="V580" s="13" t="s">
        <x:v>1746</x:v>
      </x:c>
    </x:row>
    <x:row r="581" spans="1:22" s="14" customFormat="1" ht="13.5" customHeight="1">
      <x:c r="A581" s="13"/>
      <x:c r="B581" s="25" t="str">
        <x:f>L581&amp;"-"&amp;TEXT(P581,"0000")</x:f>
        <x:v>20060502-0336</x:v>
      </x:c>
      <x:c r="C581" s="13" t="s">
        <x:v>1978</x:v>
      </x:c>
      <x:c r="D581" s="13" t="s">
        <x:v>1533</x:v>
      </x:c>
      <x:c r="E581" s="13" t="s">
        <x:v>1568</x:v>
      </x:c>
      <x:c r="F581" s="13" t="s">
        <x:v>2171</x:v>
      </x:c>
      <x:c r="G581" s="13" t="s">
        <x:v>1289</x:v>
      </x:c>
      <x:c r="H581" s="13" t="str">
        <x:f>IFERROR(VLOOKUP(O581,'정보화기기 명부'!A$2:B$187,2,FALSE),"")</x:f>
        <x:v/>
      </x:c>
      <x:c r="I581" s="13"/>
      <x:c r="J581" s="13" t="s">
        <x:v>1751</x:v>
      </x:c>
      <x:c r="K581" s="13"/>
      <x:c r="L581" s="13">
        <x:v>20060502</x:v>
      </x:c>
      <x:c r="M581" s="13" t="s">
        <x:v>1807</x:v>
      </x:c>
      <x:c r="N581" s="13" t="s">
        <x:v>1965</x:v>
      </x:c>
      <x:c r="O581" s="13" t="s">
        <x:v>1313</x:v>
      </x:c>
      <x:c r="P581" s="202">
        <x:v>336</x:v>
      </x:c>
      <x:c r="Q581" s="13" t="s">
        <x:v>572</x:v>
      </x:c>
      <x:c r="R581" s="13" t="s">
        <x:v>1769</x:v>
      </x:c>
      <x:c r="S581" s="13" t="s">
        <x:v>1780</x:v>
      </x:c>
      <x:c r="T581" s="13" t="s">
        <x:v>1766</x:v>
      </x:c>
      <x:c r="U581" s="13"/>
      <x:c r="V581" s="13" t="s">
        <x:v>1746</x:v>
      </x:c>
    </x:row>
    <x:row r="582" spans="1:22" s="14" customFormat="1" ht="13.5" customHeight="1">
      <x:c r="A582" s="13"/>
      <x:c r="B582" s="25" t="str">
        <x:f>L582&amp;"-"&amp;TEXT(P582,"0000")</x:f>
        <x:v>20060502-0335</x:v>
      </x:c>
      <x:c r="C582" s="13" t="s">
        <x:v>1978</x:v>
      </x:c>
      <x:c r="D582" s="13" t="s">
        <x:v>1533</x:v>
      </x:c>
      <x:c r="E582" s="13" t="s">
        <x:v>1568</x:v>
      </x:c>
      <x:c r="F582" s="13" t="s">
        <x:v>2171</x:v>
      </x:c>
      <x:c r="G582" s="13" t="s">
        <x:v>1289</x:v>
      </x:c>
      <x:c r="H582" s="13" t="str">
        <x:f>IFERROR(VLOOKUP(O582,'정보화기기 명부'!A$2:B$187,2,FALSE),"")</x:f>
        <x:v/>
      </x:c>
      <x:c r="I582" s="13"/>
      <x:c r="J582" s="13" t="s">
        <x:v>1751</x:v>
      </x:c>
      <x:c r="K582" s="13"/>
      <x:c r="L582" s="13">
        <x:v>20060502</x:v>
      </x:c>
      <x:c r="M582" s="13" t="s">
        <x:v>1807</x:v>
      </x:c>
      <x:c r="N582" s="13" t="s">
        <x:v>1965</x:v>
      </x:c>
      <x:c r="O582" s="13" t="s">
        <x:v>1313</x:v>
      </x:c>
      <x:c r="P582" s="202">
        <x:v>335</x:v>
      </x:c>
      <x:c r="Q582" s="13" t="s">
        <x:v>572</x:v>
      </x:c>
      <x:c r="R582" s="13" t="s">
        <x:v>1769</x:v>
      </x:c>
      <x:c r="S582" s="13" t="s">
        <x:v>1780</x:v>
      </x:c>
      <x:c r="T582" s="13" t="s">
        <x:v>1766</x:v>
      </x:c>
      <x:c r="U582" s="13"/>
      <x:c r="V582" s="13" t="s">
        <x:v>1746</x:v>
      </x:c>
    </x:row>
    <x:row r="583" spans="1:22" s="14" customFormat="1" ht="13.5" customHeight="1">
      <x:c r="A583" s="13"/>
      <x:c r="B583" s="25" t="str">
        <x:f>L583&amp;"-"&amp;TEXT(P583,"0000")</x:f>
        <x:v>20060502-0334</x:v>
      </x:c>
      <x:c r="C583" s="13" t="s">
        <x:v>1978</x:v>
      </x:c>
      <x:c r="D583" s="13" t="s">
        <x:v>1533</x:v>
      </x:c>
      <x:c r="E583" s="13" t="s">
        <x:v>1568</x:v>
      </x:c>
      <x:c r="F583" s="13" t="s">
        <x:v>2171</x:v>
      </x:c>
      <x:c r="G583" s="13" t="s">
        <x:v>1289</x:v>
      </x:c>
      <x:c r="H583" s="13" t="str">
        <x:f>IFERROR(VLOOKUP(O583,'정보화기기 명부'!A$2:B$187,2,FALSE),"")</x:f>
        <x:v/>
      </x:c>
      <x:c r="I583" s="13"/>
      <x:c r="J583" s="13" t="s">
        <x:v>1751</x:v>
      </x:c>
      <x:c r="K583" s="13"/>
      <x:c r="L583" s="13">
        <x:v>20060502</x:v>
      </x:c>
      <x:c r="M583" s="13" t="s">
        <x:v>1807</x:v>
      </x:c>
      <x:c r="N583" s="13" t="s">
        <x:v>1965</x:v>
      </x:c>
      <x:c r="O583" s="13" t="s">
        <x:v>1313</x:v>
      </x:c>
      <x:c r="P583" s="202">
        <x:v>334</x:v>
      </x:c>
      <x:c r="Q583" s="13" t="s">
        <x:v>572</x:v>
      </x:c>
      <x:c r="R583" s="13" t="s">
        <x:v>1769</x:v>
      </x:c>
      <x:c r="S583" s="13" t="s">
        <x:v>1780</x:v>
      </x:c>
      <x:c r="T583" s="13" t="s">
        <x:v>1766</x:v>
      </x:c>
      <x:c r="U583" s="13"/>
      <x:c r="V583" s="13" t="s">
        <x:v>1746</x:v>
      </x:c>
    </x:row>
    <x:row r="584" spans="1:22" s="14" customFormat="1" ht="13.5" customHeight="1">
      <x:c r="A584" s="13" t="str">
        <x:f>O584</x:f>
        <x:v>이혜숙</x:v>
      </x:c>
      <x:c r="B584" s="25" t="str">
        <x:f>L584&amp;"-"&amp;TEXT(P584,"0000")</x:f>
        <x:v>20060411-0380</x:v>
      </x:c>
      <x:c r="C584" s="13" t="s">
        <x:v>1978</x:v>
      </x:c>
      <x:c r="D584" s="13" t="s">
        <x:v>1533</x:v>
      </x:c>
      <x:c r="E584" s="13" t="s">
        <x:v>1543</x:v>
      </x:c>
      <x:c r="F584" s="13" t="s">
        <x:v>2204</x:v>
      </x:c>
      <x:c r="G584" s="13" t="s">
        <x:v>1289</x:v>
      </x:c>
      <x:c r="H584" s="13" t="str">
        <x:f>IFERROR(VLOOKUP(O584,'정보화기기 명부'!A$2:B$187,2,FALSE),"")</x:f>
        <x:v/>
      </x:c>
      <x:c r="I584" s="13"/>
      <x:c r="J584" s="13"/>
      <x:c r="K584" s="13"/>
      <x:c r="L584" s="13">
        <x:v>20060411</x:v>
      </x:c>
      <x:c r="M584" s="13" t="s">
        <x:v>1807</x:v>
      </x:c>
      <x:c r="N584" s="13" t="s">
        <x:v>1965</x:v>
      </x:c>
      <x:c r="O584" s="13" t="s">
        <x:v>1300</x:v>
      </x:c>
      <x:c r="P584" s="202">
        <x:v>380</x:v>
      </x:c>
      <x:c r="Q584" s="13" t="s">
        <x:v>572</x:v>
      </x:c>
      <x:c r="R584" s="13" t="s">
        <x:v>1769</x:v>
      </x:c>
      <x:c r="S584" s="13" t="s">
        <x:v>1723</x:v>
      </x:c>
      <x:c r="T584" s="13" t="s">
        <x:v>1766</x:v>
      </x:c>
      <x:c r="U584" s="13"/>
      <x:c r="V584" s="13" t="s">
        <x:v>1746</x:v>
      </x:c>
    </x:row>
    <x:row r="585" spans="1:22" s="14" customFormat="1" ht="13.5" customHeight="1">
      <x:c r="A585" s="13" t="str">
        <x:f>O585</x:f>
        <x:v>교사</x:v>
      </x:c>
      <x:c r="B585" s="25" t="str">
        <x:f>L585&amp;"-"&amp;TEXT(P585,"0000")</x:f>
        <x:v>20051110-0263</x:v>
      </x:c>
      <x:c r="C585" s="13" t="s">
        <x:v>1978</x:v>
      </x:c>
      <x:c r="D585" s="13" t="s">
        <x:v>1533</x:v>
      </x:c>
      <x:c r="E585" s="13" t="s">
        <x:v>1543</x:v>
      </x:c>
      <x:c r="F585" s="13" t="s">
        <x:v>2171</x:v>
      </x:c>
      <x:c r="G585" s="13" t="s">
        <x:v>1289</x:v>
      </x:c>
      <x:c r="H585" s="13" t="str">
        <x:f>IFERROR(VLOOKUP(O585,'정보화기기 명부'!A$2:B$187,2,FALSE),"")</x:f>
        <x:v/>
      </x:c>
      <x:c r="I585" s="13"/>
      <x:c r="J585" s="13"/>
      <x:c r="K585" s="13"/>
      <x:c r="L585" s="13">
        <x:v>20051110</x:v>
      </x:c>
      <x:c r="M585" s="13" t="s">
        <x:v>614</x:v>
      </x:c>
      <x:c r="N585" s="13" t="s">
        <x:v>1965</x:v>
      </x:c>
      <x:c r="O585" s="13" t="s">
        <x:v>3147</x:v>
      </x:c>
      <x:c r="P585" s="202">
        <x:v>263</x:v>
      </x:c>
      <x:c r="Q585" s="13" t="s">
        <x:v>572</x:v>
      </x:c>
      <x:c r="R585" s="13" t="s">
        <x:v>1769</x:v>
      </x:c>
      <x:c r="S585" s="13" t="s">
        <x:v>1354</x:v>
      </x:c>
      <x:c r="T585" s="13" t="s">
        <x:v>1336</x:v>
      </x:c>
      <x:c r="U585" s="13"/>
      <x:c r="V585" s="13" t="s">
        <x:v>1746</x:v>
      </x:c>
    </x:row>
    <x:row r="586" spans="1:22" s="14" customFormat="1" ht="13.5" customHeight="1">
      <x:c r="A586" s="13" t="str">
        <x:f>O586</x:f>
        <x:v>박성일</x:v>
      </x:c>
      <x:c r="B586" s="25" t="str">
        <x:f>L586&amp;"-"&amp;TEXT(P586,"0000")</x:f>
        <x:v>20050930-0377</x:v>
      </x:c>
      <x:c r="C586" s="13" t="s">
        <x:v>1564</x:v>
      </x:c>
      <x:c r="D586" s="13" t="s">
        <x:v>1533</x:v>
      </x:c>
      <x:c r="E586" s="13" t="s">
        <x:v>1543</x:v>
      </x:c>
      <x:c r="F586" s="13" t="s">
        <x:v>1776</x:v>
      </x:c>
      <x:c r="G586" s="13" t="s">
        <x:v>1289</x:v>
      </x:c>
      <x:c r="H586" s="13" t="str">
        <x:f>IFERROR(VLOOKUP(O586,'정보화기기 명부'!A$2:B$187,2,FALSE),"")</x:f>
        <x:v/>
      </x:c>
      <x:c r="I586" s="13"/>
      <x:c r="J586" s="13"/>
      <x:c r="K586" s="13"/>
      <x:c r="L586" s="13">
        <x:v>20050930</x:v>
      </x:c>
      <x:c r="M586" s="13" t="s">
        <x:v>603</x:v>
      </x:c>
      <x:c r="N586" s="13" t="s">
        <x:v>1965</x:v>
      </x:c>
      <x:c r="O586" s="13" t="s">
        <x:v>1317</x:v>
      </x:c>
      <x:c r="P586" s="202">
        <x:v>377</x:v>
      </x:c>
      <x:c r="Q586" s="13" t="s">
        <x:v>572</x:v>
      </x:c>
      <x:c r="R586" s="13" t="s">
        <x:v>2049</x:v>
      </x:c>
      <x:c r="S586" s="13" t="s">
        <x:v>1354</x:v>
      </x:c>
      <x:c r="T586" s="13" t="s">
        <x:v>1356</x:v>
      </x:c>
      <x:c r="U586" s="13"/>
      <x:c r="V586" s="13" t="s">
        <x:v>797</x:v>
      </x:c>
    </x:row>
    <x:row r="587" spans="1:22" s="14" customFormat="1" ht="13.5" customHeight="1">
      <x:c r="A587" s="13" t="str">
        <x:f>O587</x:f>
        <x:v>이경규</x:v>
      </x:c>
      <x:c r="B587" s="25" t="str">
        <x:f>L587&amp;"-"&amp;TEXT(P587,"0000")</x:f>
        <x:v>20050730-0258</x:v>
      </x:c>
      <x:c r="C587" s="13" t="s">
        <x:v>1978</x:v>
      </x:c>
      <x:c r="D587" s="13" t="s">
        <x:v>1533</x:v>
      </x:c>
      <x:c r="E587" s="13" t="s">
        <x:v>1543</x:v>
      </x:c>
      <x:c r="F587" s="13" t="s">
        <x:v>513</x:v>
      </x:c>
      <x:c r="G587" s="13" t="s">
        <x:v>1289</x:v>
      </x:c>
      <x:c r="H587" s="13" t="str">
        <x:f>IFERROR(VLOOKUP(O587,'정보화기기 명부'!A$2:B$187,2,FALSE),"")</x:f>
        <x:v/>
      </x:c>
      <x:c r="I587" s="13"/>
      <x:c r="J587" s="13"/>
      <x:c r="K587" s="13"/>
      <x:c r="L587" s="13">
        <x:v>20050730</x:v>
      </x:c>
      <x:c r="M587" s="13" t="s">
        <x:v>1782</x:v>
      </x:c>
      <x:c r="N587" s="13" t="s">
        <x:v>2034</x:v>
      </x:c>
      <x:c r="O587" s="13" t="s">
        <x:v>1382</x:v>
      </x:c>
      <x:c r="P587" s="202">
        <x:v>258</x:v>
      </x:c>
      <x:c r="Q587" s="13" t="s">
        <x:v>572</x:v>
      </x:c>
      <x:c r="R587" s="13" t="s">
        <x:v>1769</x:v>
      </x:c>
      <x:c r="S587" s="13" t="s">
        <x:v>1301</x:v>
      </x:c>
      <x:c r="T587" s="13" t="s">
        <x:v>1293</x:v>
      </x:c>
      <x:c r="U587" s="13"/>
      <x:c r="V587" s="13" t="s">
        <x:v>1746</x:v>
      </x:c>
    </x:row>
    <x:row r="588" spans="1:22" s="14" customFormat="1" ht="13.5" customHeight="1">
      <x:c r="A588" s="13" t="str">
        <x:f>O588</x:f>
        <x:v>하은영</x:v>
      </x:c>
      <x:c r="B588" s="25" t="str">
        <x:f>L588&amp;"-"&amp;TEXT(P588,"0000")</x:f>
        <x:v>20050730-0256</x:v>
      </x:c>
      <x:c r="C588" s="13" t="s">
        <x:v>1978</x:v>
      </x:c>
      <x:c r="D588" s="13" t="s">
        <x:v>1533</x:v>
      </x:c>
      <x:c r="E588" s="13" t="s">
        <x:v>1543</x:v>
      </x:c>
      <x:c r="F588" s="13" t="s">
        <x:v>513</x:v>
      </x:c>
      <x:c r="G588" s="13" t="s">
        <x:v>1289</x:v>
      </x:c>
      <x:c r="H588" s="13" t="str">
        <x:f>IFERROR(VLOOKUP(O588,'정보화기기 명부'!A$2:B$187,2,FALSE),"")</x:f>
        <x:v/>
      </x:c>
      <x:c r="I588" s="13"/>
      <x:c r="J588" s="13"/>
      <x:c r="K588" s="13"/>
      <x:c r="L588" s="13">
        <x:v>20050730</x:v>
      </x:c>
      <x:c r="M588" s="13" t="s">
        <x:v>1782</x:v>
      </x:c>
      <x:c r="N588" s="13" t="s">
        <x:v>2034</x:v>
      </x:c>
      <x:c r="O588" s="13" t="s">
        <x:v>1328</x:v>
      </x:c>
      <x:c r="P588" s="202">
        <x:v>256</x:v>
      </x:c>
      <x:c r="Q588" s="13" t="s">
        <x:v>572</x:v>
      </x:c>
      <x:c r="R588" s="13" t="s">
        <x:v>1769</x:v>
      </x:c>
      <x:c r="S588" s="13" t="s">
        <x:v>1301</x:v>
      </x:c>
      <x:c r="T588" s="13" t="s">
        <x:v>1293</x:v>
      </x:c>
      <x:c r="U588" s="13"/>
      <x:c r="V588" s="13" t="s">
        <x:v>1746</x:v>
      </x:c>
    </x:row>
    <x:row r="589" spans="1:22" s="14" customFormat="1" ht="13.5" customHeight="1">
      <x:c r="A589" s="13"/>
      <x:c r="B589" s="25" t="str">
        <x:f>L589&amp;"-"&amp;TEXT(P589,"0000")</x:f>
        <x:v>20050730-0255</x:v>
      </x:c>
      <x:c r="C589" s="13" t="s">
        <x:v>1978</x:v>
      </x:c>
      <x:c r="D589" s="13" t="s">
        <x:v>1533</x:v>
      </x:c>
      <x:c r="E589" s="13" t="s">
        <x:v>1543</x:v>
      </x:c>
      <x:c r="F589" s="13" t="s">
        <x:v>513</x:v>
      </x:c>
      <x:c r="G589" s="13" t="s">
        <x:v>1289</x:v>
      </x:c>
      <x:c r="H589" s="13" t="str">
        <x:f>IFERROR(VLOOKUP(O589,'정보화기기 명부'!A$2:B$187,2,FALSE),"")</x:f>
        <x:v/>
      </x:c>
      <x:c r="I589" s="13"/>
      <x:c r="J589" s="13"/>
      <x:c r="K589" s="13"/>
      <x:c r="L589" s="13">
        <x:v>20050730</x:v>
      </x:c>
      <x:c r="M589" s="13" t="s">
        <x:v>1782</x:v>
      </x:c>
      <x:c r="N589" s="13" t="s">
        <x:v>2034</x:v>
      </x:c>
      <x:c r="O589" s="13" t="s">
        <x:v>3147</x:v>
      </x:c>
      <x:c r="P589" s="202">
        <x:v>255</x:v>
      </x:c>
      <x:c r="Q589" s="13" t="s">
        <x:v>572</x:v>
      </x:c>
      <x:c r="R589" s="13" t="s">
        <x:v>1769</x:v>
      </x:c>
      <x:c r="S589" s="13" t="s">
        <x:v>1301</x:v>
      </x:c>
      <x:c r="T589" s="13" t="s">
        <x:v>1293</x:v>
      </x:c>
      <x:c r="U589" s="13"/>
      <x:c r="V589" s="13" t="s">
        <x:v>1746</x:v>
      </x:c>
    </x:row>
    <x:row r="590" spans="1:22" s="14" customFormat="1" ht="13.5" customHeight="1">
      <x:c r="A590" s="13" t="str">
        <x:f>O590</x:f>
        <x:v>교사</x:v>
      </x:c>
      <x:c r="B590" s="25" t="str">
        <x:f>L590&amp;"-"&amp;TEXT(P590,"0000")</x:f>
        <x:v>20050728-0251</x:v>
      </x:c>
      <x:c r="C590" s="13" t="s">
        <x:v>1564</x:v>
      </x:c>
      <x:c r="D590" s="13" t="s">
        <x:v>1533</x:v>
      </x:c>
      <x:c r="E590" s="13" t="s">
        <x:v>1543</x:v>
      </x:c>
      <x:c r="F590" s="13" t="s">
        <x:v>1776</x:v>
      </x:c>
      <x:c r="G590" s="13" t="s">
        <x:v>1289</x:v>
      </x:c>
      <x:c r="H590" s="13" t="str">
        <x:f>IFERROR(VLOOKUP(O590,'정보화기기 명부'!A$2:B$187,2,FALSE),"")</x:f>
        <x:v/>
      </x:c>
      <x:c r="I590" s="13"/>
      <x:c r="J590" s="13"/>
      <x:c r="K590" s="13"/>
      <x:c r="L590" s="13">
        <x:v>20050728</x:v>
      </x:c>
      <x:c r="M590" s="13" t="s">
        <x:v>613</x:v>
      </x:c>
      <x:c r="N590" s="13" t="s">
        <x:v>2034</x:v>
      </x:c>
      <x:c r="O590" s="13" t="s">
        <x:v>3147</x:v>
      </x:c>
      <x:c r="P590" s="202">
        <x:v>251</x:v>
      </x:c>
      <x:c r="Q590" s="13" t="s">
        <x:v>572</x:v>
      </x:c>
      <x:c r="R590" s="13" t="s">
        <x:v>2049</x:v>
      </x:c>
      <x:c r="S590" s="13" t="s">
        <x:v>1354</x:v>
      </x:c>
      <x:c r="T590" s="13" t="s">
        <x:v>1356</x:v>
      </x:c>
      <x:c r="U590" s="13"/>
      <x:c r="V590" s="13" t="s">
        <x:v>797</x:v>
      </x:c>
    </x:row>
    <x:row r="591" spans="1:22" s="14" customFormat="1" ht="13.5" customHeight="1">
      <x:c r="A591" s="13" t="str">
        <x:f>O591</x:f>
        <x:v>교사</x:v>
      </x:c>
      <x:c r="B591" s="25" t="str">
        <x:f>L591&amp;"-"&amp;TEXT(P591,"0000")</x:f>
        <x:v>20050728-0273</x:v>
      </x:c>
      <x:c r="C591" s="13" t="s">
        <x:v>1564</x:v>
      </x:c>
      <x:c r="D591" s="13" t="s">
        <x:v>1533</x:v>
      </x:c>
      <x:c r="E591" s="13" t="s">
        <x:v>1543</x:v>
      </x:c>
      <x:c r="F591" s="13" t="s">
        <x:v>1776</x:v>
      </x:c>
      <x:c r="G591" s="13" t="s">
        <x:v>1289</x:v>
      </x:c>
      <x:c r="H591" s="13" t="str">
        <x:f>IFERROR(VLOOKUP(O591,'정보화기기 명부'!A$2:B$187,2,FALSE),"")</x:f>
        <x:v/>
      </x:c>
      <x:c r="I591" s="13"/>
      <x:c r="J591" s="13"/>
      <x:c r="K591" s="13"/>
      <x:c r="L591" s="13">
        <x:v>20050728</x:v>
      </x:c>
      <x:c r="M591" s="13" t="s">
        <x:v>613</x:v>
      </x:c>
      <x:c r="N591" s="13" t="s">
        <x:v>2034</x:v>
      </x:c>
      <x:c r="O591" s="13" t="s">
        <x:v>3147</x:v>
      </x:c>
      <x:c r="P591" s="202">
        <x:v>273</x:v>
      </x:c>
      <x:c r="Q591" s="13" t="s">
        <x:v>572</x:v>
      </x:c>
      <x:c r="R591" s="13" t="s">
        <x:v>2049</x:v>
      </x:c>
      <x:c r="S591" s="13" t="s">
        <x:v>1354</x:v>
      </x:c>
      <x:c r="T591" s="13" t="s">
        <x:v>1356</x:v>
      </x:c>
      <x:c r="U591" s="13"/>
      <x:c r="V591" s="13" t="s">
        <x:v>797</x:v>
      </x:c>
    </x:row>
    <x:row r="592" spans="1:22" s="14" customFormat="1" ht="13.5" customHeight="1">
      <x:c r="A592" s="13" t="str">
        <x:f>O592</x:f>
        <x:v>교사</x:v>
      </x:c>
      <x:c r="B592" s="25" t="str">
        <x:f>L592&amp;"-"&amp;TEXT(P592,"0000")</x:f>
        <x:v>20050728-0274</x:v>
      </x:c>
      <x:c r="C592" s="13" t="s">
        <x:v>1564</x:v>
      </x:c>
      <x:c r="D592" s="13" t="s">
        <x:v>1533</x:v>
      </x:c>
      <x:c r="E592" s="13" t="s">
        <x:v>1543</x:v>
      </x:c>
      <x:c r="F592" s="13" t="s">
        <x:v>1776</x:v>
      </x:c>
      <x:c r="G592" s="13" t="s">
        <x:v>1289</x:v>
      </x:c>
      <x:c r="H592" s="13" t="str">
        <x:f>IFERROR(VLOOKUP(O592,'정보화기기 명부'!A$2:B$187,2,FALSE),"")</x:f>
        <x:v/>
      </x:c>
      <x:c r="I592" s="13"/>
      <x:c r="J592" s="13"/>
      <x:c r="K592" s="13"/>
      <x:c r="L592" s="13">
        <x:v>20050728</x:v>
      </x:c>
      <x:c r="M592" s="13" t="s">
        <x:v>613</x:v>
      </x:c>
      <x:c r="N592" s="13" t="s">
        <x:v>2034</x:v>
      </x:c>
      <x:c r="O592" s="13" t="s">
        <x:v>3147</x:v>
      </x:c>
      <x:c r="P592" s="202">
        <x:v>274</x:v>
      </x:c>
      <x:c r="Q592" s="13" t="s">
        <x:v>572</x:v>
      </x:c>
      <x:c r="R592" s="13" t="s">
        <x:v>2049</x:v>
      </x:c>
      <x:c r="S592" s="13" t="s">
        <x:v>1354</x:v>
      </x:c>
      <x:c r="T592" s="13" t="s">
        <x:v>1356</x:v>
      </x:c>
      <x:c r="U592" s="13"/>
      <x:c r="V592" s="13" t="s">
        <x:v>797</x:v>
      </x:c>
    </x:row>
    <x:row r="593" spans="1:22" s="14" customFormat="1" ht="13.5" customHeight="1">
      <x:c r="A593" s="13" t="str">
        <x:f>O593</x:f>
        <x:v>교사</x:v>
      </x:c>
      <x:c r="B593" s="25" t="str">
        <x:f>L593&amp;"-"&amp;TEXT(P593,"0000")</x:f>
        <x:v>20050728-0275</x:v>
      </x:c>
      <x:c r="C593" s="13" t="s">
        <x:v>1564</x:v>
      </x:c>
      <x:c r="D593" s="13" t="s">
        <x:v>1533</x:v>
      </x:c>
      <x:c r="E593" s="13" t="s">
        <x:v>1543</x:v>
      </x:c>
      <x:c r="F593" s="13" t="s">
        <x:v>1776</x:v>
      </x:c>
      <x:c r="G593" s="13" t="s">
        <x:v>1289</x:v>
      </x:c>
      <x:c r="H593" s="13" t="str">
        <x:f>IFERROR(VLOOKUP(O593,'정보화기기 명부'!A$2:B$187,2,FALSE),"")</x:f>
        <x:v/>
      </x:c>
      <x:c r="I593" s="13"/>
      <x:c r="J593" s="13"/>
      <x:c r="K593" s="13"/>
      <x:c r="L593" s="13">
        <x:v>20050728</x:v>
      </x:c>
      <x:c r="M593" s="13" t="s">
        <x:v>613</x:v>
      </x:c>
      <x:c r="N593" s="13" t="s">
        <x:v>2034</x:v>
      </x:c>
      <x:c r="O593" s="13" t="s">
        <x:v>3147</x:v>
      </x:c>
      <x:c r="P593" s="202">
        <x:v>275</x:v>
      </x:c>
      <x:c r="Q593" s="13" t="s">
        <x:v>572</x:v>
      </x:c>
      <x:c r="R593" s="13" t="s">
        <x:v>2049</x:v>
      </x:c>
      <x:c r="S593" s="13" t="s">
        <x:v>1354</x:v>
      </x:c>
      <x:c r="T593" s="13" t="s">
        <x:v>1356</x:v>
      </x:c>
      <x:c r="U593" s="13"/>
      <x:c r="V593" s="13" t="s">
        <x:v>797</x:v>
      </x:c>
    </x:row>
    <x:row r="594" spans="1:22" s="14" customFormat="1" ht="13.5" customHeight="1">
      <x:c r="A594" s="13" t="str">
        <x:f>O594</x:f>
        <x:v>교사</x:v>
      </x:c>
      <x:c r="B594" s="25" t="str">
        <x:f>L594&amp;"-"&amp;TEXT(P594,"0000")</x:f>
        <x:v>20050728-0276</x:v>
      </x:c>
      <x:c r="C594" s="13" t="s">
        <x:v>1564</x:v>
      </x:c>
      <x:c r="D594" s="13" t="s">
        <x:v>1533</x:v>
      </x:c>
      <x:c r="E594" s="13" t="s">
        <x:v>1543</x:v>
      </x:c>
      <x:c r="F594" s="13" t="s">
        <x:v>1776</x:v>
      </x:c>
      <x:c r="G594" s="13" t="s">
        <x:v>1289</x:v>
      </x:c>
      <x:c r="H594" s="13" t="str">
        <x:f>IFERROR(VLOOKUP(O594,'정보화기기 명부'!A$2:B$187,2,FALSE),"")</x:f>
        <x:v/>
      </x:c>
      <x:c r="I594" s="13"/>
      <x:c r="J594" s="13"/>
      <x:c r="K594" s="13"/>
      <x:c r="L594" s="13">
        <x:v>20050728</x:v>
      </x:c>
      <x:c r="M594" s="13" t="s">
        <x:v>613</x:v>
      </x:c>
      <x:c r="N594" s="13" t="s">
        <x:v>2034</x:v>
      </x:c>
      <x:c r="O594" s="13" t="s">
        <x:v>3147</x:v>
      </x:c>
      <x:c r="P594" s="202">
        <x:v>276</x:v>
      </x:c>
      <x:c r="Q594" s="13" t="s">
        <x:v>572</x:v>
      </x:c>
      <x:c r="R594" s="13" t="s">
        <x:v>2049</x:v>
      </x:c>
      <x:c r="S594" s="13" t="s">
        <x:v>1354</x:v>
      </x:c>
      <x:c r="T594" s="13" t="s">
        <x:v>1356</x:v>
      </x:c>
      <x:c r="U594" s="13"/>
      <x:c r="V594" s="13" t="s">
        <x:v>797</x:v>
      </x:c>
    </x:row>
    <x:row r="595" spans="1:22" s="14" customFormat="1" ht="13.5" customHeight="1">
      <x:c r="A595" s="13" t="str">
        <x:f>O595</x:f>
        <x:v>교사</x:v>
      </x:c>
      <x:c r="B595" s="25" t="str">
        <x:f>L595&amp;"-"&amp;TEXT(P595,"0000")</x:f>
        <x:v>20050728-0277</x:v>
      </x:c>
      <x:c r="C595" s="13" t="s">
        <x:v>1564</x:v>
      </x:c>
      <x:c r="D595" s="13" t="s">
        <x:v>1533</x:v>
      </x:c>
      <x:c r="E595" s="13" t="s">
        <x:v>1543</x:v>
      </x:c>
      <x:c r="F595" s="13" t="s">
        <x:v>1776</x:v>
      </x:c>
      <x:c r="G595" s="13" t="s">
        <x:v>1289</x:v>
      </x:c>
      <x:c r="H595" s="13" t="str">
        <x:f>IFERROR(VLOOKUP(O595,'정보화기기 명부'!A$2:B$187,2,FALSE),"")</x:f>
        <x:v/>
      </x:c>
      <x:c r="I595" s="13"/>
      <x:c r="J595" s="13"/>
      <x:c r="K595" s="13"/>
      <x:c r="L595" s="13">
        <x:v>20050728</x:v>
      </x:c>
      <x:c r="M595" s="13" t="s">
        <x:v>613</x:v>
      </x:c>
      <x:c r="N595" s="13" t="s">
        <x:v>2034</x:v>
      </x:c>
      <x:c r="O595" s="13" t="s">
        <x:v>3147</x:v>
      </x:c>
      <x:c r="P595" s="202">
        <x:v>277</x:v>
      </x:c>
      <x:c r="Q595" s="13" t="s">
        <x:v>572</x:v>
      </x:c>
      <x:c r="R595" s="13" t="s">
        <x:v>2049</x:v>
      </x:c>
      <x:c r="S595" s="13" t="s">
        <x:v>1354</x:v>
      </x:c>
      <x:c r="T595" s="13" t="s">
        <x:v>1356</x:v>
      </x:c>
      <x:c r="U595" s="13"/>
      <x:c r="V595" s="13" t="s">
        <x:v>797</x:v>
      </x:c>
    </x:row>
    <x:row r="596" spans="1:22" s="14" customFormat="1" ht="13.5" customHeight="1">
      <x:c r="A596" s="13" t="str">
        <x:f>O596</x:f>
        <x:v>교사</x:v>
      </x:c>
      <x:c r="B596" s="25" t="str">
        <x:f>L596&amp;"-"&amp;TEXT(P596,"0000")</x:f>
        <x:v>20050728-0278</x:v>
      </x:c>
      <x:c r="C596" s="13" t="s">
        <x:v>1564</x:v>
      </x:c>
      <x:c r="D596" s="13" t="s">
        <x:v>1533</x:v>
      </x:c>
      <x:c r="E596" s="13" t="s">
        <x:v>1543</x:v>
      </x:c>
      <x:c r="F596" s="13" t="s">
        <x:v>1776</x:v>
      </x:c>
      <x:c r="G596" s="13" t="s">
        <x:v>1289</x:v>
      </x:c>
      <x:c r="H596" s="13" t="str">
        <x:f>IFERROR(VLOOKUP(O596,'정보화기기 명부'!A$2:B$187,2,FALSE),"")</x:f>
        <x:v/>
      </x:c>
      <x:c r="I596" s="13"/>
      <x:c r="J596" s="13"/>
      <x:c r="K596" s="13"/>
      <x:c r="L596" s="13">
        <x:v>20050728</x:v>
      </x:c>
      <x:c r="M596" s="13" t="s">
        <x:v>613</x:v>
      </x:c>
      <x:c r="N596" s="13" t="s">
        <x:v>2034</x:v>
      </x:c>
      <x:c r="O596" s="13" t="s">
        <x:v>3147</x:v>
      </x:c>
      <x:c r="P596" s="202">
        <x:v>278</x:v>
      </x:c>
      <x:c r="Q596" s="13" t="s">
        <x:v>572</x:v>
      </x:c>
      <x:c r="R596" s="13" t="s">
        <x:v>2049</x:v>
      </x:c>
      <x:c r="S596" s="13" t="s">
        <x:v>1354</x:v>
      </x:c>
      <x:c r="T596" s="13" t="s">
        <x:v>1356</x:v>
      </x:c>
      <x:c r="U596" s="13"/>
      <x:c r="V596" s="13" t="s">
        <x:v>797</x:v>
      </x:c>
    </x:row>
    <x:row r="597" spans="1:22" s="14" customFormat="1" ht="13.5" customHeight="1">
      <x:c r="A597" s="13" t="str">
        <x:f>O597</x:f>
        <x:v>교사</x:v>
      </x:c>
      <x:c r="B597" s="25" t="str">
        <x:f>L597&amp;"-"&amp;TEXT(P597,"0000")</x:f>
        <x:v>20050728-0279</x:v>
      </x:c>
      <x:c r="C597" s="13" t="s">
        <x:v>1564</x:v>
      </x:c>
      <x:c r="D597" s="13" t="s">
        <x:v>1533</x:v>
      </x:c>
      <x:c r="E597" s="13" t="s">
        <x:v>1543</x:v>
      </x:c>
      <x:c r="F597" s="13" t="s">
        <x:v>1776</x:v>
      </x:c>
      <x:c r="G597" s="13" t="s">
        <x:v>1289</x:v>
      </x:c>
      <x:c r="H597" s="13" t="str">
        <x:f>IFERROR(VLOOKUP(O597,'정보화기기 명부'!A$2:B$187,2,FALSE),"")</x:f>
        <x:v/>
      </x:c>
      <x:c r="I597" s="13"/>
      <x:c r="J597" s="13"/>
      <x:c r="K597" s="13"/>
      <x:c r="L597" s="13">
        <x:v>20050728</x:v>
      </x:c>
      <x:c r="M597" s="13" t="s">
        <x:v>613</x:v>
      </x:c>
      <x:c r="N597" s="13" t="s">
        <x:v>2034</x:v>
      </x:c>
      <x:c r="O597" s="13" t="s">
        <x:v>3147</x:v>
      </x:c>
      <x:c r="P597" s="202">
        <x:v>279</x:v>
      </x:c>
      <x:c r="Q597" s="13" t="s">
        <x:v>572</x:v>
      </x:c>
      <x:c r="R597" s="13" t="s">
        <x:v>2049</x:v>
      </x:c>
      <x:c r="S597" s="13" t="s">
        <x:v>1354</x:v>
      </x:c>
      <x:c r="T597" s="13" t="s">
        <x:v>1356</x:v>
      </x:c>
      <x:c r="U597" s="13"/>
      <x:c r="V597" s="13" t="s">
        <x:v>797</x:v>
      </x:c>
    </x:row>
    <x:row r="598" spans="1:22" s="14" customFormat="1" ht="13.5" customHeight="1">
      <x:c r="A598" s="13" t="str">
        <x:f>O598</x:f>
        <x:v>교사</x:v>
      </x:c>
      <x:c r="B598" s="25" t="str">
        <x:f>L598&amp;"-"&amp;TEXT(P598,"0000")</x:f>
        <x:v>20050728-0280</x:v>
      </x:c>
      <x:c r="C598" s="13" t="s">
        <x:v>1564</x:v>
      </x:c>
      <x:c r="D598" s="13" t="s">
        <x:v>1533</x:v>
      </x:c>
      <x:c r="E598" s="13" t="s">
        <x:v>1543</x:v>
      </x:c>
      <x:c r="F598" s="13" t="s">
        <x:v>1776</x:v>
      </x:c>
      <x:c r="G598" s="13" t="s">
        <x:v>1289</x:v>
      </x:c>
      <x:c r="H598" s="13" t="str">
        <x:f>IFERROR(VLOOKUP(O598,'정보화기기 명부'!A$2:B$187,2,FALSE),"")</x:f>
        <x:v/>
      </x:c>
      <x:c r="I598" s="13"/>
      <x:c r="J598" s="13"/>
      <x:c r="K598" s="13"/>
      <x:c r="L598" s="13">
        <x:v>20050728</x:v>
      </x:c>
      <x:c r="M598" s="13" t="s">
        <x:v>613</x:v>
      </x:c>
      <x:c r="N598" s="13" t="s">
        <x:v>2034</x:v>
      </x:c>
      <x:c r="O598" s="13" t="s">
        <x:v>3147</x:v>
      </x:c>
      <x:c r="P598" s="202">
        <x:v>280</x:v>
      </x:c>
      <x:c r="Q598" s="13" t="s">
        <x:v>572</x:v>
      </x:c>
      <x:c r="R598" s="13" t="s">
        <x:v>2049</x:v>
      </x:c>
      <x:c r="S598" s="13" t="s">
        <x:v>1354</x:v>
      </x:c>
      <x:c r="T598" s="13" t="s">
        <x:v>1356</x:v>
      </x:c>
      <x:c r="U598" s="13"/>
      <x:c r="V598" s="13" t="s">
        <x:v>797</x:v>
      </x:c>
    </x:row>
    <x:row r="599" spans="1:22" s="14" customFormat="1" ht="13.5" customHeight="1">
      <x:c r="A599" s="13" t="str">
        <x:f>O599</x:f>
        <x:v>교사</x:v>
      </x:c>
      <x:c r="B599" s="25" t="str">
        <x:f>L599&amp;"-"&amp;TEXT(P599,"0000")</x:f>
        <x:v>20050728-0281</x:v>
      </x:c>
      <x:c r="C599" s="13" t="s">
        <x:v>1564</x:v>
      </x:c>
      <x:c r="D599" s="13" t="s">
        <x:v>1533</x:v>
      </x:c>
      <x:c r="E599" s="13" t="s">
        <x:v>1543</x:v>
      </x:c>
      <x:c r="F599" s="13" t="s">
        <x:v>1776</x:v>
      </x:c>
      <x:c r="G599" s="13" t="s">
        <x:v>1289</x:v>
      </x:c>
      <x:c r="H599" s="13" t="str">
        <x:f>IFERROR(VLOOKUP(O599,'정보화기기 명부'!A$2:B$187,2,FALSE),"")</x:f>
        <x:v/>
      </x:c>
      <x:c r="I599" s="13"/>
      <x:c r="J599" s="13"/>
      <x:c r="K599" s="13"/>
      <x:c r="L599" s="13">
        <x:v>20050728</x:v>
      </x:c>
      <x:c r="M599" s="13" t="s">
        <x:v>613</x:v>
      </x:c>
      <x:c r="N599" s="13" t="s">
        <x:v>2034</x:v>
      </x:c>
      <x:c r="O599" s="13" t="s">
        <x:v>3147</x:v>
      </x:c>
      <x:c r="P599" s="202">
        <x:v>281</x:v>
      </x:c>
      <x:c r="Q599" s="13" t="s">
        <x:v>572</x:v>
      </x:c>
      <x:c r="R599" s="13" t="s">
        <x:v>2049</x:v>
      </x:c>
      <x:c r="S599" s="13" t="s">
        <x:v>1354</x:v>
      </x:c>
      <x:c r="T599" s="13" t="s">
        <x:v>1356</x:v>
      </x:c>
      <x:c r="U599" s="13"/>
      <x:c r="V599" s="13" t="s">
        <x:v>797</x:v>
      </x:c>
    </x:row>
    <x:row r="600" spans="1:22" s="14" customFormat="1" ht="13.5" customHeight="1">
      <x:c r="A600" s="13" t="str">
        <x:f>O600</x:f>
        <x:v>교사</x:v>
      </x:c>
      <x:c r="B600" s="25" t="str">
        <x:f>L600&amp;"-"&amp;TEXT(P600,"0000")</x:f>
        <x:v>20050728-0282</x:v>
      </x:c>
      <x:c r="C600" s="13" t="s">
        <x:v>1564</x:v>
      </x:c>
      <x:c r="D600" s="13" t="s">
        <x:v>1533</x:v>
      </x:c>
      <x:c r="E600" s="13" t="s">
        <x:v>1543</x:v>
      </x:c>
      <x:c r="F600" s="13" t="s">
        <x:v>1776</x:v>
      </x:c>
      <x:c r="G600" s="13" t="s">
        <x:v>1289</x:v>
      </x:c>
      <x:c r="H600" s="13" t="str">
        <x:f>IFERROR(VLOOKUP(O600,'정보화기기 명부'!A$2:B$187,2,FALSE),"")</x:f>
        <x:v/>
      </x:c>
      <x:c r="I600" s="13"/>
      <x:c r="J600" s="13"/>
      <x:c r="K600" s="13"/>
      <x:c r="L600" s="13">
        <x:v>20050728</x:v>
      </x:c>
      <x:c r="M600" s="13" t="s">
        <x:v>613</x:v>
      </x:c>
      <x:c r="N600" s="13" t="s">
        <x:v>2034</x:v>
      </x:c>
      <x:c r="O600" s="13" t="s">
        <x:v>3147</x:v>
      </x:c>
      <x:c r="P600" s="202">
        <x:v>282</x:v>
      </x:c>
      <x:c r="Q600" s="13" t="s">
        <x:v>572</x:v>
      </x:c>
      <x:c r="R600" s="13" t="s">
        <x:v>2049</x:v>
      </x:c>
      <x:c r="S600" s="13" t="s">
        <x:v>1354</x:v>
      </x:c>
      <x:c r="T600" s="13" t="s">
        <x:v>1356</x:v>
      </x:c>
      <x:c r="U600" s="13"/>
      <x:c r="V600" s="13" t="s">
        <x:v>797</x:v>
      </x:c>
    </x:row>
    <x:row r="601" spans="1:22" s="14" customFormat="1" ht="13.5" customHeight="1">
      <x:c r="A601" s="13" t="str">
        <x:f>O601</x:f>
        <x:v>교사</x:v>
      </x:c>
      <x:c r="B601" s="25" t="str">
        <x:f>L601&amp;"-"&amp;TEXT(P601,"0000")</x:f>
        <x:v>20050728-0283</x:v>
      </x:c>
      <x:c r="C601" s="13" t="s">
        <x:v>1564</x:v>
      </x:c>
      <x:c r="D601" s="13" t="s">
        <x:v>1533</x:v>
      </x:c>
      <x:c r="E601" s="13" t="s">
        <x:v>1543</x:v>
      </x:c>
      <x:c r="F601" s="13" t="s">
        <x:v>1776</x:v>
      </x:c>
      <x:c r="G601" s="13" t="s">
        <x:v>1289</x:v>
      </x:c>
      <x:c r="H601" s="13" t="str">
        <x:f>IFERROR(VLOOKUP(O601,'정보화기기 명부'!A$2:B$187,2,FALSE),"")</x:f>
        <x:v/>
      </x:c>
      <x:c r="I601" s="13"/>
      <x:c r="J601" s="13"/>
      <x:c r="K601" s="13"/>
      <x:c r="L601" s="13">
        <x:v>20050728</x:v>
      </x:c>
      <x:c r="M601" s="13" t="s">
        <x:v>613</x:v>
      </x:c>
      <x:c r="N601" s="13" t="s">
        <x:v>2034</x:v>
      </x:c>
      <x:c r="O601" s="13" t="s">
        <x:v>3147</x:v>
      </x:c>
      <x:c r="P601" s="202">
        <x:v>283</x:v>
      </x:c>
      <x:c r="Q601" s="13" t="s">
        <x:v>572</x:v>
      </x:c>
      <x:c r="R601" s="13" t="s">
        <x:v>2049</x:v>
      </x:c>
      <x:c r="S601" s="13" t="s">
        <x:v>1354</x:v>
      </x:c>
      <x:c r="T601" s="13" t="s">
        <x:v>1356</x:v>
      </x:c>
      <x:c r="U601" s="13"/>
      <x:c r="V601" s="13" t="s">
        <x:v>797</x:v>
      </x:c>
    </x:row>
    <x:row r="602" spans="1:22" s="14" customFormat="1" ht="13.5" customHeight="1">
      <x:c r="A602" s="13" t="str">
        <x:f>O602</x:f>
        <x:v>학생14</x:v>
      </x:c>
      <x:c r="B602" s="25" t="str">
        <x:f>L602&amp;"-"&amp;TEXT(P602,"0000")</x:f>
        <x:v>20050717-0298</x:v>
      </x:c>
      <x:c r="C602" s="13" t="s">
        <x:v>1978</x:v>
      </x:c>
      <x:c r="D602" s="13" t="s">
        <x:v>1811</x:v>
      </x:c>
      <x:c r="E602" s="13" t="s">
        <x:v>1543</x:v>
      </x:c>
      <x:c r="F602" s="13" t="s">
        <x:v>585</x:v>
      </x:c>
      <x:c r="G602" s="13" t="s">
        <x:v>1289</x:v>
      </x:c>
      <x:c r="H602" s="13" t="str">
        <x:f>IFERROR(VLOOKUP(O602,'정보화기기 명부'!A$2:B$187,2,FALSE),"")</x:f>
        <x:v/>
      </x:c>
      <x:c r="I602" s="13"/>
      <x:c r="J602" s="13"/>
      <x:c r="K602" s="13"/>
      <x:c r="L602" s="13">
        <x:v>20050717</x:v>
      </x:c>
      <x:c r="M602" s="13" t="s">
        <x:v>591</x:v>
      </x:c>
      <x:c r="N602" s="13" t="s">
        <x:v>2034</x:v>
      </x:c>
      <x:c r="O602" s="13" t="s">
        <x:v>1805</x:v>
      </x:c>
      <x:c r="P602" s="202">
        <x:v>298</x:v>
      </x:c>
      <x:c r="Q602" s="13" t="s">
        <x:v>572</x:v>
      </x:c>
      <x:c r="R602" s="13" t="s">
        <x:v>1769</x:v>
      </x:c>
      <x:c r="S602" s="13" t="s">
        <x:v>1301</x:v>
      </x:c>
      <x:c r="T602" s="13" t="s">
        <x:v>1344</x:v>
      </x:c>
      <x:c r="U602" s="13"/>
      <x:c r="V602" s="13" t="s">
        <x:v>1746</x:v>
      </x:c>
    </x:row>
    <x:row r="603" spans="1:22" s="14" customFormat="1" ht="13.5" customHeight="1">
      <x:c r="A603" s="13" t="str">
        <x:f>O603</x:f>
        <x:v>교사</x:v>
      </x:c>
      <x:c r="B603" s="25" t="str">
        <x:f>L603&amp;"-"&amp;TEXT(P603,"0000")</x:f>
        <x:v>20050715-0250</x:v>
      </x:c>
      <x:c r="C603" s="13" t="s">
        <x:v>1564</x:v>
      </x:c>
      <x:c r="D603" s="13" t="s">
        <x:v>1533</x:v>
      </x:c>
      <x:c r="E603" s="13" t="s">
        <x:v>1543</x:v>
      </x:c>
      <x:c r="F603" s="13" t="s">
        <x:v>1776</x:v>
      </x:c>
      <x:c r="G603" s="13" t="s">
        <x:v>1289</x:v>
      </x:c>
      <x:c r="H603" s="13" t="str">
        <x:f>IFERROR(VLOOKUP(O603,'정보화기기 명부'!A$2:B$187,2,FALSE),"")</x:f>
        <x:v/>
      </x:c>
      <x:c r="I603" s="13"/>
      <x:c r="J603" s="13"/>
      <x:c r="K603" s="13"/>
      <x:c r="L603" s="13">
        <x:v>20050715</x:v>
      </x:c>
      <x:c r="M603" s="13" t="s">
        <x:v>615</x:v>
      </x:c>
      <x:c r="N603" s="13" t="s">
        <x:v>2034</x:v>
      </x:c>
      <x:c r="O603" s="13" t="s">
        <x:v>3147</x:v>
      </x:c>
      <x:c r="P603" s="202">
        <x:v>250</x:v>
      </x:c>
      <x:c r="Q603" s="13" t="s">
        <x:v>572</x:v>
      </x:c>
      <x:c r="R603" s="13" t="s">
        <x:v>2049</x:v>
      </x:c>
      <x:c r="S603" s="13" t="s">
        <x:v>1354</x:v>
      </x:c>
      <x:c r="T603" s="13" t="s">
        <x:v>1356</x:v>
      </x:c>
      <x:c r="U603" s="13"/>
      <x:c r="V603" s="13" t="s">
        <x:v>797</x:v>
      </x:c>
    </x:row>
    <x:row r="604" spans="1:22" s="14" customFormat="1" ht="13.5" customHeight="1">
      <x:c r="A604" s="13" t="str">
        <x:f>O604</x:f>
        <x:v>교사</x:v>
      </x:c>
      <x:c r="B604" s="25" t="str">
        <x:f>L604&amp;"-"&amp;TEXT(P604,"0000")</x:f>
        <x:v>20050715-0264</x:v>
      </x:c>
      <x:c r="C604" s="13" t="s">
        <x:v>1564</x:v>
      </x:c>
      <x:c r="D604" s="13" t="s">
        <x:v>1533</x:v>
      </x:c>
      <x:c r="E604" s="13" t="s">
        <x:v>1543</x:v>
      </x:c>
      <x:c r="F604" s="13" t="s">
        <x:v>1776</x:v>
      </x:c>
      <x:c r="G604" s="13" t="s">
        <x:v>1289</x:v>
      </x:c>
      <x:c r="H604" s="13" t="str">
        <x:f>IFERROR(VLOOKUP(O604,'정보화기기 명부'!A$2:B$187,2,FALSE),"")</x:f>
        <x:v/>
      </x:c>
      <x:c r="I604" s="13"/>
      <x:c r="J604" s="13"/>
      <x:c r="K604" s="13"/>
      <x:c r="L604" s="13">
        <x:v>20050715</x:v>
      </x:c>
      <x:c r="M604" s="13" t="s">
        <x:v>615</x:v>
      </x:c>
      <x:c r="N604" s="13" t="s">
        <x:v>2034</x:v>
      </x:c>
      <x:c r="O604" s="13" t="s">
        <x:v>3147</x:v>
      </x:c>
      <x:c r="P604" s="202">
        <x:v>264</x:v>
      </x:c>
      <x:c r="Q604" s="13" t="s">
        <x:v>572</x:v>
      </x:c>
      <x:c r="R604" s="13" t="s">
        <x:v>2049</x:v>
      </x:c>
      <x:c r="S604" s="13" t="s">
        <x:v>1354</x:v>
      </x:c>
      <x:c r="T604" s="13" t="s">
        <x:v>1356</x:v>
      </x:c>
      <x:c r="U604" s="13"/>
      <x:c r="V604" s="13" t="s">
        <x:v>797</x:v>
      </x:c>
    </x:row>
    <x:row r="605" spans="1:22" s="14" customFormat="1" ht="13.5" customHeight="1">
      <x:c r="A605" s="13" t="str">
        <x:f>O605</x:f>
        <x:v>교사</x:v>
      </x:c>
      <x:c r="B605" s="25" t="str">
        <x:f>L605&amp;"-"&amp;TEXT(P605,"0000")</x:f>
        <x:v>20050715-0265</x:v>
      </x:c>
      <x:c r="C605" s="13" t="s">
        <x:v>1564</x:v>
      </x:c>
      <x:c r="D605" s="13" t="s">
        <x:v>1533</x:v>
      </x:c>
      <x:c r="E605" s="13" t="s">
        <x:v>1543</x:v>
      </x:c>
      <x:c r="F605" s="13" t="s">
        <x:v>1776</x:v>
      </x:c>
      <x:c r="G605" s="13" t="s">
        <x:v>1289</x:v>
      </x:c>
      <x:c r="H605" s="13" t="str">
        <x:f>IFERROR(VLOOKUP(O605,'정보화기기 명부'!A$2:B$187,2,FALSE),"")</x:f>
        <x:v/>
      </x:c>
      <x:c r="I605" s="13"/>
      <x:c r="J605" s="13"/>
      <x:c r="K605" s="13"/>
      <x:c r="L605" s="13">
        <x:v>20050715</x:v>
      </x:c>
      <x:c r="M605" s="13" t="s">
        <x:v>615</x:v>
      </x:c>
      <x:c r="N605" s="13" t="s">
        <x:v>2034</x:v>
      </x:c>
      <x:c r="O605" s="13" t="s">
        <x:v>3147</x:v>
      </x:c>
      <x:c r="P605" s="202">
        <x:v>265</x:v>
      </x:c>
      <x:c r="Q605" s="13" t="s">
        <x:v>572</x:v>
      </x:c>
      <x:c r="R605" s="13" t="s">
        <x:v>2049</x:v>
      </x:c>
      <x:c r="S605" s="13" t="s">
        <x:v>1354</x:v>
      </x:c>
      <x:c r="T605" s="13" t="s">
        <x:v>1356</x:v>
      </x:c>
      <x:c r="U605" s="13"/>
      <x:c r="V605" s="13" t="s">
        <x:v>797</x:v>
      </x:c>
    </x:row>
    <x:row r="606" spans="1:22" s="14" customFormat="1" ht="13.5" customHeight="1">
      <x:c r="A606" s="13" t="str">
        <x:f>O606</x:f>
        <x:v>교사</x:v>
      </x:c>
      <x:c r="B606" s="25" t="str">
        <x:f>L606&amp;"-"&amp;TEXT(P606,"0000")</x:f>
        <x:v>20050715-0266</x:v>
      </x:c>
      <x:c r="C606" s="13" t="s">
        <x:v>1564</x:v>
      </x:c>
      <x:c r="D606" s="13" t="s">
        <x:v>1533</x:v>
      </x:c>
      <x:c r="E606" s="13" t="s">
        <x:v>1543</x:v>
      </x:c>
      <x:c r="F606" s="13" t="s">
        <x:v>1776</x:v>
      </x:c>
      <x:c r="G606" s="13" t="s">
        <x:v>1289</x:v>
      </x:c>
      <x:c r="H606" s="13" t="str">
        <x:f>IFERROR(VLOOKUP(O606,'정보화기기 명부'!A$2:B$187,2,FALSE),"")</x:f>
        <x:v/>
      </x:c>
      <x:c r="I606" s="13"/>
      <x:c r="J606" s="13"/>
      <x:c r="K606" s="13"/>
      <x:c r="L606" s="13">
        <x:v>20050715</x:v>
      </x:c>
      <x:c r="M606" s="13" t="s">
        <x:v>615</x:v>
      </x:c>
      <x:c r="N606" s="13" t="s">
        <x:v>2034</x:v>
      </x:c>
      <x:c r="O606" s="13" t="s">
        <x:v>3147</x:v>
      </x:c>
      <x:c r="P606" s="202">
        <x:v>266</x:v>
      </x:c>
      <x:c r="Q606" s="13" t="s">
        <x:v>572</x:v>
      </x:c>
      <x:c r="R606" s="13" t="s">
        <x:v>2049</x:v>
      </x:c>
      <x:c r="S606" s="13" t="s">
        <x:v>1354</x:v>
      </x:c>
      <x:c r="T606" s="13" t="s">
        <x:v>1356</x:v>
      </x:c>
      <x:c r="U606" s="13"/>
      <x:c r="V606" s="13" t="s">
        <x:v>797</x:v>
      </x:c>
    </x:row>
    <x:row r="607" spans="1:22" s="14" customFormat="1" ht="13.5" customHeight="1">
      <x:c r="A607" s="13" t="str">
        <x:f>O607</x:f>
        <x:v>교사</x:v>
      </x:c>
      <x:c r="B607" s="25" t="str">
        <x:f>L607&amp;"-"&amp;TEXT(P607,"0000")</x:f>
        <x:v>20050715-0267</x:v>
      </x:c>
      <x:c r="C607" s="13" t="s">
        <x:v>1564</x:v>
      </x:c>
      <x:c r="D607" s="13" t="s">
        <x:v>1533</x:v>
      </x:c>
      <x:c r="E607" s="13" t="s">
        <x:v>1543</x:v>
      </x:c>
      <x:c r="F607" s="13" t="s">
        <x:v>1776</x:v>
      </x:c>
      <x:c r="G607" s="13" t="s">
        <x:v>1289</x:v>
      </x:c>
      <x:c r="H607" s="13" t="str">
        <x:f>IFERROR(VLOOKUP(O607,'정보화기기 명부'!A$2:B$187,2,FALSE),"")</x:f>
        <x:v/>
      </x:c>
      <x:c r="I607" s="13"/>
      <x:c r="J607" s="13"/>
      <x:c r="K607" s="13"/>
      <x:c r="L607" s="13">
        <x:v>20050715</x:v>
      </x:c>
      <x:c r="M607" s="13" t="s">
        <x:v>615</x:v>
      </x:c>
      <x:c r="N607" s="13" t="s">
        <x:v>2034</x:v>
      </x:c>
      <x:c r="O607" s="13" t="s">
        <x:v>3147</x:v>
      </x:c>
      <x:c r="P607" s="202">
        <x:v>267</x:v>
      </x:c>
      <x:c r="Q607" s="13" t="s">
        <x:v>572</x:v>
      </x:c>
      <x:c r="R607" s="13" t="s">
        <x:v>2049</x:v>
      </x:c>
      <x:c r="S607" s="13" t="s">
        <x:v>1354</x:v>
      </x:c>
      <x:c r="T607" s="13" t="s">
        <x:v>1356</x:v>
      </x:c>
      <x:c r="U607" s="13"/>
      <x:c r="V607" s="13" t="s">
        <x:v>797</x:v>
      </x:c>
    </x:row>
    <x:row r="608" spans="1:22" s="14" customFormat="1" ht="13.5" customHeight="1">
      <x:c r="A608" s="13" t="str">
        <x:f>O608</x:f>
        <x:v>교사</x:v>
      </x:c>
      <x:c r="B608" s="25" t="str">
        <x:f>L608&amp;"-"&amp;TEXT(P608,"0000")</x:f>
        <x:v>20050715-0268</x:v>
      </x:c>
      <x:c r="C608" s="13" t="s">
        <x:v>1564</x:v>
      </x:c>
      <x:c r="D608" s="13" t="s">
        <x:v>1533</x:v>
      </x:c>
      <x:c r="E608" s="13" t="s">
        <x:v>1543</x:v>
      </x:c>
      <x:c r="F608" s="13" t="s">
        <x:v>1776</x:v>
      </x:c>
      <x:c r="G608" s="13" t="s">
        <x:v>1289</x:v>
      </x:c>
      <x:c r="H608" s="13" t="str">
        <x:f>IFERROR(VLOOKUP(O608,'정보화기기 명부'!A$2:B$187,2,FALSE),"")</x:f>
        <x:v/>
      </x:c>
      <x:c r="I608" s="13"/>
      <x:c r="J608" s="13"/>
      <x:c r="K608" s="13"/>
      <x:c r="L608" s="13">
        <x:v>20050715</x:v>
      </x:c>
      <x:c r="M608" s="13" t="s">
        <x:v>615</x:v>
      </x:c>
      <x:c r="N608" s="13" t="s">
        <x:v>2034</x:v>
      </x:c>
      <x:c r="O608" s="13" t="s">
        <x:v>3147</x:v>
      </x:c>
      <x:c r="P608" s="202">
        <x:v>268</x:v>
      </x:c>
      <x:c r="Q608" s="13" t="s">
        <x:v>572</x:v>
      </x:c>
      <x:c r="R608" s="13" t="s">
        <x:v>2049</x:v>
      </x:c>
      <x:c r="S608" s="13" t="s">
        <x:v>1354</x:v>
      </x:c>
      <x:c r="T608" s="13" t="s">
        <x:v>1356</x:v>
      </x:c>
      <x:c r="U608" s="13"/>
      <x:c r="V608" s="13" t="s">
        <x:v>797</x:v>
      </x:c>
    </x:row>
    <x:row r="609" spans="1:22" s="14" customFormat="1" ht="13.5" customHeight="1">
      <x:c r="A609" s="13" t="str">
        <x:f>O609</x:f>
        <x:v>교사</x:v>
      </x:c>
      <x:c r="B609" s="25" t="str">
        <x:f>L609&amp;"-"&amp;TEXT(P609,"0000")</x:f>
        <x:v>20050715-0269</x:v>
      </x:c>
      <x:c r="C609" s="13" t="s">
        <x:v>1564</x:v>
      </x:c>
      <x:c r="D609" s="13" t="s">
        <x:v>1533</x:v>
      </x:c>
      <x:c r="E609" s="13" t="s">
        <x:v>1543</x:v>
      </x:c>
      <x:c r="F609" s="13" t="s">
        <x:v>1776</x:v>
      </x:c>
      <x:c r="G609" s="13" t="s">
        <x:v>1289</x:v>
      </x:c>
      <x:c r="H609" s="13" t="str">
        <x:f>IFERROR(VLOOKUP(O609,'정보화기기 명부'!A$2:B$187,2,FALSE),"")</x:f>
        <x:v/>
      </x:c>
      <x:c r="I609" s="13"/>
      <x:c r="J609" s="13"/>
      <x:c r="K609" s="13"/>
      <x:c r="L609" s="13">
        <x:v>20050715</x:v>
      </x:c>
      <x:c r="M609" s="13" t="s">
        <x:v>615</x:v>
      </x:c>
      <x:c r="N609" s="13" t="s">
        <x:v>2034</x:v>
      </x:c>
      <x:c r="O609" s="13" t="s">
        <x:v>3147</x:v>
      </x:c>
      <x:c r="P609" s="202">
        <x:v>269</x:v>
      </x:c>
      <x:c r="Q609" s="13" t="s">
        <x:v>572</x:v>
      </x:c>
      <x:c r="R609" s="13" t="s">
        <x:v>2049</x:v>
      </x:c>
      <x:c r="S609" s="13" t="s">
        <x:v>1354</x:v>
      </x:c>
      <x:c r="T609" s="13" t="s">
        <x:v>1356</x:v>
      </x:c>
      <x:c r="U609" s="13"/>
      <x:c r="V609" s="13" t="s">
        <x:v>797</x:v>
      </x:c>
    </x:row>
    <x:row r="610" spans="1:22" s="14" customFormat="1" ht="13.5" customHeight="1">
      <x:c r="A610" s="13" t="str">
        <x:f>O610</x:f>
        <x:v>교사</x:v>
      </x:c>
      <x:c r="B610" s="25" t="str">
        <x:f>L610&amp;"-"&amp;TEXT(P610,"0000")</x:f>
        <x:v>20050715-0270</x:v>
      </x:c>
      <x:c r="C610" s="13" t="s">
        <x:v>1564</x:v>
      </x:c>
      <x:c r="D610" s="13" t="s">
        <x:v>1533</x:v>
      </x:c>
      <x:c r="E610" s="13" t="s">
        <x:v>1543</x:v>
      </x:c>
      <x:c r="F610" s="13" t="s">
        <x:v>1776</x:v>
      </x:c>
      <x:c r="G610" s="13" t="s">
        <x:v>1289</x:v>
      </x:c>
      <x:c r="H610" s="13" t="str">
        <x:f>IFERROR(VLOOKUP(O610,'정보화기기 명부'!A$2:B$187,2,FALSE),"")</x:f>
        <x:v/>
      </x:c>
      <x:c r="I610" s="13"/>
      <x:c r="J610" s="13"/>
      <x:c r="K610" s="13"/>
      <x:c r="L610" s="13">
        <x:v>20050715</x:v>
      </x:c>
      <x:c r="M610" s="13" t="s">
        <x:v>615</x:v>
      </x:c>
      <x:c r="N610" s="13" t="s">
        <x:v>2034</x:v>
      </x:c>
      <x:c r="O610" s="13" t="s">
        <x:v>3147</x:v>
      </x:c>
      <x:c r="P610" s="202">
        <x:v>270</x:v>
      </x:c>
      <x:c r="Q610" s="13" t="s">
        <x:v>572</x:v>
      </x:c>
      <x:c r="R610" s="13" t="s">
        <x:v>2049</x:v>
      </x:c>
      <x:c r="S610" s="13" t="s">
        <x:v>1354</x:v>
      </x:c>
      <x:c r="T610" s="13" t="s">
        <x:v>1356</x:v>
      </x:c>
      <x:c r="U610" s="13"/>
      <x:c r="V610" s="13" t="s">
        <x:v>797</x:v>
      </x:c>
    </x:row>
    <x:row r="611" spans="1:22" s="14" customFormat="1" ht="13.5" customHeight="1">
      <x:c r="A611" s="13" t="str">
        <x:f>O611</x:f>
        <x:v>교사</x:v>
      </x:c>
      <x:c r="B611" s="25" t="str">
        <x:f>L611&amp;"-"&amp;TEXT(P611,"0000")</x:f>
        <x:v>20050715-0271</x:v>
      </x:c>
      <x:c r="C611" s="13" t="s">
        <x:v>1564</x:v>
      </x:c>
      <x:c r="D611" s="13" t="s">
        <x:v>1533</x:v>
      </x:c>
      <x:c r="E611" s="13" t="s">
        <x:v>1543</x:v>
      </x:c>
      <x:c r="F611" s="13" t="s">
        <x:v>1776</x:v>
      </x:c>
      <x:c r="G611" s="13" t="s">
        <x:v>1289</x:v>
      </x:c>
      <x:c r="H611" s="13" t="str">
        <x:f>IFERROR(VLOOKUP(O611,'정보화기기 명부'!A$2:B$187,2,FALSE),"")</x:f>
        <x:v/>
      </x:c>
      <x:c r="I611" s="13"/>
      <x:c r="J611" s="13"/>
      <x:c r="K611" s="13"/>
      <x:c r="L611" s="13">
        <x:v>20050715</x:v>
      </x:c>
      <x:c r="M611" s="13" t="s">
        <x:v>615</x:v>
      </x:c>
      <x:c r="N611" s="13" t="s">
        <x:v>2034</x:v>
      </x:c>
      <x:c r="O611" s="13" t="s">
        <x:v>3147</x:v>
      </x:c>
      <x:c r="P611" s="202">
        <x:v>271</x:v>
      </x:c>
      <x:c r="Q611" s="13" t="s">
        <x:v>572</x:v>
      </x:c>
      <x:c r="R611" s="13" t="s">
        <x:v>2049</x:v>
      </x:c>
      <x:c r="S611" s="13" t="s">
        <x:v>1354</x:v>
      </x:c>
      <x:c r="T611" s="13" t="s">
        <x:v>1356</x:v>
      </x:c>
      <x:c r="U611" s="13"/>
      <x:c r="V611" s="13" t="s">
        <x:v>797</x:v>
      </x:c>
    </x:row>
    <x:row r="612" spans="1:22" s="14" customFormat="1" ht="13.5" customHeight="1">
      <x:c r="A612" s="13" t="str">
        <x:f>O612</x:f>
        <x:v>교사</x:v>
      </x:c>
      <x:c r="B612" s="25" t="str">
        <x:f>L612&amp;"-"&amp;TEXT(P612,"0000")</x:f>
        <x:v>20050715-0272</x:v>
      </x:c>
      <x:c r="C612" s="13" t="s">
        <x:v>1564</x:v>
      </x:c>
      <x:c r="D612" s="13" t="s">
        <x:v>1533</x:v>
      </x:c>
      <x:c r="E612" s="13" t="s">
        <x:v>1543</x:v>
      </x:c>
      <x:c r="F612" s="13" t="s">
        <x:v>1776</x:v>
      </x:c>
      <x:c r="G612" s="13" t="s">
        <x:v>1289</x:v>
      </x:c>
      <x:c r="H612" s="13" t="str">
        <x:f>IFERROR(VLOOKUP(O612,'정보화기기 명부'!A$2:B$187,2,FALSE),"")</x:f>
        <x:v/>
      </x:c>
      <x:c r="I612" s="13"/>
      <x:c r="J612" s="13"/>
      <x:c r="K612" s="13"/>
      <x:c r="L612" s="13">
        <x:v>20050715</x:v>
      </x:c>
      <x:c r="M612" s="13" t="s">
        <x:v>615</x:v>
      </x:c>
      <x:c r="N612" s="13" t="s">
        <x:v>2034</x:v>
      </x:c>
      <x:c r="O612" s="13" t="s">
        <x:v>3147</x:v>
      </x:c>
      <x:c r="P612" s="202">
        <x:v>272</x:v>
      </x:c>
      <x:c r="Q612" s="13" t="s">
        <x:v>572</x:v>
      </x:c>
      <x:c r="R612" s="13" t="s">
        <x:v>2049</x:v>
      </x:c>
      <x:c r="S612" s="13" t="s">
        <x:v>1354</x:v>
      </x:c>
      <x:c r="T612" s="13" t="s">
        <x:v>1356</x:v>
      </x:c>
      <x:c r="U612" s="13"/>
      <x:c r="V612" s="13" t="s">
        <x:v>797</x:v>
      </x:c>
    </x:row>
    <x:row r="613" spans="1:22" s="14" customFormat="1" ht="13.5" customHeight="1">
      <x:c r="A613" s="13" t="str">
        <x:f>O613</x:f>
        <x:v>교사용(원어민)</x:v>
      </x:c>
      <x:c r="B613" s="25" t="str">
        <x:f>L613&amp;"-"&amp;TEXT(P613,"0000")</x:f>
        <x:v>20050715-0333</x:v>
      </x:c>
      <x:c r="C613" s="13" t="s">
        <x:v>1978</x:v>
      </x:c>
      <x:c r="D613" s="13" t="s">
        <x:v>1811</x:v>
      </x:c>
      <x:c r="E613" s="13" t="s">
        <x:v>1543</x:v>
      </x:c>
      <x:c r="F613" s="13" t="s">
        <x:v>2223</x:v>
      </x:c>
      <x:c r="G613" s="13" t="s">
        <x:v>1289</x:v>
      </x:c>
      <x:c r="H613" s="13" t="str">
        <x:f>IFERROR(VLOOKUP(O613,'정보화기기 명부'!A$2:B$187,2,FALSE),"")</x:f>
        <x:v/>
      </x:c>
      <x:c r="I613" s="13"/>
      <x:c r="J613" s="13"/>
      <x:c r="K613" s="13"/>
      <x:c r="L613" s="13">
        <x:v>20050715</x:v>
      </x:c>
      <x:c r="M613" s="13" t="s">
        <x:v>604</x:v>
      </x:c>
      <x:c r="N613" s="13" t="s">
        <x:v>2034</x:v>
      </x:c>
      <x:c r="O613" s="13" t="s">
        <x:v>501</x:v>
      </x:c>
      <x:c r="P613" s="202">
        <x:v>333</x:v>
      </x:c>
      <x:c r="Q613" s="13" t="s">
        <x:v>572</x:v>
      </x:c>
      <x:c r="R613" s="13" t="s">
        <x:v>1769</x:v>
      </x:c>
      <x:c r="S613" s="13" t="s">
        <x:v>1354</x:v>
      </x:c>
      <x:c r="T613" s="13" t="s">
        <x:v>1344</x:v>
      </x:c>
      <x:c r="U613" s="13"/>
      <x:c r="V613" s="13" t="s">
        <x:v>797</x:v>
      </x:c>
    </x:row>
    <x:row r="614" spans="1:22" s="14" customFormat="1" ht="13.5" customHeight="1">
      <x:c r="A614" s="13" t="str">
        <x:f>O614</x:f>
        <x:v>학생48</x:v>
      </x:c>
      <x:c r="B614" s="25" t="str">
        <x:f>L614&amp;"-"&amp;TEXT(P614,"0000")</x:f>
        <x:v>20050715-0332</x:v>
      </x:c>
      <x:c r="C614" s="13" t="s">
        <x:v>1978</x:v>
      </x:c>
      <x:c r="D614" s="13" t="s">
        <x:v>1811</x:v>
      </x:c>
      <x:c r="E614" s="13" t="s">
        <x:v>1543</x:v>
      </x:c>
      <x:c r="F614" s="13" t="s">
        <x:v>585</x:v>
      </x:c>
      <x:c r="G614" s="13" t="s">
        <x:v>1289</x:v>
      </x:c>
      <x:c r="H614" s="13" t="str">
        <x:f>IFERROR(VLOOKUP(O614,'정보화기기 명부'!A$2:B$187,2,FALSE),"")</x:f>
        <x:v/>
      </x:c>
      <x:c r="I614" s="13"/>
      <x:c r="J614" s="13"/>
      <x:c r="K614" s="13"/>
      <x:c r="L614" s="13">
        <x:v>20050715</x:v>
      </x:c>
      <x:c r="M614" s="13" t="s">
        <x:v>591</x:v>
      </x:c>
      <x:c r="N614" s="13" t="s">
        <x:v>2034</x:v>
      </x:c>
      <x:c r="O614" s="13" t="s">
        <x:v>1796</x:v>
      </x:c>
      <x:c r="P614" s="202">
        <x:v>332</x:v>
      </x:c>
      <x:c r="Q614" s="13" t="s">
        <x:v>572</x:v>
      </x:c>
      <x:c r="R614" s="13" t="s">
        <x:v>1769</x:v>
      </x:c>
      <x:c r="S614" s="13" t="s">
        <x:v>1301</x:v>
      </x:c>
      <x:c r="T614" s="13" t="s">
        <x:v>1344</x:v>
      </x:c>
      <x:c r="U614" s="13"/>
      <x:c r="V614" s="13" t="s">
        <x:v>1746</x:v>
      </x:c>
    </x:row>
    <x:row r="615" spans="1:22" s="14" customFormat="1" ht="13.5" customHeight="1">
      <x:c r="A615" s="13" t="str">
        <x:f>O615</x:f>
        <x:v>학생47</x:v>
      </x:c>
      <x:c r="B615" s="25" t="str">
        <x:f>L615&amp;"-"&amp;TEXT(P615,"0000")</x:f>
        <x:v>20050715-0331</x:v>
      </x:c>
      <x:c r="C615" s="13" t="s">
        <x:v>1978</x:v>
      </x:c>
      <x:c r="D615" s="13" t="s">
        <x:v>1811</x:v>
      </x:c>
      <x:c r="E615" s="13" t="s">
        <x:v>1543</x:v>
      </x:c>
      <x:c r="F615" s="13" t="s">
        <x:v>585</x:v>
      </x:c>
      <x:c r="G615" s="13" t="s">
        <x:v>1289</x:v>
      </x:c>
      <x:c r="H615" s="13" t="str">
        <x:f>IFERROR(VLOOKUP(O615,'정보화기기 명부'!A$2:B$187,2,FALSE),"")</x:f>
        <x:v/>
      </x:c>
      <x:c r="I615" s="13"/>
      <x:c r="J615" s="13"/>
      <x:c r="K615" s="13"/>
      <x:c r="L615" s="13">
        <x:v>20050715</x:v>
      </x:c>
      <x:c r="M615" s="13" t="s">
        <x:v>591</x:v>
      </x:c>
      <x:c r="N615" s="13" t="s">
        <x:v>2034</x:v>
      </x:c>
      <x:c r="O615" s="13" t="s">
        <x:v>1820</x:v>
      </x:c>
      <x:c r="P615" s="202">
        <x:v>331</x:v>
      </x:c>
      <x:c r="Q615" s="13" t="s">
        <x:v>572</x:v>
      </x:c>
      <x:c r="R615" s="13" t="s">
        <x:v>1769</x:v>
      </x:c>
      <x:c r="S615" s="13" t="s">
        <x:v>1301</x:v>
      </x:c>
      <x:c r="T615" s="13" t="s">
        <x:v>1344</x:v>
      </x:c>
      <x:c r="U615" s="13"/>
      <x:c r="V615" s="13" t="s">
        <x:v>1746</x:v>
      </x:c>
    </x:row>
    <x:row r="616" spans="1:22" s="14" customFormat="1" ht="13.5" customHeight="1">
      <x:c r="A616" s="13" t="str">
        <x:f>O616</x:f>
        <x:v>학생46</x:v>
      </x:c>
      <x:c r="B616" s="25" t="str">
        <x:f>L616&amp;"-"&amp;TEXT(P616,"0000")</x:f>
        <x:v>20050715-0330</x:v>
      </x:c>
      <x:c r="C616" s="13" t="s">
        <x:v>1978</x:v>
      </x:c>
      <x:c r="D616" s="13" t="s">
        <x:v>1811</x:v>
      </x:c>
      <x:c r="E616" s="13" t="s">
        <x:v>1543</x:v>
      </x:c>
      <x:c r="F616" s="13" t="s">
        <x:v>585</x:v>
      </x:c>
      <x:c r="G616" s="13" t="s">
        <x:v>1289</x:v>
      </x:c>
      <x:c r="H616" s="13" t="str">
        <x:f>IFERROR(VLOOKUP(O616,'정보화기기 명부'!A$2:B$187,2,FALSE),"")</x:f>
        <x:v/>
      </x:c>
      <x:c r="I616" s="13"/>
      <x:c r="J616" s="13"/>
      <x:c r="K616" s="13"/>
      <x:c r="L616" s="13">
        <x:v>20050715</x:v>
      </x:c>
      <x:c r="M616" s="13" t="s">
        <x:v>591</x:v>
      </x:c>
      <x:c r="N616" s="13" t="s">
        <x:v>2034</x:v>
      </x:c>
      <x:c r="O616" s="13" t="s">
        <x:v>1749</x:v>
      </x:c>
      <x:c r="P616" s="202">
        <x:v>330</x:v>
      </x:c>
      <x:c r="Q616" s="13" t="s">
        <x:v>572</x:v>
      </x:c>
      <x:c r="R616" s="13" t="s">
        <x:v>1769</x:v>
      </x:c>
      <x:c r="S616" s="13" t="s">
        <x:v>1301</x:v>
      </x:c>
      <x:c r="T616" s="13" t="s">
        <x:v>1344</x:v>
      </x:c>
      <x:c r="U616" s="13"/>
      <x:c r="V616" s="13" t="s">
        <x:v>1746</x:v>
      </x:c>
    </x:row>
    <x:row r="617" spans="1:22" s="14" customFormat="1" ht="13.5" customHeight="1">
      <x:c r="A617" s="13" t="str">
        <x:f>O617</x:f>
        <x:v>학생45</x:v>
      </x:c>
      <x:c r="B617" s="25" t="str">
        <x:f>L617&amp;"-"&amp;TEXT(P617,"0000")</x:f>
        <x:v>20050715-0329</x:v>
      </x:c>
      <x:c r="C617" s="13" t="s">
        <x:v>1978</x:v>
      </x:c>
      <x:c r="D617" s="13" t="s">
        <x:v>1811</x:v>
      </x:c>
      <x:c r="E617" s="13" t="s">
        <x:v>1543</x:v>
      </x:c>
      <x:c r="F617" s="13" t="s">
        <x:v>585</x:v>
      </x:c>
      <x:c r="G617" s="13" t="s">
        <x:v>1289</x:v>
      </x:c>
      <x:c r="H617" s="13" t="str">
        <x:f>IFERROR(VLOOKUP(O617,'정보화기기 명부'!A$2:B$187,2,FALSE),"")</x:f>
        <x:v/>
      </x:c>
      <x:c r="I617" s="13"/>
      <x:c r="J617" s="13"/>
      <x:c r="K617" s="13"/>
      <x:c r="L617" s="13">
        <x:v>20050715</x:v>
      </x:c>
      <x:c r="M617" s="13" t="s">
        <x:v>591</x:v>
      </x:c>
      <x:c r="N617" s="13" t="s">
        <x:v>2034</x:v>
      </x:c>
      <x:c r="O617" s="13" t="s">
        <x:v>2074</x:v>
      </x:c>
      <x:c r="P617" s="202">
        <x:v>329</x:v>
      </x:c>
      <x:c r="Q617" s="13" t="s">
        <x:v>572</x:v>
      </x:c>
      <x:c r="R617" s="13" t="s">
        <x:v>1769</x:v>
      </x:c>
      <x:c r="S617" s="13" t="s">
        <x:v>1301</x:v>
      </x:c>
      <x:c r="T617" s="13" t="s">
        <x:v>1344</x:v>
      </x:c>
      <x:c r="U617" s="13"/>
      <x:c r="V617" s="13" t="s">
        <x:v>1746</x:v>
      </x:c>
    </x:row>
    <x:row r="618" spans="1:22" s="14" customFormat="1" ht="13.5" customHeight="1">
      <x:c r="A618" s="13" t="str">
        <x:f>O618</x:f>
        <x:v>학생44</x:v>
      </x:c>
      <x:c r="B618" s="25" t="str">
        <x:f>L618&amp;"-"&amp;TEXT(P618,"0000")</x:f>
        <x:v>20050715-0328</x:v>
      </x:c>
      <x:c r="C618" s="13" t="s">
        <x:v>1978</x:v>
      </x:c>
      <x:c r="D618" s="13" t="s">
        <x:v>1811</x:v>
      </x:c>
      <x:c r="E618" s="13" t="s">
        <x:v>1543</x:v>
      </x:c>
      <x:c r="F618" s="13" t="s">
        <x:v>585</x:v>
      </x:c>
      <x:c r="G618" s="13" t="s">
        <x:v>1289</x:v>
      </x:c>
      <x:c r="H618" s="13" t="str">
        <x:f>IFERROR(VLOOKUP(O618,'정보화기기 명부'!A$2:B$187,2,FALSE),"")</x:f>
        <x:v/>
      </x:c>
      <x:c r="I618" s="13"/>
      <x:c r="J618" s="13"/>
      <x:c r="K618" s="13"/>
      <x:c r="L618" s="13">
        <x:v>20050715</x:v>
      </x:c>
      <x:c r="M618" s="13" t="s">
        <x:v>591</x:v>
      </x:c>
      <x:c r="N618" s="13" t="s">
        <x:v>2034</x:v>
      </x:c>
      <x:c r="O618" s="13" t="s">
        <x:v>1839</x:v>
      </x:c>
      <x:c r="P618" s="202">
        <x:v>328</x:v>
      </x:c>
      <x:c r="Q618" s="13" t="s">
        <x:v>572</x:v>
      </x:c>
      <x:c r="R618" s="13" t="s">
        <x:v>1769</x:v>
      </x:c>
      <x:c r="S618" s="13" t="s">
        <x:v>1301</x:v>
      </x:c>
      <x:c r="T618" s="13" t="s">
        <x:v>1344</x:v>
      </x:c>
      <x:c r="U618" s="13"/>
      <x:c r="V618" s="13" t="s">
        <x:v>1746</x:v>
      </x:c>
    </x:row>
    <x:row r="619" spans="1:22" s="14" customFormat="1" ht="13.5" customHeight="1">
      <x:c r="A619" s="13" t="str">
        <x:f>O619</x:f>
        <x:v>학생43</x:v>
      </x:c>
      <x:c r="B619" s="25" t="str">
        <x:f>L619&amp;"-"&amp;TEXT(P619,"0000")</x:f>
        <x:v>20050715-0327</x:v>
      </x:c>
      <x:c r="C619" s="13" t="s">
        <x:v>1978</x:v>
      </x:c>
      <x:c r="D619" s="13" t="s">
        <x:v>1811</x:v>
      </x:c>
      <x:c r="E619" s="13" t="s">
        <x:v>1543</x:v>
      </x:c>
      <x:c r="F619" s="13" t="s">
        <x:v>585</x:v>
      </x:c>
      <x:c r="G619" s="13" t="s">
        <x:v>1289</x:v>
      </x:c>
      <x:c r="H619" s="13" t="str">
        <x:f>IFERROR(VLOOKUP(O619,'정보화기기 명부'!A$2:B$187,2,FALSE),"")</x:f>
        <x:v/>
      </x:c>
      <x:c r="I619" s="13"/>
      <x:c r="J619" s="13"/>
      <x:c r="K619" s="13"/>
      <x:c r="L619" s="13">
        <x:v>20050715</x:v>
      </x:c>
      <x:c r="M619" s="13" t="s">
        <x:v>591</x:v>
      </x:c>
      <x:c r="N619" s="13" t="s">
        <x:v>2034</x:v>
      </x:c>
      <x:c r="O619" s="13" t="s">
        <x:v>1750</x:v>
      </x:c>
      <x:c r="P619" s="202">
        <x:v>327</x:v>
      </x:c>
      <x:c r="Q619" s="13" t="s">
        <x:v>572</x:v>
      </x:c>
      <x:c r="R619" s="13" t="s">
        <x:v>1769</x:v>
      </x:c>
      <x:c r="S619" s="13" t="s">
        <x:v>1301</x:v>
      </x:c>
      <x:c r="T619" s="13" t="s">
        <x:v>1344</x:v>
      </x:c>
      <x:c r="U619" s="13"/>
      <x:c r="V619" s="13" t="s">
        <x:v>1746</x:v>
      </x:c>
    </x:row>
    <x:row r="620" spans="1:22" s="14" customFormat="1" ht="13.5" customHeight="1">
      <x:c r="A620" s="13" t="str">
        <x:f>O620</x:f>
        <x:v>학생42</x:v>
      </x:c>
      <x:c r="B620" s="25" t="str">
        <x:f>L620&amp;"-"&amp;TEXT(P620,"0000")</x:f>
        <x:v>20050715-0326</x:v>
      </x:c>
      <x:c r="C620" s="13" t="s">
        <x:v>1978</x:v>
      </x:c>
      <x:c r="D620" s="13" t="s">
        <x:v>1811</x:v>
      </x:c>
      <x:c r="E620" s="13" t="s">
        <x:v>1543</x:v>
      </x:c>
      <x:c r="F620" s="13" t="s">
        <x:v>585</x:v>
      </x:c>
      <x:c r="G620" s="13" t="s">
        <x:v>1289</x:v>
      </x:c>
      <x:c r="H620" s="13" t="str">
        <x:f>IFERROR(VLOOKUP(O620,'정보화기기 명부'!A$2:B$187,2,FALSE),"")</x:f>
        <x:v/>
      </x:c>
      <x:c r="I620" s="13"/>
      <x:c r="J620" s="13"/>
      <x:c r="K620" s="13"/>
      <x:c r="L620" s="13">
        <x:v>20050715</x:v>
      </x:c>
      <x:c r="M620" s="13" t="s">
        <x:v>591</x:v>
      </x:c>
      <x:c r="N620" s="13" t="s">
        <x:v>2034</x:v>
      </x:c>
      <x:c r="O620" s="13" t="s">
        <x:v>2093</x:v>
      </x:c>
      <x:c r="P620" s="202">
        <x:v>326</x:v>
      </x:c>
      <x:c r="Q620" s="13" t="s">
        <x:v>572</x:v>
      </x:c>
      <x:c r="R620" s="13" t="s">
        <x:v>1769</x:v>
      </x:c>
      <x:c r="S620" s="13" t="s">
        <x:v>1301</x:v>
      </x:c>
      <x:c r="T620" s="13" t="s">
        <x:v>1344</x:v>
      </x:c>
      <x:c r="U620" s="13"/>
      <x:c r="V620" s="13" t="s">
        <x:v>1746</x:v>
      </x:c>
    </x:row>
    <x:row r="621" spans="1:22" s="14" customFormat="1" ht="13.5" customHeight="1">
      <x:c r="A621" s="13" t="str">
        <x:f>O621</x:f>
        <x:v>학생41</x:v>
      </x:c>
      <x:c r="B621" s="25" t="str">
        <x:f>L621&amp;"-"&amp;TEXT(P621,"0000")</x:f>
        <x:v>20050715-0325</x:v>
      </x:c>
      <x:c r="C621" s="13" t="s">
        <x:v>1978</x:v>
      </x:c>
      <x:c r="D621" s="13" t="s">
        <x:v>1811</x:v>
      </x:c>
      <x:c r="E621" s="13" t="s">
        <x:v>1543</x:v>
      </x:c>
      <x:c r="F621" s="13" t="s">
        <x:v>585</x:v>
      </x:c>
      <x:c r="G621" s="13" t="s">
        <x:v>1289</x:v>
      </x:c>
      <x:c r="H621" s="13" t="str">
        <x:f>IFERROR(VLOOKUP(O621,'정보화기기 명부'!A$2:B$187,2,FALSE),"")</x:f>
        <x:v/>
      </x:c>
      <x:c r="I621" s="13"/>
      <x:c r="J621" s="13"/>
      <x:c r="K621" s="13"/>
      <x:c r="L621" s="13">
        <x:v>20050715</x:v>
      </x:c>
      <x:c r="M621" s="13" t="s">
        <x:v>591</x:v>
      </x:c>
      <x:c r="N621" s="13" t="s">
        <x:v>2034</x:v>
      </x:c>
      <x:c r="O621" s="13" t="s">
        <x:v>1797</x:v>
      </x:c>
      <x:c r="P621" s="202">
        <x:v>325</x:v>
      </x:c>
      <x:c r="Q621" s="13" t="s">
        <x:v>572</x:v>
      </x:c>
      <x:c r="R621" s="13" t="s">
        <x:v>1769</x:v>
      </x:c>
      <x:c r="S621" s="13" t="s">
        <x:v>1301</x:v>
      </x:c>
      <x:c r="T621" s="13" t="s">
        <x:v>1344</x:v>
      </x:c>
      <x:c r="U621" s="13"/>
      <x:c r="V621" s="13" t="s">
        <x:v>1746</x:v>
      </x:c>
    </x:row>
    <x:row r="622" spans="1:22" s="14" customFormat="1" ht="13.5" customHeight="1">
      <x:c r="A622" s="13" t="str">
        <x:f>O622</x:f>
        <x:v>학생40</x:v>
      </x:c>
      <x:c r="B622" s="25" t="str">
        <x:f>L622&amp;"-"&amp;TEXT(P622,"0000")</x:f>
        <x:v>20050715-0324</x:v>
      </x:c>
      <x:c r="C622" s="13" t="s">
        <x:v>1978</x:v>
      </x:c>
      <x:c r="D622" s="13" t="s">
        <x:v>1811</x:v>
      </x:c>
      <x:c r="E622" s="13" t="s">
        <x:v>1543</x:v>
      </x:c>
      <x:c r="F622" s="13" t="s">
        <x:v>585</x:v>
      </x:c>
      <x:c r="G622" s="13" t="s">
        <x:v>1289</x:v>
      </x:c>
      <x:c r="H622" s="13" t="str">
        <x:f>IFERROR(VLOOKUP(O622,'정보화기기 명부'!A$2:B$187,2,FALSE),"")</x:f>
        <x:v/>
      </x:c>
      <x:c r="I622" s="13"/>
      <x:c r="J622" s="13"/>
      <x:c r="K622" s="13"/>
      <x:c r="L622" s="13">
        <x:v>20050715</x:v>
      </x:c>
      <x:c r="M622" s="13" t="s">
        <x:v>591</x:v>
      </x:c>
      <x:c r="N622" s="13" t="s">
        <x:v>2034</x:v>
      </x:c>
      <x:c r="O622" s="13" t="s">
        <x:v>1753</x:v>
      </x:c>
      <x:c r="P622" s="202">
        <x:v>324</x:v>
      </x:c>
      <x:c r="Q622" s="13" t="s">
        <x:v>572</x:v>
      </x:c>
      <x:c r="R622" s="13" t="s">
        <x:v>1769</x:v>
      </x:c>
      <x:c r="S622" s="13" t="s">
        <x:v>1301</x:v>
      </x:c>
      <x:c r="T622" s="13" t="s">
        <x:v>1344</x:v>
      </x:c>
      <x:c r="U622" s="13"/>
      <x:c r="V622" s="13" t="s">
        <x:v>1746</x:v>
      </x:c>
    </x:row>
    <x:row r="623" spans="1:22" s="14" customFormat="1" ht="13.5" customHeight="1">
      <x:c r="A623" s="13" t="str">
        <x:f>O623</x:f>
        <x:v>학생39</x:v>
      </x:c>
      <x:c r="B623" s="25" t="str">
        <x:f>L623&amp;"-"&amp;TEXT(P623,"0000")</x:f>
        <x:v>20050715-0323</x:v>
      </x:c>
      <x:c r="C623" s="13" t="s">
        <x:v>1978</x:v>
      </x:c>
      <x:c r="D623" s="13" t="s">
        <x:v>1811</x:v>
      </x:c>
      <x:c r="E623" s="13" t="s">
        <x:v>1543</x:v>
      </x:c>
      <x:c r="F623" s="13" t="s">
        <x:v>585</x:v>
      </x:c>
      <x:c r="G623" s="13" t="s">
        <x:v>1289</x:v>
      </x:c>
      <x:c r="H623" s="13" t="str">
        <x:f>IFERROR(VLOOKUP(O623,'정보화기기 명부'!A$2:B$187,2,FALSE),"")</x:f>
        <x:v/>
      </x:c>
      <x:c r="I623" s="13"/>
      <x:c r="J623" s="13"/>
      <x:c r="K623" s="13"/>
      <x:c r="L623" s="13">
        <x:v>20050715</x:v>
      </x:c>
      <x:c r="M623" s="13" t="s">
        <x:v>591</x:v>
      </x:c>
      <x:c r="N623" s="13" t="s">
        <x:v>2034</x:v>
      </x:c>
      <x:c r="O623" s="13" t="s">
        <x:v>1799</x:v>
      </x:c>
      <x:c r="P623" s="202">
        <x:v>323</x:v>
      </x:c>
      <x:c r="Q623" s="13" t="s">
        <x:v>572</x:v>
      </x:c>
      <x:c r="R623" s="13" t="s">
        <x:v>1769</x:v>
      </x:c>
      <x:c r="S623" s="13" t="s">
        <x:v>1301</x:v>
      </x:c>
      <x:c r="T623" s="13" t="s">
        <x:v>1344</x:v>
      </x:c>
      <x:c r="U623" s="13"/>
      <x:c r="V623" s="13" t="s">
        <x:v>1746</x:v>
      </x:c>
    </x:row>
    <x:row r="624" spans="1:22" s="14" customFormat="1" ht="13.5" customHeight="1">
      <x:c r="A624" s="13" t="str">
        <x:f>O624</x:f>
        <x:v>학생38</x:v>
      </x:c>
      <x:c r="B624" s="25" t="str">
        <x:f>L624&amp;"-"&amp;TEXT(P624,"0000")</x:f>
        <x:v>20050715-0322</x:v>
      </x:c>
      <x:c r="C624" s="13" t="s">
        <x:v>1978</x:v>
      </x:c>
      <x:c r="D624" s="13" t="s">
        <x:v>1811</x:v>
      </x:c>
      <x:c r="E624" s="13" t="s">
        <x:v>1543</x:v>
      </x:c>
      <x:c r="F624" s="13" t="s">
        <x:v>585</x:v>
      </x:c>
      <x:c r="G624" s="13" t="s">
        <x:v>1289</x:v>
      </x:c>
      <x:c r="H624" s="13" t="str">
        <x:f>IFERROR(VLOOKUP(O624,'정보화기기 명부'!A$2:B$187,2,FALSE),"")</x:f>
        <x:v/>
      </x:c>
      <x:c r="I624" s="13"/>
      <x:c r="J624" s="13"/>
      <x:c r="K624" s="13"/>
      <x:c r="L624" s="13">
        <x:v>20050715</x:v>
      </x:c>
      <x:c r="M624" s="13" t="s">
        <x:v>591</x:v>
      </x:c>
      <x:c r="N624" s="13" t="s">
        <x:v>2034</x:v>
      </x:c>
      <x:c r="O624" s="13" t="s">
        <x:v>1764</x:v>
      </x:c>
      <x:c r="P624" s="202">
        <x:v>322</x:v>
      </x:c>
      <x:c r="Q624" s="13" t="s">
        <x:v>572</x:v>
      </x:c>
      <x:c r="R624" s="13" t="s">
        <x:v>1769</x:v>
      </x:c>
      <x:c r="S624" s="13" t="s">
        <x:v>1301</x:v>
      </x:c>
      <x:c r="T624" s="13" t="s">
        <x:v>1344</x:v>
      </x:c>
      <x:c r="U624" s="13"/>
      <x:c r="V624" s="13" t="s">
        <x:v>1746</x:v>
      </x:c>
    </x:row>
    <x:row r="625" spans="1:22" s="14" customFormat="1" ht="13.5" customHeight="1">
      <x:c r="A625" s="13" t="str">
        <x:f>O625</x:f>
        <x:v>학생37</x:v>
      </x:c>
      <x:c r="B625" s="25" t="str">
        <x:f>L625&amp;"-"&amp;TEXT(P625,"0000")</x:f>
        <x:v>20050715-0321</x:v>
      </x:c>
      <x:c r="C625" s="13" t="s">
        <x:v>1978</x:v>
      </x:c>
      <x:c r="D625" s="13" t="s">
        <x:v>1811</x:v>
      </x:c>
      <x:c r="E625" s="13" t="s">
        <x:v>1543</x:v>
      </x:c>
      <x:c r="F625" s="13" t="s">
        <x:v>585</x:v>
      </x:c>
      <x:c r="G625" s="13" t="s">
        <x:v>1289</x:v>
      </x:c>
      <x:c r="H625" s="13" t="str">
        <x:f>IFERROR(VLOOKUP(O625,'정보화기기 명부'!A$2:B$187,2,FALSE),"")</x:f>
        <x:v/>
      </x:c>
      <x:c r="I625" s="13"/>
      <x:c r="J625" s="13"/>
      <x:c r="K625" s="13"/>
      <x:c r="L625" s="13">
        <x:v>20050715</x:v>
      </x:c>
      <x:c r="M625" s="13" t="s">
        <x:v>591</x:v>
      </x:c>
      <x:c r="N625" s="13" t="s">
        <x:v>2034</x:v>
      </x:c>
      <x:c r="O625" s="13" t="s">
        <x:v>2081</x:v>
      </x:c>
      <x:c r="P625" s="202">
        <x:v>321</x:v>
      </x:c>
      <x:c r="Q625" s="13" t="s">
        <x:v>572</x:v>
      </x:c>
      <x:c r="R625" s="13" t="s">
        <x:v>1769</x:v>
      </x:c>
      <x:c r="S625" s="13" t="s">
        <x:v>1301</x:v>
      </x:c>
      <x:c r="T625" s="13" t="s">
        <x:v>1344</x:v>
      </x:c>
      <x:c r="U625" s="13"/>
      <x:c r="V625" s="13" t="s">
        <x:v>1746</x:v>
      </x:c>
    </x:row>
    <x:row r="626" spans="1:22" s="14" customFormat="1" ht="13.5" customHeight="1">
      <x:c r="A626" s="13" t="str">
        <x:f>O626</x:f>
        <x:v>학생36</x:v>
      </x:c>
      <x:c r="B626" s="25" t="str">
        <x:f>L626&amp;"-"&amp;TEXT(P626,"0000")</x:f>
        <x:v>20050715-0320</x:v>
      </x:c>
      <x:c r="C626" s="13" t="s">
        <x:v>1978</x:v>
      </x:c>
      <x:c r="D626" s="13" t="s">
        <x:v>1811</x:v>
      </x:c>
      <x:c r="E626" s="13" t="s">
        <x:v>1543</x:v>
      </x:c>
      <x:c r="F626" s="13" t="s">
        <x:v>585</x:v>
      </x:c>
      <x:c r="G626" s="13" t="s">
        <x:v>1289</x:v>
      </x:c>
      <x:c r="H626" s="13" t="str">
        <x:f>IFERROR(VLOOKUP(O626,'정보화기기 명부'!A$2:B$187,2,FALSE),"")</x:f>
        <x:v/>
      </x:c>
      <x:c r="I626" s="13"/>
      <x:c r="J626" s="13"/>
      <x:c r="K626" s="13"/>
      <x:c r="L626" s="13">
        <x:v>20050715</x:v>
      </x:c>
      <x:c r="M626" s="13" t="s">
        <x:v>591</x:v>
      </x:c>
      <x:c r="N626" s="13" t="s">
        <x:v>2034</x:v>
      </x:c>
      <x:c r="O626" s="13" t="s">
        <x:v>1798</x:v>
      </x:c>
      <x:c r="P626" s="202">
        <x:v>320</x:v>
      </x:c>
      <x:c r="Q626" s="13" t="s">
        <x:v>572</x:v>
      </x:c>
      <x:c r="R626" s="13" t="s">
        <x:v>1769</x:v>
      </x:c>
      <x:c r="S626" s="13" t="s">
        <x:v>1301</x:v>
      </x:c>
      <x:c r="T626" s="13" t="s">
        <x:v>1344</x:v>
      </x:c>
      <x:c r="U626" s="13"/>
      <x:c r="V626" s="13" t="s">
        <x:v>1746</x:v>
      </x:c>
    </x:row>
    <x:row r="627" spans="1:22" s="14" customFormat="1" ht="13.5" customHeight="1">
      <x:c r="A627" s="13" t="str">
        <x:f>O627</x:f>
        <x:v>학생35</x:v>
      </x:c>
      <x:c r="B627" s="25" t="str">
        <x:f>L627&amp;"-"&amp;TEXT(P627,"0000")</x:f>
        <x:v>20050715-0319</x:v>
      </x:c>
      <x:c r="C627" s="13" t="s">
        <x:v>1978</x:v>
      </x:c>
      <x:c r="D627" s="13" t="s">
        <x:v>1811</x:v>
      </x:c>
      <x:c r="E627" s="13" t="s">
        <x:v>1543</x:v>
      </x:c>
      <x:c r="F627" s="13" t="s">
        <x:v>585</x:v>
      </x:c>
      <x:c r="G627" s="13" t="s">
        <x:v>1289</x:v>
      </x:c>
      <x:c r="H627" s="13" t="str">
        <x:f>IFERROR(VLOOKUP(O627,'정보화기기 명부'!A$2:B$187,2,FALSE),"")</x:f>
        <x:v/>
      </x:c>
      <x:c r="I627" s="13"/>
      <x:c r="J627" s="13"/>
      <x:c r="K627" s="13"/>
      <x:c r="L627" s="13">
        <x:v>20050715</x:v>
      </x:c>
      <x:c r="M627" s="13" t="s">
        <x:v>591</x:v>
      </x:c>
      <x:c r="N627" s="13" t="s">
        <x:v>2034</x:v>
      </x:c>
      <x:c r="O627" s="13" t="s">
        <x:v>1795</x:v>
      </x:c>
      <x:c r="P627" s="202">
        <x:v>319</x:v>
      </x:c>
      <x:c r="Q627" s="13" t="s">
        <x:v>572</x:v>
      </x:c>
      <x:c r="R627" s="13" t="s">
        <x:v>1769</x:v>
      </x:c>
      <x:c r="S627" s="13" t="s">
        <x:v>1301</x:v>
      </x:c>
      <x:c r="T627" s="13" t="s">
        <x:v>1344</x:v>
      </x:c>
      <x:c r="U627" s="13"/>
      <x:c r="V627" s="13" t="s">
        <x:v>1746</x:v>
      </x:c>
    </x:row>
    <x:row r="628" spans="1:22" s="14" customFormat="1" ht="13.5" customHeight="1">
      <x:c r="A628" s="13" t="str">
        <x:f>O628</x:f>
        <x:v>학생34</x:v>
      </x:c>
      <x:c r="B628" s="25" t="str">
        <x:f>L628&amp;"-"&amp;TEXT(P628,"0000")</x:f>
        <x:v>20050715-0318</x:v>
      </x:c>
      <x:c r="C628" s="13" t="s">
        <x:v>1978</x:v>
      </x:c>
      <x:c r="D628" s="13" t="s">
        <x:v>1811</x:v>
      </x:c>
      <x:c r="E628" s="13" t="s">
        <x:v>1543</x:v>
      </x:c>
      <x:c r="F628" s="13" t="s">
        <x:v>585</x:v>
      </x:c>
      <x:c r="G628" s="13" t="s">
        <x:v>1289</x:v>
      </x:c>
      <x:c r="H628" s="13" t="str">
        <x:f>IFERROR(VLOOKUP(O628,'정보화기기 명부'!A$2:B$187,2,FALSE),"")</x:f>
        <x:v/>
      </x:c>
      <x:c r="I628" s="13"/>
      <x:c r="J628" s="13"/>
      <x:c r="K628" s="13"/>
      <x:c r="L628" s="13">
        <x:v>20050715</x:v>
      </x:c>
      <x:c r="M628" s="13" t="s">
        <x:v>591</x:v>
      </x:c>
      <x:c r="N628" s="13" t="s">
        <x:v>2034</x:v>
      </x:c>
      <x:c r="O628" s="13" t="s">
        <x:v>1840</x:v>
      </x:c>
      <x:c r="P628" s="202">
        <x:v>318</x:v>
      </x:c>
      <x:c r="Q628" s="13" t="s">
        <x:v>572</x:v>
      </x:c>
      <x:c r="R628" s="13" t="s">
        <x:v>1769</x:v>
      </x:c>
      <x:c r="S628" s="13" t="s">
        <x:v>1301</x:v>
      </x:c>
      <x:c r="T628" s="13" t="s">
        <x:v>1344</x:v>
      </x:c>
      <x:c r="U628" s="13"/>
      <x:c r="V628" s="13" t="s">
        <x:v>1746</x:v>
      </x:c>
    </x:row>
    <x:row r="629" spans="1:22" s="14" customFormat="1" ht="13.5" customHeight="1">
      <x:c r="A629" s="13" t="str">
        <x:f>O629</x:f>
        <x:v>학생33</x:v>
      </x:c>
      <x:c r="B629" s="25" t="str">
        <x:f>L629&amp;"-"&amp;TEXT(P629,"0000")</x:f>
        <x:v>20050715-0317</x:v>
      </x:c>
      <x:c r="C629" s="13" t="s">
        <x:v>1978</x:v>
      </x:c>
      <x:c r="D629" s="13" t="s">
        <x:v>1811</x:v>
      </x:c>
      <x:c r="E629" s="13" t="s">
        <x:v>1543</x:v>
      </x:c>
      <x:c r="F629" s="13" t="s">
        <x:v>585</x:v>
      </x:c>
      <x:c r="G629" s="13" t="s">
        <x:v>1289</x:v>
      </x:c>
      <x:c r="H629" s="13" t="str">
        <x:f>IFERROR(VLOOKUP(O629,'정보화기기 명부'!A$2:B$187,2,FALSE),"")</x:f>
        <x:v/>
      </x:c>
      <x:c r="I629" s="13"/>
      <x:c r="J629" s="13"/>
      <x:c r="K629" s="13"/>
      <x:c r="L629" s="13">
        <x:v>20050715</x:v>
      </x:c>
      <x:c r="M629" s="13" t="s">
        <x:v>591</x:v>
      </x:c>
      <x:c r="N629" s="13" t="s">
        <x:v>2034</x:v>
      </x:c>
      <x:c r="O629" s="13" t="s">
        <x:v>1794</x:v>
      </x:c>
      <x:c r="P629" s="202">
        <x:v>317</x:v>
      </x:c>
      <x:c r="Q629" s="13" t="s">
        <x:v>572</x:v>
      </x:c>
      <x:c r="R629" s="13" t="s">
        <x:v>1769</x:v>
      </x:c>
      <x:c r="S629" s="13" t="s">
        <x:v>1301</x:v>
      </x:c>
      <x:c r="T629" s="13" t="s">
        <x:v>1344</x:v>
      </x:c>
      <x:c r="U629" s="13"/>
      <x:c r="V629" s="13" t="s">
        <x:v>1746</x:v>
      </x:c>
    </x:row>
    <x:row r="630" spans="1:22" s="14" customFormat="1" ht="13.5" customHeight="1">
      <x:c r="A630" s="13" t="str">
        <x:f>O630</x:f>
        <x:v>학생32</x:v>
      </x:c>
      <x:c r="B630" s="25" t="str">
        <x:f>L630&amp;"-"&amp;TEXT(P630,"0000")</x:f>
        <x:v>20050715-0316</x:v>
      </x:c>
      <x:c r="C630" s="13" t="s">
        <x:v>1978</x:v>
      </x:c>
      <x:c r="D630" s="13" t="s">
        <x:v>1811</x:v>
      </x:c>
      <x:c r="E630" s="13" t="s">
        <x:v>1543</x:v>
      </x:c>
      <x:c r="F630" s="13" t="s">
        <x:v>585</x:v>
      </x:c>
      <x:c r="G630" s="13" t="s">
        <x:v>1289</x:v>
      </x:c>
      <x:c r="H630" s="13" t="str">
        <x:f>IFERROR(VLOOKUP(O630,'정보화기기 명부'!A$2:B$187,2,FALSE),"")</x:f>
        <x:v/>
      </x:c>
      <x:c r="I630" s="13"/>
      <x:c r="J630" s="13"/>
      <x:c r="K630" s="13"/>
      <x:c r="L630" s="13">
        <x:v>20050715</x:v>
      </x:c>
      <x:c r="M630" s="13" t="s">
        <x:v>591</x:v>
      </x:c>
      <x:c r="N630" s="13" t="s">
        <x:v>2034</x:v>
      </x:c>
      <x:c r="O630" s="13" t="s">
        <x:v>2102</x:v>
      </x:c>
      <x:c r="P630" s="202">
        <x:v>316</x:v>
      </x:c>
      <x:c r="Q630" s="13" t="s">
        <x:v>572</x:v>
      </x:c>
      <x:c r="R630" s="13" t="s">
        <x:v>1769</x:v>
      </x:c>
      <x:c r="S630" s="13" t="s">
        <x:v>1301</x:v>
      </x:c>
      <x:c r="T630" s="13" t="s">
        <x:v>1344</x:v>
      </x:c>
      <x:c r="U630" s="13"/>
      <x:c r="V630" s="13" t="s">
        <x:v>1746</x:v>
      </x:c>
    </x:row>
    <x:row r="631" spans="1:22" s="14" customFormat="1" ht="13.5" customHeight="1">
      <x:c r="A631" s="13" t="str">
        <x:f>O631</x:f>
        <x:v>학생31</x:v>
      </x:c>
      <x:c r="B631" s="25" t="str">
        <x:f>L631&amp;"-"&amp;TEXT(P631,"0000")</x:f>
        <x:v>20050715-0315</x:v>
      </x:c>
      <x:c r="C631" s="13" t="s">
        <x:v>1978</x:v>
      </x:c>
      <x:c r="D631" s="13" t="s">
        <x:v>1811</x:v>
      </x:c>
      <x:c r="E631" s="13" t="s">
        <x:v>1543</x:v>
      </x:c>
      <x:c r="F631" s="13" t="s">
        <x:v>585</x:v>
      </x:c>
      <x:c r="G631" s="13" t="s">
        <x:v>1289</x:v>
      </x:c>
      <x:c r="H631" s="13" t="str">
        <x:f>IFERROR(VLOOKUP(O631,'정보화기기 명부'!A$2:B$187,2,FALSE),"")</x:f>
        <x:v/>
      </x:c>
      <x:c r="I631" s="13"/>
      <x:c r="J631" s="13"/>
      <x:c r="K631" s="13"/>
      <x:c r="L631" s="13">
        <x:v>20050715</x:v>
      </x:c>
      <x:c r="M631" s="13" t="s">
        <x:v>591</x:v>
      </x:c>
      <x:c r="N631" s="13" t="s">
        <x:v>2034</x:v>
      </x:c>
      <x:c r="O631" s="13" t="s">
        <x:v>1828</x:v>
      </x:c>
      <x:c r="P631" s="202">
        <x:v>315</x:v>
      </x:c>
      <x:c r="Q631" s="13" t="s">
        <x:v>572</x:v>
      </x:c>
      <x:c r="R631" s="13" t="s">
        <x:v>1769</x:v>
      </x:c>
      <x:c r="S631" s="13" t="s">
        <x:v>1301</x:v>
      </x:c>
      <x:c r="T631" s="13" t="s">
        <x:v>1344</x:v>
      </x:c>
      <x:c r="U631" s="13"/>
      <x:c r="V631" s="13" t="s">
        <x:v>1746</x:v>
      </x:c>
    </x:row>
    <x:row r="632" spans="1:22" s="14" customFormat="1" ht="13.5" customHeight="1">
      <x:c r="A632" s="13" t="str">
        <x:f>O632</x:f>
        <x:v>학생30</x:v>
      </x:c>
      <x:c r="B632" s="25" t="str">
        <x:f>L632&amp;"-"&amp;TEXT(P632,"0000")</x:f>
        <x:v>20050715-0314</x:v>
      </x:c>
      <x:c r="C632" s="13" t="s">
        <x:v>1978</x:v>
      </x:c>
      <x:c r="D632" s="13" t="s">
        <x:v>1811</x:v>
      </x:c>
      <x:c r="E632" s="13" t="s">
        <x:v>1543</x:v>
      </x:c>
      <x:c r="F632" s="13" t="s">
        <x:v>585</x:v>
      </x:c>
      <x:c r="G632" s="13" t="s">
        <x:v>1289</x:v>
      </x:c>
      <x:c r="H632" s="13" t="str">
        <x:f>IFERROR(VLOOKUP(O632,'정보화기기 명부'!A$2:B$187,2,FALSE),"")</x:f>
        <x:v/>
      </x:c>
      <x:c r="I632" s="13"/>
      <x:c r="J632" s="13"/>
      <x:c r="K632" s="13"/>
      <x:c r="L632" s="13">
        <x:v>20050715</x:v>
      </x:c>
      <x:c r="M632" s="13" t="s">
        <x:v>591</x:v>
      </x:c>
      <x:c r="N632" s="13" t="s">
        <x:v>2034</x:v>
      </x:c>
      <x:c r="O632" s="13" t="s">
        <x:v>1801</x:v>
      </x:c>
      <x:c r="P632" s="202">
        <x:v>314</x:v>
      </x:c>
      <x:c r="Q632" s="13" t="s">
        <x:v>572</x:v>
      </x:c>
      <x:c r="R632" s="13" t="s">
        <x:v>1769</x:v>
      </x:c>
      <x:c r="S632" s="13" t="s">
        <x:v>1301</x:v>
      </x:c>
      <x:c r="T632" s="13" t="s">
        <x:v>1344</x:v>
      </x:c>
      <x:c r="U632" s="13"/>
      <x:c r="V632" s="13" t="s">
        <x:v>1746</x:v>
      </x:c>
    </x:row>
    <x:row r="633" spans="1:22" s="14" customFormat="1" ht="13.5" customHeight="1">
      <x:c r="A633" s="13" t="str">
        <x:f>O633</x:f>
        <x:v>학생29</x:v>
      </x:c>
      <x:c r="B633" s="25" t="str">
        <x:f>L633&amp;"-"&amp;TEXT(P633,"0000")</x:f>
        <x:v>20050715-0313</x:v>
      </x:c>
      <x:c r="C633" s="13" t="s">
        <x:v>1978</x:v>
      </x:c>
      <x:c r="D633" s="13" t="s">
        <x:v>1811</x:v>
      </x:c>
      <x:c r="E633" s="13" t="s">
        <x:v>1543</x:v>
      </x:c>
      <x:c r="F633" s="13" t="s">
        <x:v>585</x:v>
      </x:c>
      <x:c r="G633" s="13" t="s">
        <x:v>1289</x:v>
      </x:c>
      <x:c r="H633" s="13" t="str">
        <x:f>IFERROR(VLOOKUP(O633,'정보화기기 명부'!A$2:B$187,2,FALSE),"")</x:f>
        <x:v/>
      </x:c>
      <x:c r="I633" s="13"/>
      <x:c r="J633" s="13"/>
      <x:c r="K633" s="13"/>
      <x:c r="L633" s="13">
        <x:v>20050715</x:v>
      </x:c>
      <x:c r="M633" s="13" t="s">
        <x:v>591</x:v>
      </x:c>
      <x:c r="N633" s="13" t="s">
        <x:v>2034</x:v>
      </x:c>
      <x:c r="O633" s="13" t="s">
        <x:v>1745</x:v>
      </x:c>
      <x:c r="P633" s="202">
        <x:v>313</x:v>
      </x:c>
      <x:c r="Q633" s="13" t="s">
        <x:v>572</x:v>
      </x:c>
      <x:c r="R633" s="13" t="s">
        <x:v>1769</x:v>
      </x:c>
      <x:c r="S633" s="13" t="s">
        <x:v>1301</x:v>
      </x:c>
      <x:c r="T633" s="13" t="s">
        <x:v>1344</x:v>
      </x:c>
      <x:c r="U633" s="13"/>
      <x:c r="V633" s="13" t="s">
        <x:v>1746</x:v>
      </x:c>
    </x:row>
    <x:row r="634" spans="1:22" s="14" customFormat="1" ht="13.5" customHeight="1">
      <x:c r="A634" s="13" t="str">
        <x:f>O634</x:f>
        <x:v>학생28</x:v>
      </x:c>
      <x:c r="B634" s="25" t="str">
        <x:f>L634&amp;"-"&amp;TEXT(P634,"0000")</x:f>
        <x:v>20050715-0312</x:v>
      </x:c>
      <x:c r="C634" s="13" t="s">
        <x:v>1978</x:v>
      </x:c>
      <x:c r="D634" s="13" t="s">
        <x:v>1811</x:v>
      </x:c>
      <x:c r="E634" s="13" t="s">
        <x:v>1543</x:v>
      </x:c>
      <x:c r="F634" s="13" t="s">
        <x:v>585</x:v>
      </x:c>
      <x:c r="G634" s="13" t="s">
        <x:v>1289</x:v>
      </x:c>
      <x:c r="H634" s="13" t="str">
        <x:f>IFERROR(VLOOKUP(O634,'정보화기기 명부'!A$2:B$187,2,FALSE),"")</x:f>
        <x:v/>
      </x:c>
      <x:c r="I634" s="13"/>
      <x:c r="J634" s="13"/>
      <x:c r="K634" s="13"/>
      <x:c r="L634" s="13">
        <x:v>20050715</x:v>
      </x:c>
      <x:c r="M634" s="13" t="s">
        <x:v>591</x:v>
      </x:c>
      <x:c r="N634" s="13" t="s">
        <x:v>2034</x:v>
      </x:c>
      <x:c r="O634" s="13" t="s">
        <x:v>1788</x:v>
      </x:c>
      <x:c r="P634" s="202">
        <x:v>312</x:v>
      </x:c>
      <x:c r="Q634" s="13" t="s">
        <x:v>572</x:v>
      </x:c>
      <x:c r="R634" s="13" t="s">
        <x:v>1769</x:v>
      </x:c>
      <x:c r="S634" s="13" t="s">
        <x:v>1301</x:v>
      </x:c>
      <x:c r="T634" s="13" t="s">
        <x:v>1344</x:v>
      </x:c>
      <x:c r="U634" s="13"/>
      <x:c r="V634" s="13" t="s">
        <x:v>1746</x:v>
      </x:c>
    </x:row>
    <x:row r="635" spans="1:22" s="14" customFormat="1" ht="13.5" customHeight="1">
      <x:c r="A635" s="13" t="str">
        <x:f>O635</x:f>
        <x:v>학생27</x:v>
      </x:c>
      <x:c r="B635" s="25" t="str">
        <x:f>L635&amp;"-"&amp;TEXT(P635,"0000")</x:f>
        <x:v>20050715-0311</x:v>
      </x:c>
      <x:c r="C635" s="13" t="s">
        <x:v>1978</x:v>
      </x:c>
      <x:c r="D635" s="13" t="s">
        <x:v>1811</x:v>
      </x:c>
      <x:c r="E635" s="13" t="s">
        <x:v>1543</x:v>
      </x:c>
      <x:c r="F635" s="13" t="s">
        <x:v>585</x:v>
      </x:c>
      <x:c r="G635" s="13" t="s">
        <x:v>1289</x:v>
      </x:c>
      <x:c r="H635" s="13" t="str">
        <x:f>IFERROR(VLOOKUP(O635,'정보화기기 명부'!A$2:B$187,2,FALSE),"")</x:f>
        <x:v/>
      </x:c>
      <x:c r="I635" s="13"/>
      <x:c r="J635" s="13"/>
      <x:c r="K635" s="13"/>
      <x:c r="L635" s="13">
        <x:v>20050715</x:v>
      </x:c>
      <x:c r="M635" s="13" t="s">
        <x:v>591</x:v>
      </x:c>
      <x:c r="N635" s="13" t="s">
        <x:v>2034</x:v>
      </x:c>
      <x:c r="O635" s="13" t="s">
        <x:v>1777</x:v>
      </x:c>
      <x:c r="P635" s="202">
        <x:v>311</x:v>
      </x:c>
      <x:c r="Q635" s="13" t="s">
        <x:v>572</x:v>
      </x:c>
      <x:c r="R635" s="13" t="s">
        <x:v>1769</x:v>
      </x:c>
      <x:c r="S635" s="13" t="s">
        <x:v>1301</x:v>
      </x:c>
      <x:c r="T635" s="13" t="s">
        <x:v>1344</x:v>
      </x:c>
      <x:c r="U635" s="13"/>
      <x:c r="V635" s="13" t="s">
        <x:v>1746</x:v>
      </x:c>
    </x:row>
    <x:row r="636" spans="1:22" s="14" customFormat="1" ht="13.5" customHeight="1">
      <x:c r="A636" s="13" t="str">
        <x:f>O636</x:f>
        <x:v>학생26</x:v>
      </x:c>
      <x:c r="B636" s="25" t="str">
        <x:f>L636&amp;"-"&amp;TEXT(P636,"0000")</x:f>
        <x:v>20050715-0310</x:v>
      </x:c>
      <x:c r="C636" s="13" t="s">
        <x:v>1978</x:v>
      </x:c>
      <x:c r="D636" s="13" t="s">
        <x:v>1811</x:v>
      </x:c>
      <x:c r="E636" s="13" t="s">
        <x:v>1543</x:v>
      </x:c>
      <x:c r="F636" s="13" t="s">
        <x:v>585</x:v>
      </x:c>
      <x:c r="G636" s="13" t="s">
        <x:v>1289</x:v>
      </x:c>
      <x:c r="H636" s="13" t="str">
        <x:f>IFERROR(VLOOKUP(O636,'정보화기기 명부'!A$2:B$187,2,FALSE),"")</x:f>
        <x:v/>
      </x:c>
      <x:c r="I636" s="13"/>
      <x:c r="J636" s="13"/>
      <x:c r="K636" s="13"/>
      <x:c r="L636" s="13">
        <x:v>20050715</x:v>
      </x:c>
      <x:c r="M636" s="13" t="s">
        <x:v>591</x:v>
      </x:c>
      <x:c r="N636" s="13" t="s">
        <x:v>2034</x:v>
      </x:c>
      <x:c r="O636" s="13" t="s">
        <x:v>1792</x:v>
      </x:c>
      <x:c r="P636" s="202">
        <x:v>310</x:v>
      </x:c>
      <x:c r="Q636" s="13" t="s">
        <x:v>572</x:v>
      </x:c>
      <x:c r="R636" s="13" t="s">
        <x:v>1769</x:v>
      </x:c>
      <x:c r="S636" s="13" t="s">
        <x:v>1301</x:v>
      </x:c>
      <x:c r="T636" s="13" t="s">
        <x:v>1344</x:v>
      </x:c>
      <x:c r="U636" s="13"/>
      <x:c r="V636" s="13" t="s">
        <x:v>1746</x:v>
      </x:c>
    </x:row>
    <x:row r="637" spans="1:22" s="14" customFormat="1" ht="13.5" customHeight="1">
      <x:c r="A637" s="13" t="str">
        <x:f>O637</x:f>
        <x:v>학생25</x:v>
      </x:c>
      <x:c r="B637" s="25" t="str">
        <x:f>L637&amp;"-"&amp;TEXT(P637,"0000")</x:f>
        <x:v>20050715-0309</x:v>
      </x:c>
      <x:c r="C637" s="13" t="s">
        <x:v>1978</x:v>
      </x:c>
      <x:c r="D637" s="13" t="s">
        <x:v>1811</x:v>
      </x:c>
      <x:c r="E637" s="13" t="s">
        <x:v>1543</x:v>
      </x:c>
      <x:c r="F637" s="13" t="s">
        <x:v>585</x:v>
      </x:c>
      <x:c r="G637" s="13" t="s">
        <x:v>1289</x:v>
      </x:c>
      <x:c r="H637" s="13" t="str">
        <x:f>IFERROR(VLOOKUP(O637,'정보화기기 명부'!A$2:B$187,2,FALSE),"")</x:f>
        <x:v/>
      </x:c>
      <x:c r="I637" s="13"/>
      <x:c r="J637" s="13"/>
      <x:c r="K637" s="13"/>
      <x:c r="L637" s="13">
        <x:v>20050715</x:v>
      </x:c>
      <x:c r="M637" s="13" t="s">
        <x:v>591</x:v>
      </x:c>
      <x:c r="N637" s="13" t="s">
        <x:v>2034</x:v>
      </x:c>
      <x:c r="O637" s="13" t="s">
        <x:v>1836</x:v>
      </x:c>
      <x:c r="P637" s="202">
        <x:v>309</x:v>
      </x:c>
      <x:c r="Q637" s="13" t="s">
        <x:v>572</x:v>
      </x:c>
      <x:c r="R637" s="13" t="s">
        <x:v>1769</x:v>
      </x:c>
      <x:c r="S637" s="13" t="s">
        <x:v>1301</x:v>
      </x:c>
      <x:c r="T637" s="13" t="s">
        <x:v>1344</x:v>
      </x:c>
      <x:c r="U637" s="13"/>
      <x:c r="V637" s="13" t="s">
        <x:v>1746</x:v>
      </x:c>
    </x:row>
    <x:row r="638" spans="1:22" s="14" customFormat="1" ht="13.5" customHeight="1">
      <x:c r="A638" s="13" t="str">
        <x:f>O638</x:f>
        <x:v>학생24</x:v>
      </x:c>
      <x:c r="B638" s="25" t="str">
        <x:f>L638&amp;"-"&amp;TEXT(P638,"0000")</x:f>
        <x:v>20050715-0308</x:v>
      </x:c>
      <x:c r="C638" s="13" t="s">
        <x:v>1978</x:v>
      </x:c>
      <x:c r="D638" s="13" t="s">
        <x:v>1811</x:v>
      </x:c>
      <x:c r="E638" s="13" t="s">
        <x:v>1543</x:v>
      </x:c>
      <x:c r="F638" s="13" t="s">
        <x:v>585</x:v>
      </x:c>
      <x:c r="G638" s="13" t="s">
        <x:v>1289</x:v>
      </x:c>
      <x:c r="H638" s="13" t="str">
        <x:f>IFERROR(VLOOKUP(O638,'정보화기기 명부'!A$2:B$187,2,FALSE),"")</x:f>
        <x:v/>
      </x:c>
      <x:c r="I638" s="13"/>
      <x:c r="J638" s="13"/>
      <x:c r="K638" s="13"/>
      <x:c r="L638" s="13">
        <x:v>20050715</x:v>
      </x:c>
      <x:c r="M638" s="13" t="s">
        <x:v>591</x:v>
      </x:c>
      <x:c r="N638" s="13" t="s">
        <x:v>2045</x:v>
      </x:c>
      <x:c r="O638" s="13" t="s">
        <x:v>1771</x:v>
      </x:c>
      <x:c r="P638" s="202">
        <x:v>308</x:v>
      </x:c>
      <x:c r="Q638" s="13" t="s">
        <x:v>572</x:v>
      </x:c>
      <x:c r="R638" s="13" t="s">
        <x:v>1769</x:v>
      </x:c>
      <x:c r="S638" s="13" t="s">
        <x:v>1301</x:v>
      </x:c>
      <x:c r="T638" s="13" t="s">
        <x:v>1344</x:v>
      </x:c>
      <x:c r="U638" s="13"/>
      <x:c r="V638" s="13" t="s">
        <x:v>1746</x:v>
      </x:c>
    </x:row>
    <x:row r="639" spans="1:22" s="14" customFormat="1" ht="13.5" customHeight="1">
      <x:c r="A639" s="13" t="str">
        <x:f>O639</x:f>
        <x:v>학생23</x:v>
      </x:c>
      <x:c r="B639" s="25" t="str">
        <x:f>L639&amp;"-"&amp;TEXT(P639,"0000")</x:f>
        <x:v>20050715-0307</x:v>
      </x:c>
      <x:c r="C639" s="13" t="s">
        <x:v>1978</x:v>
      </x:c>
      <x:c r="D639" s="13" t="s">
        <x:v>1811</x:v>
      </x:c>
      <x:c r="E639" s="13" t="s">
        <x:v>1543</x:v>
      </x:c>
      <x:c r="F639" s="13" t="s">
        <x:v>585</x:v>
      </x:c>
      <x:c r="G639" s="13" t="s">
        <x:v>1289</x:v>
      </x:c>
      <x:c r="H639" s="13" t="str">
        <x:f>IFERROR(VLOOKUP(O639,'정보화기기 명부'!A$2:B$187,2,FALSE),"")</x:f>
        <x:v/>
      </x:c>
      <x:c r="I639" s="13"/>
      <x:c r="J639" s="13"/>
      <x:c r="K639" s="13"/>
      <x:c r="L639" s="13">
        <x:v>20050715</x:v>
      </x:c>
      <x:c r="M639" s="13" t="s">
        <x:v>591</x:v>
      </x:c>
      <x:c r="N639" s="13" t="s">
        <x:v>2034</x:v>
      </x:c>
      <x:c r="O639" s="13" t="s">
        <x:v>1765</x:v>
      </x:c>
      <x:c r="P639" s="202">
        <x:v>307</x:v>
      </x:c>
      <x:c r="Q639" s="13" t="s">
        <x:v>572</x:v>
      </x:c>
      <x:c r="R639" s="13" t="s">
        <x:v>1769</x:v>
      </x:c>
      <x:c r="S639" s="13" t="s">
        <x:v>1301</x:v>
      </x:c>
      <x:c r="T639" s="13" t="s">
        <x:v>1344</x:v>
      </x:c>
      <x:c r="U639" s="13"/>
      <x:c r="V639" s="13" t="s">
        <x:v>1746</x:v>
      </x:c>
    </x:row>
    <x:row r="640" spans="1:22" s="14" customFormat="1" ht="13.5" customHeight="1">
      <x:c r="A640" s="13" t="str">
        <x:f>O640</x:f>
        <x:v>학생22</x:v>
      </x:c>
      <x:c r="B640" s="25" t="str">
        <x:f>L640&amp;"-"&amp;TEXT(P640,"0000")</x:f>
        <x:v>20050715-0306</x:v>
      </x:c>
      <x:c r="C640" s="13" t="s">
        <x:v>1978</x:v>
      </x:c>
      <x:c r="D640" s="13" t="s">
        <x:v>1811</x:v>
      </x:c>
      <x:c r="E640" s="13" t="s">
        <x:v>1543</x:v>
      </x:c>
      <x:c r="F640" s="13" t="s">
        <x:v>585</x:v>
      </x:c>
      <x:c r="G640" s="13" t="s">
        <x:v>1289</x:v>
      </x:c>
      <x:c r="H640" s="13" t="str">
        <x:f>IFERROR(VLOOKUP(O640,'정보화기기 명부'!A$2:B$187,2,FALSE),"")</x:f>
        <x:v/>
      </x:c>
      <x:c r="I640" s="13"/>
      <x:c r="J640" s="13"/>
      <x:c r="K640" s="13"/>
      <x:c r="L640" s="13">
        <x:v>20050715</x:v>
      </x:c>
      <x:c r="M640" s="13" t="s">
        <x:v>591</x:v>
      </x:c>
      <x:c r="N640" s="13" t="s">
        <x:v>2034</x:v>
      </x:c>
      <x:c r="O640" s="13" t="s">
        <x:v>2083</x:v>
      </x:c>
      <x:c r="P640" s="202">
        <x:v>306</x:v>
      </x:c>
      <x:c r="Q640" s="13" t="s">
        <x:v>572</x:v>
      </x:c>
      <x:c r="R640" s="13" t="s">
        <x:v>1769</x:v>
      </x:c>
      <x:c r="S640" s="13" t="s">
        <x:v>1301</x:v>
      </x:c>
      <x:c r="T640" s="13" t="s">
        <x:v>1344</x:v>
      </x:c>
      <x:c r="U640" s="13"/>
      <x:c r="V640" s="13" t="s">
        <x:v>1746</x:v>
      </x:c>
    </x:row>
    <x:row r="641" spans="1:22" s="14" customFormat="1" ht="13.5" customHeight="1">
      <x:c r="A641" s="13" t="str">
        <x:f>O641</x:f>
        <x:v>학생21</x:v>
      </x:c>
      <x:c r="B641" s="25" t="str">
        <x:f>L641&amp;"-"&amp;TEXT(P641,"0000")</x:f>
        <x:v>20050715-0305</x:v>
      </x:c>
      <x:c r="C641" s="13" t="s">
        <x:v>1978</x:v>
      </x:c>
      <x:c r="D641" s="13" t="s">
        <x:v>1811</x:v>
      </x:c>
      <x:c r="E641" s="13" t="s">
        <x:v>1543</x:v>
      </x:c>
      <x:c r="F641" s="13" t="s">
        <x:v>585</x:v>
      </x:c>
      <x:c r="G641" s="13" t="s">
        <x:v>1289</x:v>
      </x:c>
      <x:c r="H641" s="13" t="str">
        <x:f>IFERROR(VLOOKUP(O641,'정보화기기 명부'!A$2:B$187,2,FALSE),"")</x:f>
        <x:v/>
      </x:c>
      <x:c r="I641" s="13"/>
      <x:c r="J641" s="13"/>
      <x:c r="K641" s="13"/>
      <x:c r="L641" s="13">
        <x:v>20050715</x:v>
      </x:c>
      <x:c r="M641" s="13" t="s">
        <x:v>591</x:v>
      </x:c>
      <x:c r="N641" s="13" t="s">
        <x:v>2034</x:v>
      </x:c>
      <x:c r="O641" s="13" t="s">
        <x:v>1809</x:v>
      </x:c>
      <x:c r="P641" s="202">
        <x:v>305</x:v>
      </x:c>
      <x:c r="Q641" s="13" t="s">
        <x:v>572</x:v>
      </x:c>
      <x:c r="R641" s="13" t="s">
        <x:v>1769</x:v>
      </x:c>
      <x:c r="S641" s="13" t="s">
        <x:v>1301</x:v>
      </x:c>
      <x:c r="T641" s="13" t="s">
        <x:v>1344</x:v>
      </x:c>
      <x:c r="U641" s="13"/>
      <x:c r="V641" s="13" t="s">
        <x:v>1746</x:v>
      </x:c>
    </x:row>
    <x:row r="642" spans="1:22" s="14" customFormat="1" ht="13.5" customHeight="1">
      <x:c r="A642" s="13" t="str">
        <x:f>O642</x:f>
        <x:v>학생20</x:v>
      </x:c>
      <x:c r="B642" s="25" t="str">
        <x:f>L642&amp;"-"&amp;TEXT(P642,"0000")</x:f>
        <x:v>20050715-0304</x:v>
      </x:c>
      <x:c r="C642" s="13" t="s">
        <x:v>1978</x:v>
      </x:c>
      <x:c r="D642" s="13" t="s">
        <x:v>1811</x:v>
      </x:c>
      <x:c r="E642" s="13" t="s">
        <x:v>1543</x:v>
      </x:c>
      <x:c r="F642" s="13" t="s">
        <x:v>585</x:v>
      </x:c>
      <x:c r="G642" s="13" t="s">
        <x:v>1289</x:v>
      </x:c>
      <x:c r="H642" s="13" t="str">
        <x:f>IFERROR(VLOOKUP(O642,'정보화기기 명부'!A$2:B$187,2,FALSE),"")</x:f>
        <x:v/>
      </x:c>
      <x:c r="I642" s="13"/>
      <x:c r="J642" s="13"/>
      <x:c r="K642" s="13"/>
      <x:c r="L642" s="13">
        <x:v>20050715</x:v>
      </x:c>
      <x:c r="M642" s="13" t="s">
        <x:v>591</x:v>
      </x:c>
      <x:c r="N642" s="13" t="s">
        <x:v>2034</x:v>
      </x:c>
      <x:c r="O642" s="13" t="s">
        <x:v>1787</x:v>
      </x:c>
      <x:c r="P642" s="202">
        <x:v>304</x:v>
      </x:c>
      <x:c r="Q642" s="13" t="s">
        <x:v>572</x:v>
      </x:c>
      <x:c r="R642" s="13" t="s">
        <x:v>1769</x:v>
      </x:c>
      <x:c r="S642" s="13" t="s">
        <x:v>1301</x:v>
      </x:c>
      <x:c r="T642" s="13" t="s">
        <x:v>1344</x:v>
      </x:c>
      <x:c r="U642" s="13"/>
      <x:c r="V642" s="13" t="s">
        <x:v>1746</x:v>
      </x:c>
    </x:row>
    <x:row r="643" spans="1:22" s="14" customFormat="1" ht="13.5" customHeight="1">
      <x:c r="A643" s="13" t="str">
        <x:f>O643</x:f>
        <x:v>학생19</x:v>
      </x:c>
      <x:c r="B643" s="25" t="str">
        <x:f>L643&amp;"-"&amp;TEXT(P643,"0000")</x:f>
        <x:v>20050715-0303</x:v>
      </x:c>
      <x:c r="C643" s="13" t="s">
        <x:v>1978</x:v>
      </x:c>
      <x:c r="D643" s="13" t="s">
        <x:v>1811</x:v>
      </x:c>
      <x:c r="E643" s="13" t="s">
        <x:v>1543</x:v>
      </x:c>
      <x:c r="F643" s="13" t="s">
        <x:v>585</x:v>
      </x:c>
      <x:c r="G643" s="13" t="s">
        <x:v>1289</x:v>
      </x:c>
      <x:c r="H643" s="13" t="str">
        <x:f>IFERROR(VLOOKUP(O643,'정보화기기 명부'!A$2:B$187,2,FALSE),"")</x:f>
        <x:v/>
      </x:c>
      <x:c r="I643" s="13"/>
      <x:c r="J643" s="13"/>
      <x:c r="K643" s="13"/>
      <x:c r="L643" s="13">
        <x:v>20050715</x:v>
      </x:c>
      <x:c r="M643" s="13" t="s">
        <x:v>591</x:v>
      </x:c>
      <x:c r="N643" s="13" t="s">
        <x:v>2034</x:v>
      </x:c>
      <x:c r="O643" s="13" t="s">
        <x:v>1789</x:v>
      </x:c>
      <x:c r="P643" s="202">
        <x:v>303</x:v>
      </x:c>
      <x:c r="Q643" s="13" t="s">
        <x:v>572</x:v>
      </x:c>
      <x:c r="R643" s="13" t="s">
        <x:v>1769</x:v>
      </x:c>
      <x:c r="S643" s="13" t="s">
        <x:v>1301</x:v>
      </x:c>
      <x:c r="T643" s="13" t="s">
        <x:v>1344</x:v>
      </x:c>
      <x:c r="U643" s="13"/>
      <x:c r="V643" s="13" t="s">
        <x:v>1746</x:v>
      </x:c>
    </x:row>
    <x:row r="644" spans="1:22" s="14" customFormat="1" ht="13.5" customHeight="1">
      <x:c r="A644" s="13" t="str">
        <x:f>O644</x:f>
        <x:v>학생18</x:v>
      </x:c>
      <x:c r="B644" s="25" t="str">
        <x:f>L644&amp;"-"&amp;TEXT(P644,"0000")</x:f>
        <x:v>20050715-0302</x:v>
      </x:c>
      <x:c r="C644" s="13" t="s">
        <x:v>1978</x:v>
      </x:c>
      <x:c r="D644" s="13" t="s">
        <x:v>1811</x:v>
      </x:c>
      <x:c r="E644" s="13" t="s">
        <x:v>1543</x:v>
      </x:c>
      <x:c r="F644" s="13" t="s">
        <x:v>585</x:v>
      </x:c>
      <x:c r="G644" s="13" t="s">
        <x:v>1289</x:v>
      </x:c>
      <x:c r="H644" s="13" t="str">
        <x:f>IFERROR(VLOOKUP(O644,'정보화기기 명부'!A$2:B$187,2,FALSE),"")</x:f>
        <x:v/>
      </x:c>
      <x:c r="I644" s="13"/>
      <x:c r="J644" s="13"/>
      <x:c r="K644" s="13"/>
      <x:c r="L644" s="13">
        <x:v>20050715</x:v>
      </x:c>
      <x:c r="M644" s="13" t="s">
        <x:v>591</x:v>
      </x:c>
      <x:c r="N644" s="13" t="s">
        <x:v>2034</x:v>
      </x:c>
      <x:c r="O644" s="13" t="s">
        <x:v>1793</x:v>
      </x:c>
      <x:c r="P644" s="202">
        <x:v>302</x:v>
      </x:c>
      <x:c r="Q644" s="13" t="s">
        <x:v>572</x:v>
      </x:c>
      <x:c r="R644" s="13" t="s">
        <x:v>1769</x:v>
      </x:c>
      <x:c r="S644" s="13" t="s">
        <x:v>1301</x:v>
      </x:c>
      <x:c r="T644" s="13" t="s">
        <x:v>1344</x:v>
      </x:c>
      <x:c r="U644" s="13"/>
      <x:c r="V644" s="13" t="s">
        <x:v>1746</x:v>
      </x:c>
    </x:row>
    <x:row r="645" spans="1:22" s="14" customFormat="1" ht="13.5" customHeight="1">
      <x:c r="A645" s="13" t="str">
        <x:f>O645</x:f>
        <x:v>학생17</x:v>
      </x:c>
      <x:c r="B645" s="25" t="str">
        <x:f>L645&amp;"-"&amp;TEXT(P645,"0000")</x:f>
        <x:v>20050715-0301</x:v>
      </x:c>
      <x:c r="C645" s="13" t="s">
        <x:v>1978</x:v>
      </x:c>
      <x:c r="D645" s="13" t="s">
        <x:v>1811</x:v>
      </x:c>
      <x:c r="E645" s="13" t="s">
        <x:v>1543</x:v>
      </x:c>
      <x:c r="F645" s="13" t="s">
        <x:v>585</x:v>
      </x:c>
      <x:c r="G645" s="13" t="s">
        <x:v>1289</x:v>
      </x:c>
      <x:c r="H645" s="13" t="str">
        <x:f>IFERROR(VLOOKUP(O645,'정보화기기 명부'!A$2:B$187,2,FALSE),"")</x:f>
        <x:v/>
      </x:c>
      <x:c r="I645" s="13"/>
      <x:c r="J645" s="13"/>
      <x:c r="K645" s="13"/>
      <x:c r="L645" s="13">
        <x:v>20050715</x:v>
      </x:c>
      <x:c r="M645" s="13" t="s">
        <x:v>591</x:v>
      </x:c>
      <x:c r="N645" s="13" t="s">
        <x:v>2034</x:v>
      </x:c>
      <x:c r="O645" s="13" t="s">
        <x:v>1781</x:v>
      </x:c>
      <x:c r="P645" s="202">
        <x:v>301</x:v>
      </x:c>
      <x:c r="Q645" s="13" t="s">
        <x:v>572</x:v>
      </x:c>
      <x:c r="R645" s="13" t="s">
        <x:v>1769</x:v>
      </x:c>
      <x:c r="S645" s="13" t="s">
        <x:v>1301</x:v>
      </x:c>
      <x:c r="T645" s="13" t="s">
        <x:v>1344</x:v>
      </x:c>
      <x:c r="U645" s="13"/>
      <x:c r="V645" s="13" t="s">
        <x:v>1746</x:v>
      </x:c>
    </x:row>
    <x:row r="646" spans="1:22" s="14" customFormat="1" ht="13.5" customHeight="1">
      <x:c r="A646" s="13" t="str">
        <x:f>O646</x:f>
        <x:v>학생16</x:v>
      </x:c>
      <x:c r="B646" s="25" t="str">
        <x:f>L646&amp;"-"&amp;TEXT(P646,"0000")</x:f>
        <x:v>20050715-0300</x:v>
      </x:c>
      <x:c r="C646" s="13" t="s">
        <x:v>1978</x:v>
      </x:c>
      <x:c r="D646" s="13" t="s">
        <x:v>1811</x:v>
      </x:c>
      <x:c r="E646" s="13" t="s">
        <x:v>1543</x:v>
      </x:c>
      <x:c r="F646" s="13" t="s">
        <x:v>585</x:v>
      </x:c>
      <x:c r="G646" s="13" t="s">
        <x:v>1289</x:v>
      </x:c>
      <x:c r="H646" s="13" t="str">
        <x:f>IFERROR(VLOOKUP(O646,'정보화기기 명부'!A$2:B$187,2,FALSE),"")</x:f>
        <x:v/>
      </x:c>
      <x:c r="I646" s="13"/>
      <x:c r="J646" s="13"/>
      <x:c r="K646" s="13"/>
      <x:c r="L646" s="13">
        <x:v>20050715</x:v>
      </x:c>
      <x:c r="M646" s="13" t="s">
        <x:v>591</x:v>
      </x:c>
      <x:c r="N646" s="13" t="s">
        <x:v>2034</x:v>
      </x:c>
      <x:c r="O646" s="13" t="s">
        <x:v>1785</x:v>
      </x:c>
      <x:c r="P646" s="202">
        <x:v>300</x:v>
      </x:c>
      <x:c r="Q646" s="13" t="s">
        <x:v>572</x:v>
      </x:c>
      <x:c r="R646" s="13" t="s">
        <x:v>1769</x:v>
      </x:c>
      <x:c r="S646" s="13" t="s">
        <x:v>1301</x:v>
      </x:c>
      <x:c r="T646" s="13" t="s">
        <x:v>1344</x:v>
      </x:c>
      <x:c r="U646" s="13"/>
      <x:c r="V646" s="13" t="s">
        <x:v>1746</x:v>
      </x:c>
    </x:row>
    <x:row r="647" spans="1:22" s="14" customFormat="1" ht="13.5" customHeight="1">
      <x:c r="A647" s="13" t="str">
        <x:f>O647</x:f>
        <x:v>학생15</x:v>
      </x:c>
      <x:c r="B647" s="25" t="str">
        <x:f>L647&amp;"-"&amp;TEXT(P647,"0000")</x:f>
        <x:v>20050715-0299</x:v>
      </x:c>
      <x:c r="C647" s="13" t="s">
        <x:v>1978</x:v>
      </x:c>
      <x:c r="D647" s="13" t="s">
        <x:v>1811</x:v>
      </x:c>
      <x:c r="E647" s="13" t="s">
        <x:v>1543</x:v>
      </x:c>
      <x:c r="F647" s="13" t="s">
        <x:v>585</x:v>
      </x:c>
      <x:c r="G647" s="13" t="s">
        <x:v>1289</x:v>
      </x:c>
      <x:c r="H647" s="13" t="str">
        <x:f>IFERROR(VLOOKUP(O647,'정보화기기 명부'!A$2:B$187,2,FALSE),"")</x:f>
        <x:v/>
      </x:c>
      <x:c r="I647" s="13"/>
      <x:c r="J647" s="13"/>
      <x:c r="K647" s="13"/>
      <x:c r="L647" s="13">
        <x:v>20050715</x:v>
      </x:c>
      <x:c r="M647" s="13" t="s">
        <x:v>591</x:v>
      </x:c>
      <x:c r="N647" s="13" t="s">
        <x:v>2034</x:v>
      </x:c>
      <x:c r="O647" s="13" t="s">
        <x:v>2068</x:v>
      </x:c>
      <x:c r="P647" s="202">
        <x:v>299</x:v>
      </x:c>
      <x:c r="Q647" s="13" t="s">
        <x:v>572</x:v>
      </x:c>
      <x:c r="R647" s="13" t="s">
        <x:v>1769</x:v>
      </x:c>
      <x:c r="S647" s="13" t="s">
        <x:v>1301</x:v>
      </x:c>
      <x:c r="T647" s="13" t="s">
        <x:v>1344</x:v>
      </x:c>
      <x:c r="U647" s="13"/>
      <x:c r="V647" s="13" t="s">
        <x:v>1746</x:v>
      </x:c>
    </x:row>
    <x:row r="648" spans="1:22" s="14" customFormat="1" ht="13.5" customHeight="1">
      <x:c r="A648" s="13" t="str">
        <x:f>O648</x:f>
        <x:v>학생13</x:v>
      </x:c>
      <x:c r="B648" s="25" t="str">
        <x:f>L648&amp;"-"&amp;TEXT(P648,"0000")</x:f>
        <x:v>20050715-0297</x:v>
      </x:c>
      <x:c r="C648" s="13" t="s">
        <x:v>1978</x:v>
      </x:c>
      <x:c r="D648" s="13" t="s">
        <x:v>1811</x:v>
      </x:c>
      <x:c r="E648" s="13" t="s">
        <x:v>1543</x:v>
      </x:c>
      <x:c r="F648" s="13" t="s">
        <x:v>585</x:v>
      </x:c>
      <x:c r="G648" s="13" t="s">
        <x:v>1289</x:v>
      </x:c>
      <x:c r="H648" s="13" t="str">
        <x:f>IFERROR(VLOOKUP(O648,'정보화기기 명부'!A$2:B$187,2,FALSE),"")</x:f>
        <x:v/>
      </x:c>
      <x:c r="I648" s="13"/>
      <x:c r="J648" s="13"/>
      <x:c r="K648" s="13"/>
      <x:c r="L648" s="13">
        <x:v>20050715</x:v>
      </x:c>
      <x:c r="M648" s="13" t="s">
        <x:v>591</x:v>
      </x:c>
      <x:c r="N648" s="13" t="s">
        <x:v>2034</x:v>
      </x:c>
      <x:c r="O648" s="13" t="s">
        <x:v>1833</x:v>
      </x:c>
      <x:c r="P648" s="202">
        <x:v>297</x:v>
      </x:c>
      <x:c r="Q648" s="13" t="s">
        <x:v>572</x:v>
      </x:c>
      <x:c r="R648" s="13" t="s">
        <x:v>1769</x:v>
      </x:c>
      <x:c r="S648" s="13" t="s">
        <x:v>1301</x:v>
      </x:c>
      <x:c r="T648" s="13" t="s">
        <x:v>1344</x:v>
      </x:c>
      <x:c r="U648" s="13"/>
      <x:c r="V648" s="13" t="s">
        <x:v>1746</x:v>
      </x:c>
    </x:row>
    <x:row r="649" spans="1:22" s="14" customFormat="1" ht="13.5" customHeight="1">
      <x:c r="A649" s="13" t="str">
        <x:f>O649</x:f>
        <x:v>학생12</x:v>
      </x:c>
      <x:c r="B649" s="25" t="str">
        <x:f>L649&amp;"-"&amp;TEXT(P649,"0000")</x:f>
        <x:v>20050715-0296</x:v>
      </x:c>
      <x:c r="C649" s="13" t="s">
        <x:v>1978</x:v>
      </x:c>
      <x:c r="D649" s="13" t="s">
        <x:v>1811</x:v>
      </x:c>
      <x:c r="E649" s="13" t="s">
        <x:v>1543</x:v>
      </x:c>
      <x:c r="F649" s="13" t="s">
        <x:v>585</x:v>
      </x:c>
      <x:c r="G649" s="13" t="s">
        <x:v>1289</x:v>
      </x:c>
      <x:c r="H649" s="13" t="str">
        <x:f>IFERROR(VLOOKUP(O649,'정보화기기 명부'!A$2:B$187,2,FALSE),"")</x:f>
        <x:v/>
      </x:c>
      <x:c r="I649" s="13"/>
      <x:c r="J649" s="13"/>
      <x:c r="K649" s="13"/>
      <x:c r="L649" s="13">
        <x:v>20050715</x:v>
      </x:c>
      <x:c r="M649" s="13" t="s">
        <x:v>591</x:v>
      </x:c>
      <x:c r="N649" s="13" t="s">
        <x:v>2034</x:v>
      </x:c>
      <x:c r="O649" s="13" t="s">
        <x:v>1824</x:v>
      </x:c>
      <x:c r="P649" s="202">
        <x:v>296</x:v>
      </x:c>
      <x:c r="Q649" s="13" t="s">
        <x:v>572</x:v>
      </x:c>
      <x:c r="R649" s="13" t="s">
        <x:v>1769</x:v>
      </x:c>
      <x:c r="S649" s="13" t="s">
        <x:v>1301</x:v>
      </x:c>
      <x:c r="T649" s="13" t="s">
        <x:v>1344</x:v>
      </x:c>
      <x:c r="U649" s="13"/>
      <x:c r="V649" s="13" t="s">
        <x:v>1746</x:v>
      </x:c>
    </x:row>
    <x:row r="650" spans="1:22" s="14" customFormat="1" ht="13.5" customHeight="1">
      <x:c r="A650" s="13" t="str">
        <x:f>O650</x:f>
        <x:v>학생11</x:v>
      </x:c>
      <x:c r="B650" s="25" t="str">
        <x:f>L650&amp;"-"&amp;TEXT(P650,"0000")</x:f>
        <x:v>20050715-0295</x:v>
      </x:c>
      <x:c r="C650" s="13" t="s">
        <x:v>1978</x:v>
      </x:c>
      <x:c r="D650" s="13" t="s">
        <x:v>1811</x:v>
      </x:c>
      <x:c r="E650" s="13" t="s">
        <x:v>1543</x:v>
      </x:c>
      <x:c r="F650" s="13" t="s">
        <x:v>585</x:v>
      </x:c>
      <x:c r="G650" s="13" t="s">
        <x:v>1289</x:v>
      </x:c>
      <x:c r="H650" s="13" t="str">
        <x:f>IFERROR(VLOOKUP(O650,'정보화기기 명부'!A$2:B$187,2,FALSE),"")</x:f>
        <x:v/>
      </x:c>
      <x:c r="I650" s="13"/>
      <x:c r="J650" s="13"/>
      <x:c r="K650" s="13"/>
      <x:c r="L650" s="13">
        <x:v>20050715</x:v>
      </x:c>
      <x:c r="M650" s="13" t="s">
        <x:v>591</x:v>
      </x:c>
      <x:c r="N650" s="13" t="s">
        <x:v>2034</x:v>
      </x:c>
      <x:c r="O650" s="13" t="s">
        <x:v>1790</x:v>
      </x:c>
      <x:c r="P650" s="202">
        <x:v>295</x:v>
      </x:c>
      <x:c r="Q650" s="13" t="s">
        <x:v>572</x:v>
      </x:c>
      <x:c r="R650" s="13" t="s">
        <x:v>1769</x:v>
      </x:c>
      <x:c r="S650" s="13" t="s">
        <x:v>1301</x:v>
      </x:c>
      <x:c r="T650" s="13" t="s">
        <x:v>1344</x:v>
      </x:c>
      <x:c r="U650" s="13"/>
      <x:c r="V650" s="13" t="s">
        <x:v>1746</x:v>
      </x:c>
    </x:row>
    <x:row r="651" spans="1:22" s="14" customFormat="1" ht="13.5" customHeight="1">
      <x:c r="A651" s="13" t="str">
        <x:f>O651</x:f>
        <x:v>학생10</x:v>
      </x:c>
      <x:c r="B651" s="25" t="str">
        <x:f>L651&amp;"-"&amp;TEXT(P651,"0000")</x:f>
        <x:v>20050715-0294</x:v>
      </x:c>
      <x:c r="C651" s="13" t="s">
        <x:v>1978</x:v>
      </x:c>
      <x:c r="D651" s="13" t="s">
        <x:v>1811</x:v>
      </x:c>
      <x:c r="E651" s="13" t="s">
        <x:v>1543</x:v>
      </x:c>
      <x:c r="F651" s="13" t="s">
        <x:v>585</x:v>
      </x:c>
      <x:c r="G651" s="13" t="s">
        <x:v>1289</x:v>
      </x:c>
      <x:c r="H651" s="13" t="str">
        <x:f>IFERROR(VLOOKUP(O651,'정보화기기 명부'!A$2:B$187,2,FALSE),"")</x:f>
        <x:v/>
      </x:c>
      <x:c r="I651" s="13"/>
      <x:c r="J651" s="13"/>
      <x:c r="K651" s="13"/>
      <x:c r="L651" s="13">
        <x:v>20050715</x:v>
      </x:c>
      <x:c r="M651" s="13" t="s">
        <x:v>591</x:v>
      </x:c>
      <x:c r="N651" s="13" t="s">
        <x:v>2034</x:v>
      </x:c>
      <x:c r="O651" s="13" t="s">
        <x:v>2073</x:v>
      </x:c>
      <x:c r="P651" s="202">
        <x:v>294</x:v>
      </x:c>
      <x:c r="Q651" s="13" t="s">
        <x:v>572</x:v>
      </x:c>
      <x:c r="R651" s="13" t="s">
        <x:v>1769</x:v>
      </x:c>
      <x:c r="S651" s="13" t="s">
        <x:v>1301</x:v>
      </x:c>
      <x:c r="T651" s="13" t="s">
        <x:v>1344</x:v>
      </x:c>
      <x:c r="U651" s="13"/>
      <x:c r="V651" s="13" t="s">
        <x:v>1746</x:v>
      </x:c>
    </x:row>
    <x:row r="652" spans="1:22" s="14" customFormat="1" ht="13.5" customHeight="1">
      <x:c r="A652" s="13" t="str">
        <x:f>O652</x:f>
        <x:v>학생9</x:v>
      </x:c>
      <x:c r="B652" s="25" t="str">
        <x:f>L652&amp;"-"&amp;TEXT(P652,"0000")</x:f>
        <x:v>20050715-0293</x:v>
      </x:c>
      <x:c r="C652" s="13" t="s">
        <x:v>1978</x:v>
      </x:c>
      <x:c r="D652" s="13" t="s">
        <x:v>1811</x:v>
      </x:c>
      <x:c r="E652" s="13" t="s">
        <x:v>1543</x:v>
      </x:c>
      <x:c r="F652" s="13" t="s">
        <x:v>585</x:v>
      </x:c>
      <x:c r="G652" s="13" t="s">
        <x:v>1289</x:v>
      </x:c>
      <x:c r="H652" s="13" t="str">
        <x:f>IFERROR(VLOOKUP(O652,'정보화기기 명부'!A$2:B$187,2,FALSE),"")</x:f>
        <x:v/>
      </x:c>
      <x:c r="I652" s="13"/>
      <x:c r="J652" s="13"/>
      <x:c r="K652" s="13"/>
      <x:c r="L652" s="13">
        <x:v>20050715</x:v>
      </x:c>
      <x:c r="M652" s="13" t="s">
        <x:v>591</x:v>
      </x:c>
      <x:c r="N652" s="13" t="s">
        <x:v>2034</x:v>
      </x:c>
      <x:c r="O652" s="13" t="s">
        <x:v>1386</x:v>
      </x:c>
      <x:c r="P652" s="202">
        <x:v>293</x:v>
      </x:c>
      <x:c r="Q652" s="13" t="s">
        <x:v>572</x:v>
      </x:c>
      <x:c r="R652" s="13" t="s">
        <x:v>1769</x:v>
      </x:c>
      <x:c r="S652" s="13" t="s">
        <x:v>1301</x:v>
      </x:c>
      <x:c r="T652" s="13" t="s">
        <x:v>1344</x:v>
      </x:c>
      <x:c r="U652" s="13"/>
      <x:c r="V652" s="13" t="s">
        <x:v>1746</x:v>
      </x:c>
    </x:row>
    <x:row r="653" spans="1:22" s="14" customFormat="1" ht="13.5" customHeight="1">
      <x:c r="A653" s="13" t="str">
        <x:f>O653</x:f>
        <x:v>학생8</x:v>
      </x:c>
      <x:c r="B653" s="25" t="str">
        <x:f>L653&amp;"-"&amp;TEXT(P653,"0000")</x:f>
        <x:v>20050715-0292</x:v>
      </x:c>
      <x:c r="C653" s="13" t="s">
        <x:v>1978</x:v>
      </x:c>
      <x:c r="D653" s="13" t="s">
        <x:v>1811</x:v>
      </x:c>
      <x:c r="E653" s="13" t="s">
        <x:v>1543</x:v>
      </x:c>
      <x:c r="F653" s="13" t="s">
        <x:v>585</x:v>
      </x:c>
      <x:c r="G653" s="13" t="s">
        <x:v>1289</x:v>
      </x:c>
      <x:c r="H653" s="13" t="str">
        <x:f>IFERROR(VLOOKUP(O653,'정보화기기 명부'!A$2:B$187,2,FALSE),"")</x:f>
        <x:v/>
      </x:c>
      <x:c r="I653" s="13"/>
      <x:c r="J653" s="13"/>
      <x:c r="K653" s="13"/>
      <x:c r="L653" s="13">
        <x:v>20050715</x:v>
      </x:c>
      <x:c r="M653" s="13" t="s">
        <x:v>591</x:v>
      </x:c>
      <x:c r="N653" s="13" t="s">
        <x:v>2034</x:v>
      </x:c>
      <x:c r="O653" s="13" t="s">
        <x:v>1376</x:v>
      </x:c>
      <x:c r="P653" s="202">
        <x:v>292</x:v>
      </x:c>
      <x:c r="Q653" s="13" t="s">
        <x:v>572</x:v>
      </x:c>
      <x:c r="R653" s="13" t="s">
        <x:v>1769</x:v>
      </x:c>
      <x:c r="S653" s="13" t="s">
        <x:v>1301</x:v>
      </x:c>
      <x:c r="T653" s="13" t="s">
        <x:v>1344</x:v>
      </x:c>
      <x:c r="U653" s="13"/>
      <x:c r="V653" s="13" t="s">
        <x:v>1746</x:v>
      </x:c>
    </x:row>
    <x:row r="654" spans="1:22" s="14" customFormat="1" ht="13.5" customHeight="1">
      <x:c r="A654" s="13" t="str">
        <x:f>O654</x:f>
        <x:v>학생7</x:v>
      </x:c>
      <x:c r="B654" s="25" t="str">
        <x:f>L654&amp;"-"&amp;TEXT(P654,"0000")</x:f>
        <x:v>20050715-0291</x:v>
      </x:c>
      <x:c r="C654" s="13" t="s">
        <x:v>1978</x:v>
      </x:c>
      <x:c r="D654" s="13" t="s">
        <x:v>1811</x:v>
      </x:c>
      <x:c r="E654" s="13" t="s">
        <x:v>1543</x:v>
      </x:c>
      <x:c r="F654" s="13" t="s">
        <x:v>585</x:v>
      </x:c>
      <x:c r="G654" s="13" t="s">
        <x:v>1289</x:v>
      </x:c>
      <x:c r="H654" s="13" t="str">
        <x:f>IFERROR(VLOOKUP(O654,'정보화기기 명부'!A$2:B$187,2,FALSE),"")</x:f>
        <x:v/>
      </x:c>
      <x:c r="I654" s="13"/>
      <x:c r="J654" s="13"/>
      <x:c r="K654" s="13"/>
      <x:c r="L654" s="13">
        <x:v>20050715</x:v>
      </x:c>
      <x:c r="M654" s="13" t="s">
        <x:v>591</x:v>
      </x:c>
      <x:c r="N654" s="13" t="s">
        <x:v>2034</x:v>
      </x:c>
      <x:c r="O654" s="13" t="s">
        <x:v>1318</x:v>
      </x:c>
      <x:c r="P654" s="202">
        <x:v>291</x:v>
      </x:c>
      <x:c r="Q654" s="13" t="s">
        <x:v>572</x:v>
      </x:c>
      <x:c r="R654" s="13" t="s">
        <x:v>1769</x:v>
      </x:c>
      <x:c r="S654" s="13" t="s">
        <x:v>1301</x:v>
      </x:c>
      <x:c r="T654" s="13" t="s">
        <x:v>1344</x:v>
      </x:c>
      <x:c r="U654" s="13"/>
      <x:c r="V654" s="13" t="s">
        <x:v>1746</x:v>
      </x:c>
    </x:row>
    <x:row r="655" spans="1:22" s="14" customFormat="1" ht="13.5" customHeight="1">
      <x:c r="A655" s="13" t="str">
        <x:f>O655</x:f>
        <x:v>학생6</x:v>
      </x:c>
      <x:c r="B655" s="25" t="str">
        <x:f>L655&amp;"-"&amp;TEXT(P655,"0000")</x:f>
        <x:v>20050715-0290</x:v>
      </x:c>
      <x:c r="C655" s="13" t="s">
        <x:v>1978</x:v>
      </x:c>
      <x:c r="D655" s="13" t="s">
        <x:v>1811</x:v>
      </x:c>
      <x:c r="E655" s="13" t="s">
        <x:v>1543</x:v>
      </x:c>
      <x:c r="F655" s="13" t="s">
        <x:v>585</x:v>
      </x:c>
      <x:c r="G655" s="13" t="s">
        <x:v>1289</x:v>
      </x:c>
      <x:c r="H655" s="13" t="str">
        <x:f>IFERROR(VLOOKUP(O655,'정보화기기 명부'!A$2:B$187,2,FALSE),"")</x:f>
        <x:v/>
      </x:c>
      <x:c r="I655" s="13"/>
      <x:c r="J655" s="13"/>
      <x:c r="K655" s="13"/>
      <x:c r="L655" s="13">
        <x:v>20050715</x:v>
      </x:c>
      <x:c r="M655" s="13" t="s">
        <x:v>591</x:v>
      </x:c>
      <x:c r="N655" s="13" t="s">
        <x:v>2034</x:v>
      </x:c>
      <x:c r="O655" s="13" t="s">
        <x:v>1380</x:v>
      </x:c>
      <x:c r="P655" s="202">
        <x:v>290</x:v>
      </x:c>
      <x:c r="Q655" s="13" t="s">
        <x:v>572</x:v>
      </x:c>
      <x:c r="R655" s="13" t="s">
        <x:v>1769</x:v>
      </x:c>
      <x:c r="S655" s="13" t="s">
        <x:v>1301</x:v>
      </x:c>
      <x:c r="T655" s="13" t="s">
        <x:v>1344</x:v>
      </x:c>
      <x:c r="U655" s="13"/>
      <x:c r="V655" s="13" t="s">
        <x:v>1746</x:v>
      </x:c>
    </x:row>
    <x:row r="656" spans="1:22" s="14" customFormat="1" ht="13.5" customHeight="1">
      <x:c r="A656" s="13" t="str">
        <x:f>O656</x:f>
        <x:v>학생5</x:v>
      </x:c>
      <x:c r="B656" s="25" t="str">
        <x:f>L656&amp;"-"&amp;TEXT(P656,"0000")</x:f>
        <x:v>20050715-0289</x:v>
      </x:c>
      <x:c r="C656" s="13" t="s">
        <x:v>1978</x:v>
      </x:c>
      <x:c r="D656" s="13" t="s">
        <x:v>1811</x:v>
      </x:c>
      <x:c r="E656" s="13" t="s">
        <x:v>1543</x:v>
      </x:c>
      <x:c r="F656" s="13" t="s">
        <x:v>585</x:v>
      </x:c>
      <x:c r="G656" s="13" t="s">
        <x:v>1289</x:v>
      </x:c>
      <x:c r="H656" s="13" t="str">
        <x:f>IFERROR(VLOOKUP(O656,'정보화기기 명부'!A$2:B$187,2,FALSE),"")</x:f>
        <x:v/>
      </x:c>
      <x:c r="I656" s="13"/>
      <x:c r="J656" s="13"/>
      <x:c r="K656" s="13"/>
      <x:c r="L656" s="13">
        <x:v>20050715</x:v>
      </x:c>
      <x:c r="M656" s="13" t="s">
        <x:v>591</x:v>
      </x:c>
      <x:c r="N656" s="13" t="s">
        <x:v>2034</x:v>
      </x:c>
      <x:c r="O656" s="13" t="s">
        <x:v>1373</x:v>
      </x:c>
      <x:c r="P656" s="202">
        <x:v>289</x:v>
      </x:c>
      <x:c r="Q656" s="13" t="s">
        <x:v>572</x:v>
      </x:c>
      <x:c r="R656" s="13" t="s">
        <x:v>1769</x:v>
      </x:c>
      <x:c r="S656" s="13" t="s">
        <x:v>1301</x:v>
      </x:c>
      <x:c r="T656" s="13" t="s">
        <x:v>1344</x:v>
      </x:c>
      <x:c r="U656" s="13"/>
      <x:c r="V656" s="13" t="s">
        <x:v>1746</x:v>
      </x:c>
    </x:row>
    <x:row r="657" spans="1:22" s="14" customFormat="1" ht="13.5" customHeight="1">
      <x:c r="A657" s="13" t="str">
        <x:f>O657</x:f>
        <x:v>학생4</x:v>
      </x:c>
      <x:c r="B657" s="25" t="str">
        <x:f>L657&amp;"-"&amp;TEXT(P657,"0000")</x:f>
        <x:v>20050715-0288</x:v>
      </x:c>
      <x:c r="C657" s="13" t="s">
        <x:v>1978</x:v>
      </x:c>
      <x:c r="D657" s="13" t="s">
        <x:v>1811</x:v>
      </x:c>
      <x:c r="E657" s="13" t="s">
        <x:v>1543</x:v>
      </x:c>
      <x:c r="F657" s="13" t="s">
        <x:v>585</x:v>
      </x:c>
      <x:c r="G657" s="13" t="s">
        <x:v>1289</x:v>
      </x:c>
      <x:c r="H657" s="13" t="str">
        <x:f>IFERROR(VLOOKUP(O657,'정보화기기 명부'!A$2:B$187,2,FALSE),"")</x:f>
        <x:v/>
      </x:c>
      <x:c r="I657" s="13"/>
      <x:c r="J657" s="13"/>
      <x:c r="K657" s="13"/>
      <x:c r="L657" s="13">
        <x:v>20050715</x:v>
      </x:c>
      <x:c r="M657" s="13" t="s">
        <x:v>591</x:v>
      </x:c>
      <x:c r="N657" s="13" t="s">
        <x:v>2034</x:v>
      </x:c>
      <x:c r="O657" s="13" t="s">
        <x:v>1311</x:v>
      </x:c>
      <x:c r="P657" s="202">
        <x:v>288</x:v>
      </x:c>
      <x:c r="Q657" s="13" t="s">
        <x:v>572</x:v>
      </x:c>
      <x:c r="R657" s="13" t="s">
        <x:v>1769</x:v>
      </x:c>
      <x:c r="S657" s="13" t="s">
        <x:v>1301</x:v>
      </x:c>
      <x:c r="T657" s="13" t="s">
        <x:v>1344</x:v>
      </x:c>
      <x:c r="U657" s="13"/>
      <x:c r="V657" s="13" t="s">
        <x:v>1746</x:v>
      </x:c>
    </x:row>
    <x:row r="658" spans="1:22" s="14" customFormat="1" ht="13.5" customHeight="1">
      <x:c r="A658" s="13" t="str">
        <x:f>O658</x:f>
        <x:v>학생3</x:v>
      </x:c>
      <x:c r="B658" s="25" t="str">
        <x:f>L658&amp;"-"&amp;TEXT(P658,"0000")</x:f>
        <x:v>20050715-0287</x:v>
      </x:c>
      <x:c r="C658" s="13" t="s">
        <x:v>1978</x:v>
      </x:c>
      <x:c r="D658" s="13" t="s">
        <x:v>1811</x:v>
      </x:c>
      <x:c r="E658" s="13" t="s">
        <x:v>1543</x:v>
      </x:c>
      <x:c r="F658" s="13" t="s">
        <x:v>585</x:v>
      </x:c>
      <x:c r="G658" s="13" t="s">
        <x:v>1289</x:v>
      </x:c>
      <x:c r="H658" s="13" t="str">
        <x:f>IFERROR(VLOOKUP(O658,'정보화기기 명부'!A$2:B$187,2,FALSE),"")</x:f>
        <x:v/>
      </x:c>
      <x:c r="I658" s="13"/>
      <x:c r="J658" s="13"/>
      <x:c r="K658" s="13"/>
      <x:c r="L658" s="13">
        <x:v>20050715</x:v>
      </x:c>
      <x:c r="M658" s="13" t="s">
        <x:v>591</x:v>
      </x:c>
      <x:c r="N658" s="13" t="s">
        <x:v>2034</x:v>
      </x:c>
      <x:c r="O658" s="13" t="s">
        <x:v>1357</x:v>
      </x:c>
      <x:c r="P658" s="202">
        <x:v>287</x:v>
      </x:c>
      <x:c r="Q658" s="13" t="s">
        <x:v>572</x:v>
      </x:c>
      <x:c r="R658" s="13" t="s">
        <x:v>1769</x:v>
      </x:c>
      <x:c r="S658" s="13" t="s">
        <x:v>1301</x:v>
      </x:c>
      <x:c r="T658" s="13" t="s">
        <x:v>1344</x:v>
      </x:c>
      <x:c r="U658" s="13"/>
      <x:c r="V658" s="13" t="s">
        <x:v>1746</x:v>
      </x:c>
    </x:row>
    <x:row r="659" spans="1:22" s="14" customFormat="1" ht="13.5" customHeight="1">
      <x:c r="A659" s="13" t="str">
        <x:f>O659</x:f>
        <x:v>학생2</x:v>
      </x:c>
      <x:c r="B659" s="25" t="str">
        <x:f>L659&amp;"-"&amp;TEXT(P659,"0000")</x:f>
        <x:v>20050715-0286</x:v>
      </x:c>
      <x:c r="C659" s="13" t="s">
        <x:v>1978</x:v>
      </x:c>
      <x:c r="D659" s="13" t="s">
        <x:v>1811</x:v>
      </x:c>
      <x:c r="E659" s="13" t="s">
        <x:v>1543</x:v>
      </x:c>
      <x:c r="F659" s="13" t="s">
        <x:v>585</x:v>
      </x:c>
      <x:c r="G659" s="13" t="s">
        <x:v>1289</x:v>
      </x:c>
      <x:c r="H659" s="13" t="str">
        <x:f>IFERROR(VLOOKUP(O659,'정보화기기 명부'!A$2:B$187,2,FALSE),"")</x:f>
        <x:v/>
      </x:c>
      <x:c r="I659" s="13"/>
      <x:c r="J659" s="13"/>
      <x:c r="K659" s="13"/>
      <x:c r="L659" s="13">
        <x:v>20050715</x:v>
      </x:c>
      <x:c r="M659" s="13" t="s">
        <x:v>591</x:v>
      </x:c>
      <x:c r="N659" s="13" t="s">
        <x:v>2034</x:v>
      </x:c>
      <x:c r="O659" s="13" t="s">
        <x:v>1337</x:v>
      </x:c>
      <x:c r="P659" s="202">
        <x:v>286</x:v>
      </x:c>
      <x:c r="Q659" s="13" t="s">
        <x:v>572</x:v>
      </x:c>
      <x:c r="R659" s="13" t="s">
        <x:v>1769</x:v>
      </x:c>
      <x:c r="S659" s="13" t="s">
        <x:v>1301</x:v>
      </x:c>
      <x:c r="T659" s="13" t="s">
        <x:v>1344</x:v>
      </x:c>
      <x:c r="U659" s="13"/>
      <x:c r="V659" s="13" t="s">
        <x:v>1746</x:v>
      </x:c>
    </x:row>
    <x:row r="660" spans="1:22" s="14" customFormat="1" ht="13.5" customHeight="1">
      <x:c r="A660" s="13" t="str">
        <x:f>O660</x:f>
        <x:v>어학실교사용</x:v>
      </x:c>
      <x:c r="B660" s="25" t="str">
        <x:f>L660&amp;"-"&amp;TEXT(P660,"0000")</x:f>
        <x:v>20050715-0260</x:v>
      </x:c>
      <x:c r="C660" s="13" t="s">
        <x:v>1978</x:v>
      </x:c>
      <x:c r="D660" s="13" t="s">
        <x:v>1811</x:v>
      </x:c>
      <x:c r="E660" s="13" t="s">
        <x:v>1543</x:v>
      </x:c>
      <x:c r="F660" s="13" t="s">
        <x:v>2223</x:v>
      </x:c>
      <x:c r="G660" s="13" t="s">
        <x:v>1289</x:v>
      </x:c>
      <x:c r="H660" s="13" t="str">
        <x:f>IFERROR(VLOOKUP(O660,'정보화기기 명부'!A$2:B$187,2,FALSE),"")</x:f>
        <x:v/>
      </x:c>
      <x:c r="I660" s="13"/>
      <x:c r="J660" s="13"/>
      <x:c r="K660" s="13"/>
      <x:c r="L660" s="13">
        <x:v>20050715</x:v>
      </x:c>
      <x:c r="M660" s="13" t="s">
        <x:v>604</x:v>
      </x:c>
      <x:c r="N660" s="13" t="s">
        <x:v>2034</x:v>
      </x:c>
      <x:c r="O660" s="13" t="s">
        <x:v>1761</x:v>
      </x:c>
      <x:c r="P660" s="202">
        <x:v>260</x:v>
      </x:c>
      <x:c r="Q660" s="13" t="s">
        <x:v>572</x:v>
      </x:c>
      <x:c r="R660" s="13" t="s">
        <x:v>1769</x:v>
      </x:c>
      <x:c r="S660" s="13" t="s">
        <x:v>1354</x:v>
      </x:c>
      <x:c r="T660" s="13" t="s">
        <x:v>1344</x:v>
      </x:c>
      <x:c r="U660" s="13"/>
      <x:c r="V660" s="13" t="s">
        <x:v>2089</x:v>
      </x:c>
    </x:row>
    <x:row r="661" spans="1:22" s="14" customFormat="1" ht="13.5" customHeight="1">
      <x:c r="A661" s="13" t="str">
        <x:f>O661</x:f>
        <x:v>학생1</x:v>
      </x:c>
      <x:c r="B661" s="25" t="str">
        <x:f>L661&amp;"-"&amp;TEXT(P661,"0000")</x:f>
        <x:v>20050715-0259</x:v>
      </x:c>
      <x:c r="C661" s="13" t="s">
        <x:v>1978</x:v>
      </x:c>
      <x:c r="D661" s="13" t="s">
        <x:v>1811</x:v>
      </x:c>
      <x:c r="E661" s="13" t="s">
        <x:v>1543</x:v>
      </x:c>
      <x:c r="F661" s="13" t="s">
        <x:v>585</x:v>
      </x:c>
      <x:c r="G661" s="13" t="s">
        <x:v>1289</x:v>
      </x:c>
      <x:c r="H661" s="13" t="str">
        <x:f>IFERROR(VLOOKUP(O661,'정보화기기 명부'!A$2:B$187,2,FALSE),"")</x:f>
        <x:v/>
      </x:c>
      <x:c r="I661" s="13"/>
      <x:c r="J661" s="13"/>
      <x:c r="K661" s="13"/>
      <x:c r="L661" s="13">
        <x:v>20050715</x:v>
      </x:c>
      <x:c r="M661" s="13" t="s">
        <x:v>591</x:v>
      </x:c>
      <x:c r="N661" s="13" t="s">
        <x:v>2034</x:v>
      </x:c>
      <x:c r="O661" s="13" t="s">
        <x:v>1302</x:v>
      </x:c>
      <x:c r="P661" s="202">
        <x:v>259</x:v>
      </x:c>
      <x:c r="Q661" s="13" t="s">
        <x:v>572</x:v>
      </x:c>
      <x:c r="R661" s="13" t="s">
        <x:v>1769</x:v>
      </x:c>
      <x:c r="S661" s="13" t="s">
        <x:v>1301</x:v>
      </x:c>
      <x:c r="T661" s="13" t="s">
        <x:v>1344</x:v>
      </x:c>
      <x:c r="U661" s="13"/>
      <x:c r="V661" s="13" t="s">
        <x:v>797</x:v>
      </x:c>
    </x:row>
    <x:row r="662" spans="1:22" s="14" customFormat="1" ht="13.5" customHeight="1">
      <x:c r="A662" s="13"/>
      <x:c r="B662" s="25" t="str">
        <x:f>L662&amp;"-"&amp;TEXT(P662,"0000")</x:f>
        <x:v>20050715-0254</x:v>
      </x:c>
      <x:c r="C662" s="13" t="s">
        <x:v>1978</x:v>
      </x:c>
      <x:c r="D662" s="13" t="s">
        <x:v>1533</x:v>
      </x:c>
      <x:c r="E662" s="13" t="s">
        <x:v>1543</x:v>
      </x:c>
      <x:c r="F662" s="13" t="s">
        <x:v>513</x:v>
      </x:c>
      <x:c r="G662" s="13" t="s">
        <x:v>1289</x:v>
      </x:c>
      <x:c r="H662" s="13" t="str">
        <x:f>IFERROR(VLOOKUP(O662,'정보화기기 명부'!A$2:B$187,2,FALSE),"")</x:f>
        <x:v/>
      </x:c>
      <x:c r="I662" s="13"/>
      <x:c r="J662" s="13"/>
      <x:c r="K662" s="13"/>
      <x:c r="L662" s="13">
        <x:v>20050715</x:v>
      </x:c>
      <x:c r="M662" s="13" t="s">
        <x:v>1782</x:v>
      </x:c>
      <x:c r="N662" s="13" t="s">
        <x:v>2034</x:v>
      </x:c>
      <x:c r="O662" s="13" t="s">
        <x:v>1382</x:v>
      </x:c>
      <x:c r="P662" s="202">
        <x:v>254</x:v>
      </x:c>
      <x:c r="Q662" s="13" t="s">
        <x:v>572</x:v>
      </x:c>
      <x:c r="R662" s="13" t="s">
        <x:v>1769</x:v>
      </x:c>
      <x:c r="S662" s="13" t="s">
        <x:v>1301</x:v>
      </x:c>
      <x:c r="T662" s="13" t="s">
        <x:v>1293</x:v>
      </x:c>
      <x:c r="U662" s="13"/>
      <x:c r="V662" s="13" t="s">
        <x:v>1746</x:v>
      </x:c>
    </x:row>
    <x:row r="663" spans="1:22" s="14" customFormat="1" ht="13.5" customHeight="1">
      <x:c r="A663" s="13" t="str">
        <x:f>O663</x:f>
        <x:v>전용범</x:v>
      </x:c>
      <x:c r="B663" s="25" t="str">
        <x:f>L663&amp;"-"&amp;TEXT(P663,"0000")</x:f>
        <x:v>20050503-0249</x:v>
      </x:c>
      <x:c r="C663" s="13" t="s">
        <x:v>1978</x:v>
      </x:c>
      <x:c r="D663" s="13" t="s">
        <x:v>1369</x:v>
      </x:c>
      <x:c r="E663" s="13" t="s">
        <x:v>1543</x:v>
      </x:c>
      <x:c r="F663" s="13" t="s">
        <x:v>2067</x:v>
      </x:c>
      <x:c r="G663" s="13" t="s">
        <x:v>1289</x:v>
      </x:c>
      <x:c r="H663" s="13" t="str">
        <x:f>IFERROR(VLOOKUP(O663,'정보화기기 명부'!A$2:B$187,2,FALSE),"")</x:f>
        <x:v/>
      </x:c>
      <x:c r="I663" s="13"/>
      <x:c r="J663" s="13"/>
      <x:c r="K663" s="13"/>
      <x:c r="L663" s="13">
        <x:v>20050503</x:v>
      </x:c>
      <x:c r="M663" s="13" t="s">
        <x:v>1778</x:v>
      </x:c>
      <x:c r="N663" s="13" t="s">
        <x:v>2034</x:v>
      </x:c>
      <x:c r="O663" s="13" t="s">
        <x:v>1313</x:v>
      </x:c>
      <x:c r="P663" s="202">
        <x:v>249</x:v>
      </x:c>
      <x:c r="Q663" s="13" t="s">
        <x:v>572</x:v>
      </x:c>
      <x:c r="R663" s="13" t="s">
        <x:v>2029</x:v>
      </x:c>
      <x:c r="S663" s="13" t="s">
        <x:v>1354</x:v>
      </x:c>
      <x:c r="T663" s="13" t="s">
        <x:v>1344</x:v>
      </x:c>
      <x:c r="U663" s="13"/>
      <x:c r="V663" s="13" t="s">
        <x:v>1746</x:v>
      </x:c>
    </x:row>
    <x:row r="664" spans="1:22" s="14" customFormat="1" ht="13.5" customHeight="1">
      <x:c r="A664" s="13"/>
      <x:c r="B664" s="25" t="str">
        <x:f>L664&amp;"-"&amp;TEXT(P664,"0000")</x:f>
        <x:v>20050413-0285</x:v>
      </x:c>
      <x:c r="C664" s="13" t="s">
        <x:v>1978</x:v>
      </x:c>
      <x:c r="D664" s="13" t="s">
        <x:v>1533</x:v>
      </x:c>
      <x:c r="E664" s="13" t="s">
        <x:v>1543</x:v>
      </x:c>
      <x:c r="F664" s="13" t="s">
        <x:v>602</x:v>
      </x:c>
      <x:c r="G664" s="13" t="s">
        <x:v>1289</x:v>
      </x:c>
      <x:c r="H664" s="13" t="str">
        <x:f>IFERROR(VLOOKUP(O664,'정보화기기 명부'!A$2:B$187,2,FALSE),"")</x:f>
        <x:v/>
      </x:c>
      <x:c r="I664" s="13"/>
      <x:c r="J664" s="13"/>
      <x:c r="K664" s="13"/>
      <x:c r="L664" s="13">
        <x:v>20050413</x:v>
      </x:c>
      <x:c r="M664" s="13" t="s">
        <x:v>612</x:v>
      </x:c>
      <x:c r="N664" s="13" t="s">
        <x:v>2034</x:v>
      </x:c>
      <x:c r="O664" s="13" t="s">
        <x:v>3235</x:v>
      </x:c>
      <x:c r="P664" s="202">
        <x:v>285</x:v>
      </x:c>
      <x:c r="Q664" s="13" t="s">
        <x:v>572</x:v>
      </x:c>
      <x:c r="R664" s="13" t="s">
        <x:v>1769</x:v>
      </x:c>
      <x:c r="S664" s="13" t="s">
        <x:v>1354</x:v>
      </x:c>
      <x:c r="T664" s="13" t="s">
        <x:v>1293</x:v>
      </x:c>
      <x:c r="U664" s="13"/>
      <x:c r="V664" s="13" t="s">
        <x:v>1746</x:v>
      </x:c>
    </x:row>
    <x:row r="665" spans="1:22" s="14" customFormat="1" ht="13.5" customHeight="1">
      <x:c r="A665" s="13"/>
      <x:c r="B665" s="25" t="str">
        <x:f>L665&amp;"-"&amp;TEXT(P665,"0000")</x:f>
        <x:v>20050413-0284</x:v>
      </x:c>
      <x:c r="C665" s="13" t="s">
        <x:v>1978</x:v>
      </x:c>
      <x:c r="D665" s="13" t="s">
        <x:v>1533</x:v>
      </x:c>
      <x:c r="E665" s="13" t="s">
        <x:v>1543</x:v>
      </x:c>
      <x:c r="F665" s="13" t="s">
        <x:v>602</x:v>
      </x:c>
      <x:c r="G665" s="13" t="s">
        <x:v>1289</x:v>
      </x:c>
      <x:c r="H665" s="13" t="str">
        <x:f>IFERROR(VLOOKUP(O665,'정보화기기 명부'!A$2:B$187,2,FALSE),"")</x:f>
        <x:v/>
      </x:c>
      <x:c r="I665" s="13"/>
      <x:c r="J665" s="13"/>
      <x:c r="K665" s="13"/>
      <x:c r="L665" s="13">
        <x:v>20050413</x:v>
      </x:c>
      <x:c r="M665" s="13" t="s">
        <x:v>612</x:v>
      </x:c>
      <x:c r="N665" s="13" t="s">
        <x:v>2034</x:v>
      </x:c>
      <x:c r="O665" s="13" t="s">
        <x:v>3235</x:v>
      </x:c>
      <x:c r="P665" s="202">
        <x:v>284</x:v>
      </x:c>
      <x:c r="Q665" s="13" t="s">
        <x:v>572</x:v>
      </x:c>
      <x:c r="R665" s="13" t="s">
        <x:v>1769</x:v>
      </x:c>
      <x:c r="S665" s="13" t="s">
        <x:v>1354</x:v>
      </x:c>
      <x:c r="T665" s="13" t="s">
        <x:v>1293</x:v>
      </x:c>
      <x:c r="U665" s="13"/>
      <x:c r="V665" s="13" t="s">
        <x:v>1746</x:v>
      </x:c>
    </x:row>
    <x:row r="666" spans="1:22" s="14" customFormat="1" ht="13.5" customHeight="1">
      <x:c r="A666" s="13" t="str">
        <x:f>O666</x:f>
        <x:v>안정선</x:v>
      </x:c>
      <x:c r="B666" s="25" t="str">
        <x:f>L666&amp;"-"&amp;TEXT(P666,"0000")</x:f>
        <x:v>20050413-0253</x:v>
      </x:c>
      <x:c r="C666" s="13" t="s">
        <x:v>1978</x:v>
      </x:c>
      <x:c r="D666" s="13" t="s">
        <x:v>1533</x:v>
      </x:c>
      <x:c r="E666" s="13" t="s">
        <x:v>1543</x:v>
      </x:c>
      <x:c r="F666" s="13" t="s">
        <x:v>602</x:v>
      </x:c>
      <x:c r="G666" s="13" t="s">
        <x:v>1289</x:v>
      </x:c>
      <x:c r="H666" s="13" t="str">
        <x:f>IFERROR(VLOOKUP(O666,'정보화기기 명부'!A$2:B$187,2,FALSE),"")</x:f>
        <x:v/>
      </x:c>
      <x:c r="I666" s="13"/>
      <x:c r="J666" s="13"/>
      <x:c r="K666" s="13"/>
      <x:c r="L666" s="13">
        <x:v>20050413</x:v>
      </x:c>
      <x:c r="M666" s="13" t="s">
        <x:v>612</x:v>
      </x:c>
      <x:c r="N666" s="13" t="s">
        <x:v>2034</x:v>
      </x:c>
      <x:c r="O666" s="13" t="s">
        <x:v>1324</x:v>
      </x:c>
      <x:c r="P666" s="202">
        <x:v>253</x:v>
      </x:c>
      <x:c r="Q666" s="13" t="s">
        <x:v>572</x:v>
      </x:c>
      <x:c r="R666" s="13" t="s">
        <x:v>1769</x:v>
      </x:c>
      <x:c r="S666" s="13" t="s">
        <x:v>1354</x:v>
      </x:c>
      <x:c r="T666" s="13" t="s">
        <x:v>1293</x:v>
      </x:c>
      <x:c r="U666" s="13"/>
      <x:c r="V666" s="13" t="s">
        <x:v>1746</x:v>
      </x:c>
    </x:row>
    <x:row r="667" spans="1:22" s="14" customFormat="1" ht="13.5" customHeight="1">
      <x:c r="A667" s="13" t="str">
        <x:f>O667</x:f>
        <x:v>김인섭</x:v>
      </x:c>
      <x:c r="B667" s="25" t="str">
        <x:f>L667&amp;"-"&amp;TEXT(P667,"0000")</x:f>
        <x:v>20050407-0245</x:v>
      </x:c>
      <x:c r="C667" s="13" t="s">
        <x:v>1564</x:v>
      </x:c>
      <x:c r="D667" s="13" t="s">
        <x:v>1533</x:v>
      </x:c>
      <x:c r="E667" s="13" t="s">
        <x:v>1543</x:v>
      </x:c>
      <x:c r="F667" s="13" t="s">
        <x:v>1806</x:v>
      </x:c>
      <x:c r="G667" s="13" t="s">
        <x:v>1289</x:v>
      </x:c>
      <x:c r="H667" s="13" t="str">
        <x:f>IFERROR(VLOOKUP(O667,'정보화기기 명부'!A$2:B$187,2,FALSE),"")</x:f>
        <x:v/>
      </x:c>
      <x:c r="I667" s="13"/>
      <x:c r="J667" s="13"/>
      <x:c r="K667" s="13"/>
      <x:c r="L667" s="13">
        <x:v>20050407</x:v>
      </x:c>
      <x:c r="M667" s="13" t="s">
        <x:v>499</x:v>
      </x:c>
      <x:c r="N667" s="13" t="s">
        <x:v>2034</x:v>
      </x:c>
      <x:c r="O667" s="13" t="s">
        <x:v>1325</x:v>
      </x:c>
      <x:c r="P667" s="202">
        <x:v>245</x:v>
      </x:c>
      <x:c r="Q667" s="13" t="s">
        <x:v>572</x:v>
      </x:c>
      <x:c r="R667" s="13" t="s">
        <x:v>2049</x:v>
      </x:c>
      <x:c r="S667" s="13" t="s">
        <x:v>1354</x:v>
      </x:c>
      <x:c r="T667" s="13" t="s">
        <x:v>1379</x:v>
      </x:c>
      <x:c r="U667" s="13"/>
      <x:c r="V667" s="13" t="s">
        <x:v>2030</x:v>
      </x:c>
    </x:row>
    <x:row r="668" spans="1:22" s="14" customFormat="1" ht="13.5" customHeight="1">
      <x:c r="A668" s="13" t="str">
        <x:f>O668</x:f>
        <x:v>김인섭</x:v>
      </x:c>
      <x:c r="B668" s="25" t="str">
        <x:f>L668&amp;"-"&amp;TEXT(P668,"0000")</x:f>
        <x:v>20050407-0246</x:v>
      </x:c>
      <x:c r="C668" s="13" t="s">
        <x:v>1564</x:v>
      </x:c>
      <x:c r="D668" s="13" t="s">
        <x:v>1533</x:v>
      </x:c>
      <x:c r="E668" s="13" t="s">
        <x:v>1543</x:v>
      </x:c>
      <x:c r="F668" s="13" t="s">
        <x:v>1806</x:v>
      </x:c>
      <x:c r="G668" s="13" t="s">
        <x:v>1289</x:v>
      </x:c>
      <x:c r="H668" s="13" t="str">
        <x:f>IFERROR(VLOOKUP(O668,'정보화기기 명부'!A$2:B$187,2,FALSE),"")</x:f>
        <x:v/>
      </x:c>
      <x:c r="I668" s="13"/>
      <x:c r="J668" s="13"/>
      <x:c r="K668" s="13"/>
      <x:c r="L668" s="13">
        <x:v>20050407</x:v>
      </x:c>
      <x:c r="M668" s="13" t="s">
        <x:v>499</x:v>
      </x:c>
      <x:c r="N668" s="13" t="s">
        <x:v>2034</x:v>
      </x:c>
      <x:c r="O668" s="13" t="s">
        <x:v>1325</x:v>
      </x:c>
      <x:c r="P668" s="202">
        <x:v>246</x:v>
      </x:c>
      <x:c r="Q668" s="13" t="s">
        <x:v>572</x:v>
      </x:c>
      <x:c r="R668" s="13" t="s">
        <x:v>2049</x:v>
      </x:c>
      <x:c r="S668" s="13" t="s">
        <x:v>1354</x:v>
      </x:c>
      <x:c r="T668" s="13" t="s">
        <x:v>1379</x:v>
      </x:c>
      <x:c r="U668" s="13"/>
      <x:c r="V668" s="13" t="s">
        <x:v>2030</x:v>
      </x:c>
    </x:row>
    <x:row r="669" spans="1:22" s="14" customFormat="1" ht="13.5" customHeight="1">
      <x:c r="A669" s="13" t="str">
        <x:f>O669</x:f>
        <x:v>김인섭</x:v>
      </x:c>
      <x:c r="B669" s="25" t="str">
        <x:f>L669&amp;"-"&amp;TEXT(P669,"0000")</x:f>
        <x:v>20050407-0247</x:v>
      </x:c>
      <x:c r="C669" s="13" t="s">
        <x:v>1564</x:v>
      </x:c>
      <x:c r="D669" s="13" t="s">
        <x:v>1533</x:v>
      </x:c>
      <x:c r="E669" s="13" t="s">
        <x:v>1543</x:v>
      </x:c>
      <x:c r="F669" s="13" t="s">
        <x:v>1806</x:v>
      </x:c>
      <x:c r="G669" s="13" t="s">
        <x:v>1289</x:v>
      </x:c>
      <x:c r="H669" s="13" t="str">
        <x:f>IFERROR(VLOOKUP(O669,'정보화기기 명부'!A$2:B$187,2,FALSE),"")</x:f>
        <x:v/>
      </x:c>
      <x:c r="I669" s="13"/>
      <x:c r="J669" s="13"/>
      <x:c r="K669" s="13"/>
      <x:c r="L669" s="13">
        <x:v>20050407</x:v>
      </x:c>
      <x:c r="M669" s="13" t="s">
        <x:v>499</x:v>
      </x:c>
      <x:c r="N669" s="13" t="s">
        <x:v>2034</x:v>
      </x:c>
      <x:c r="O669" s="13" t="s">
        <x:v>1325</x:v>
      </x:c>
      <x:c r="P669" s="202">
        <x:v>247</x:v>
      </x:c>
      <x:c r="Q669" s="13" t="s">
        <x:v>572</x:v>
      </x:c>
      <x:c r="R669" s="13" t="s">
        <x:v>2049</x:v>
      </x:c>
      <x:c r="S669" s="13" t="s">
        <x:v>1354</x:v>
      </x:c>
      <x:c r="T669" s="13" t="s">
        <x:v>1379</x:v>
      </x:c>
      <x:c r="U669" s="13"/>
      <x:c r="V669" s="13" t="s">
        <x:v>2030</x:v>
      </x:c>
    </x:row>
    <x:row r="670" spans="1:22" s="14" customFormat="1" ht="13.5" customHeight="1">
      <x:c r="A670" s="13" t="str">
        <x:f>O670</x:f>
        <x:v>김인섭</x:v>
      </x:c>
      <x:c r="B670" s="25" t="str">
        <x:f>L670&amp;"-"&amp;TEXT(P670,"0000")</x:f>
        <x:v>20050407-0248</x:v>
      </x:c>
      <x:c r="C670" s="13" t="s">
        <x:v>1564</x:v>
      </x:c>
      <x:c r="D670" s="13" t="s">
        <x:v>1533</x:v>
      </x:c>
      <x:c r="E670" s="13" t="s">
        <x:v>1543</x:v>
      </x:c>
      <x:c r="F670" s="13" t="s">
        <x:v>1806</x:v>
      </x:c>
      <x:c r="G670" s="13" t="s">
        <x:v>1289</x:v>
      </x:c>
      <x:c r="H670" s="13" t="str">
        <x:f>IFERROR(VLOOKUP(O670,'정보화기기 명부'!A$2:B$187,2,FALSE),"")</x:f>
        <x:v/>
      </x:c>
      <x:c r="I670" s="13"/>
      <x:c r="J670" s="13"/>
      <x:c r="K670" s="13"/>
      <x:c r="L670" s="13">
        <x:v>20050407</x:v>
      </x:c>
      <x:c r="M670" s="13" t="s">
        <x:v>499</x:v>
      </x:c>
      <x:c r="N670" s="13" t="s">
        <x:v>2034</x:v>
      </x:c>
      <x:c r="O670" s="13" t="s">
        <x:v>1325</x:v>
      </x:c>
      <x:c r="P670" s="202">
        <x:v>248</x:v>
      </x:c>
      <x:c r="Q670" s="13" t="s">
        <x:v>572</x:v>
      </x:c>
      <x:c r="R670" s="13" t="s">
        <x:v>2049</x:v>
      </x:c>
      <x:c r="S670" s="13" t="s">
        <x:v>1354</x:v>
      </x:c>
      <x:c r="T670" s="13" t="s">
        <x:v>1379</x:v>
      </x:c>
      <x:c r="U670" s="13"/>
      <x:c r="V670" s="13" t="s">
        <x:v>2030</x:v>
      </x:c>
    </x:row>
    <x:row r="671" spans="1:22" s="14" customFormat="1" ht="13.5" customHeight="1">
      <x:c r="A671" s="13" t="str">
        <x:f>O671</x:f>
        <x:v>안정선</x:v>
      </x:c>
      <x:c r="B671" s="25" t="str">
        <x:f>L671&amp;"-"&amp;TEXT(P671,"0000")</x:f>
        <x:v>20050325-0252</x:v>
      </x:c>
      <x:c r="C671" s="13" t="s">
        <x:v>1978</x:v>
      </x:c>
      <x:c r="D671" s="13" t="s">
        <x:v>1533</x:v>
      </x:c>
      <x:c r="E671" s="13" t="s">
        <x:v>1543</x:v>
      </x:c>
      <x:c r="F671" s="13" t="s">
        <x:v>2067</x:v>
      </x:c>
      <x:c r="G671" s="13" t="s">
        <x:v>1289</x:v>
      </x:c>
      <x:c r="H671" s="13" t="str">
        <x:f>IFERROR(VLOOKUP(O671,'정보화기기 명부'!A$2:B$187,2,FALSE),"")</x:f>
        <x:v/>
      </x:c>
      <x:c r="I671" s="13"/>
      <x:c r="J671" s="13"/>
      <x:c r="K671" s="13"/>
      <x:c r="L671" s="13">
        <x:v>20050325</x:v>
      </x:c>
      <x:c r="M671" s="13" t="s">
        <x:v>2071</x:v>
      </x:c>
      <x:c r="N671" s="13" t="s">
        <x:v>2034</x:v>
      </x:c>
      <x:c r="O671" s="13" t="s">
        <x:v>1324</x:v>
      </x:c>
      <x:c r="P671" s="202">
        <x:v>252</x:v>
      </x:c>
      <x:c r="Q671" s="13" t="s">
        <x:v>572</x:v>
      </x:c>
      <x:c r="R671" s="13" t="s">
        <x:v>1769</x:v>
      </x:c>
      <x:c r="S671" s="13" t="s">
        <x:v>1354</x:v>
      </x:c>
      <x:c r="T671" s="13" t="s">
        <x:v>1344</x:v>
      </x:c>
      <x:c r="U671" s="13"/>
      <x:c r="V671" s="13" t="s">
        <x:v>2030</x:v>
      </x:c>
    </x:row>
    <x:row r="672" spans="1:22" s="14" customFormat="1" ht="13.5" customHeight="1">
      <x:c r="A672" s="13" t="str">
        <x:f>O672</x:f>
        <x:v>전명숙(영양사)</x:v>
      </x:c>
      <x:c r="B672" s="25" t="str">
        <x:f>L672&amp;"-"&amp;TEXT(P672,"0000")</x:f>
        <x:v>20050228-0227</x:v>
      </x:c>
      <x:c r="C672" s="13" t="s">
        <x:v>1978</x:v>
      </x:c>
      <x:c r="D672" s="13" t="s">
        <x:v>1533</x:v>
      </x:c>
      <x:c r="E672" s="13" t="s">
        <x:v>1543</x:v>
      </x:c>
      <x:c r="F672" s="13" t="s">
        <x:v>2043</x:v>
      </x:c>
      <x:c r="G672" s="13" t="s">
        <x:v>1289</x:v>
      </x:c>
      <x:c r="H672" s="13" t="str">
        <x:f>IFERROR(VLOOKUP(O672,'정보화기기 명부'!A$2:B$187,2,FALSE),"")</x:f>
        <x:v/>
      </x:c>
      <x:c r="I672" s="13"/>
      <x:c r="J672" s="13"/>
      <x:c r="K672" s="13"/>
      <x:c r="L672" s="13">
        <x:v>20050228</x:v>
      </x:c>
      <x:c r="M672" s="13" t="s">
        <x:v>518</x:v>
      </x:c>
      <x:c r="N672" s="13" t="s">
        <x:v>2034</x:v>
      </x:c>
      <x:c r="O672" s="13" t="s">
        <x:v>608</x:v>
      </x:c>
      <x:c r="P672" s="202">
        <x:v>227</x:v>
      </x:c>
      <x:c r="Q672" s="13" t="s">
        <x:v>572</x:v>
      </x:c>
      <x:c r="R672" s="13" t="s">
        <x:v>1769</x:v>
      </x:c>
      <x:c r="S672" s="13" t="s">
        <x:v>1354</x:v>
      </x:c>
      <x:c r="T672" s="13" t="s">
        <x:v>1344</x:v>
      </x:c>
      <x:c r="U672" s="13"/>
      <x:c r="V672" s="13" t="s">
        <x:v>2030</x:v>
      </x:c>
    </x:row>
    <x:row r="673" spans="1:22" s="14" customFormat="1" ht="13.5" customHeight="1">
      <x:c r="A673" s="13" t="str">
        <x:f>O673</x:f>
        <x:v>교사(2010.12.24일자 폐기)</x:v>
      </x:c>
      <x:c r="B673" s="25" t="str">
        <x:f>L673&amp;"-"&amp;TEXT(P673,"0000")</x:f>
        <x:v>20050225-0262</x:v>
      </x:c>
      <x:c r="C673" s="13" t="s">
        <x:v>1978</x:v>
      </x:c>
      <x:c r="D673" s="13" t="s">
        <x:v>1533</x:v>
      </x:c>
      <x:c r="E673" s="13" t="s">
        <x:v>1543</x:v>
      </x:c>
      <x:c r="F673" s="13" t="s">
        <x:v>2067</x:v>
      </x:c>
      <x:c r="G673" s="13" t="s">
        <x:v>1289</x:v>
      </x:c>
      <x:c r="H673" s="13" t="str">
        <x:f>IFERROR(VLOOKUP(O673,'정보화기기 명부'!A$2:B$187,2,FALSE),"")</x:f>
        <x:v/>
      </x:c>
      <x:c r="I673" s="13"/>
      <x:c r="J673" s="13"/>
      <x:c r="K673" s="13"/>
      <x:c r="L673" s="13">
        <x:v>20050225</x:v>
      </x:c>
      <x:c r="M673" s="13" t="s">
        <x:v>616</x:v>
      </x:c>
      <x:c r="N673" s="13" t="s">
        <x:v>2034</x:v>
      </x:c>
      <x:c r="O673" s="13" t="s">
        <x:v>3295</x:v>
      </x:c>
      <x:c r="P673" s="202">
        <x:v>262</x:v>
      </x:c>
      <x:c r="Q673" s="13" t="s">
        <x:v>572</x:v>
      </x:c>
      <x:c r="R673" s="13" t="s">
        <x:v>1769</x:v>
      </x:c>
      <x:c r="S673" s="13" t="s">
        <x:v>1354</x:v>
      </x:c>
      <x:c r="T673" s="13" t="s">
        <x:v>1344</x:v>
      </x:c>
      <x:c r="U673" s="13"/>
      <x:c r="V673" s="13" t="s">
        <x:v>2030</x:v>
      </x:c>
    </x:row>
    <x:row r="674" spans="1:22" s="14" customFormat="1" ht="13.5" customHeight="1">
      <x:c r="A674" s="13"/>
      <x:c r="B674" s="25" t="str">
        <x:f>L674&amp;"-"&amp;TEXT(P674,"0000")</x:f>
        <x:v>20050225-0238</x:v>
      </x:c>
      <x:c r="C674" s="13" t="s">
        <x:v>1978</x:v>
      </x:c>
      <x:c r="D674" s="13" t="s">
        <x:v>1533</x:v>
      </x:c>
      <x:c r="E674" s="13" t="s">
        <x:v>1543</x:v>
      </x:c>
      <x:c r="F674" s="13" t="s">
        <x:v>2067</x:v>
      </x:c>
      <x:c r="G674" s="13" t="s">
        <x:v>1289</x:v>
      </x:c>
      <x:c r="H674" s="13" t="str">
        <x:f>IFERROR(VLOOKUP(O674,'정보화기기 명부'!A$2:B$187,2,FALSE),"")</x:f>
        <x:v/>
      </x:c>
      <x:c r="I674" s="13"/>
      <x:c r="J674" s="13"/>
      <x:c r="K674" s="13"/>
      <x:c r="L674" s="13">
        <x:v>20050225</x:v>
      </x:c>
      <x:c r="M674" s="13" t="s">
        <x:v>605</x:v>
      </x:c>
      <x:c r="N674" s="13" t="s">
        <x:v>2034</x:v>
      </x:c>
      <x:c r="O674" s="13" t="s">
        <x:v>1314</x:v>
      </x:c>
      <x:c r="P674" s="202">
        <x:v>238</x:v>
      </x:c>
      <x:c r="Q674" s="13" t="s">
        <x:v>572</x:v>
      </x:c>
      <x:c r="R674" s="13" t="s">
        <x:v>1769</x:v>
      </x:c>
      <x:c r="S674" s="13" t="s">
        <x:v>1354</x:v>
      </x:c>
      <x:c r="T674" s="13" t="s">
        <x:v>1344</x:v>
      </x:c>
      <x:c r="U674" s="13"/>
      <x:c r="V674" s="13" t="s">
        <x:v>2030</x:v>
      </x:c>
    </x:row>
    <x:row r="675" spans="1:22" s="14" customFormat="1" ht="13.5" customHeight="1">
      <x:c r="A675" s="13" t="str">
        <x:f>O675</x:f>
        <x:v>수업검색</x:v>
      </x:c>
      <x:c r="B675" s="25" t="str">
        <x:f>L675&amp;"-"&amp;TEXT(P675,"0000")</x:f>
        <x:v>20050225-0237</x:v>
      </x:c>
      <x:c r="C675" s="13" t="s">
        <x:v>1978</x:v>
      </x:c>
      <x:c r="D675" s="13" t="s">
        <x:v>1533</x:v>
      </x:c>
      <x:c r="E675" s="13" t="s">
        <x:v>1543</x:v>
      </x:c>
      <x:c r="F675" s="13" t="s">
        <x:v>2067</x:v>
      </x:c>
      <x:c r="G675" s="13" t="s">
        <x:v>1289</x:v>
      </x:c>
      <x:c r="H675" s="13" t="str">
        <x:f>IFERROR(VLOOKUP(O675,'정보화기기 명부'!A$2:B$187,2,FALSE),"")</x:f>
        <x:v/>
      </x:c>
      <x:c r="I675" s="13"/>
      <x:c r="J675" s="13"/>
      <x:c r="K675" s="13"/>
      <x:c r="L675" s="13">
        <x:v>20050225</x:v>
      </x:c>
      <x:c r="M675" s="13" t="s">
        <x:v>605</x:v>
      </x:c>
      <x:c r="N675" s="13" t="s">
        <x:v>2034</x:v>
      </x:c>
      <x:c r="O675" s="13" t="s">
        <x:v>2027</x:v>
      </x:c>
      <x:c r="P675" s="202">
        <x:v>237</x:v>
      </x:c>
      <x:c r="Q675" s="13" t="s">
        <x:v>572</x:v>
      </x:c>
      <x:c r="R675" s="13" t="s">
        <x:v>1769</x:v>
      </x:c>
      <x:c r="S675" s="13" t="s">
        <x:v>1354</x:v>
      </x:c>
      <x:c r="T675" s="13" t="s">
        <x:v>1344</x:v>
      </x:c>
      <x:c r="U675" s="13"/>
      <x:c r="V675" s="13" t="s">
        <x:v>2030</x:v>
      </x:c>
    </x:row>
    <x:row r="676" spans="1:22" s="14" customFormat="1" ht="13.5" customHeight="1">
      <x:c r="A676" s="13" t="str">
        <x:f>O676</x:f>
        <x:v>도서검색7</x:v>
      </x:c>
      <x:c r="B676" s="25" t="str">
        <x:f>L676&amp;"-"&amp;TEXT(P676,"0000")</x:f>
        <x:v>20050225-0236</x:v>
      </x:c>
      <x:c r="C676" s="13" t="s">
        <x:v>1978</x:v>
      </x:c>
      <x:c r="D676" s="13" t="s">
        <x:v>1533</x:v>
      </x:c>
      <x:c r="E676" s="13" t="s">
        <x:v>1543</x:v>
      </x:c>
      <x:c r="F676" s="13" t="s">
        <x:v>2067</x:v>
      </x:c>
      <x:c r="G676" s="13" t="s">
        <x:v>1289</x:v>
      </x:c>
      <x:c r="H676" s="13" t="str">
        <x:f>IFERROR(VLOOKUP(O676,'정보화기기 명부'!A$2:B$187,2,FALSE),"")</x:f>
        <x:v/>
      </x:c>
      <x:c r="I676" s="13"/>
      <x:c r="J676" s="13"/>
      <x:c r="K676" s="13"/>
      <x:c r="L676" s="13">
        <x:v>20050225</x:v>
      </x:c>
      <x:c r="M676" s="13" t="s">
        <x:v>605</x:v>
      </x:c>
      <x:c r="N676" s="13" t="s">
        <x:v>2034</x:v>
      </x:c>
      <x:c r="O676" s="13" t="s">
        <x:v>2057</x:v>
      </x:c>
      <x:c r="P676" s="202">
        <x:v>236</x:v>
      </x:c>
      <x:c r="Q676" s="13" t="s">
        <x:v>572</x:v>
      </x:c>
      <x:c r="R676" s="13" t="s">
        <x:v>1769</x:v>
      </x:c>
      <x:c r="S676" s="13" t="s">
        <x:v>1354</x:v>
      </x:c>
      <x:c r="T676" s="13" t="s">
        <x:v>1344</x:v>
      </x:c>
      <x:c r="U676" s="13"/>
      <x:c r="V676" s="13" t="s">
        <x:v>2030</x:v>
      </x:c>
    </x:row>
    <x:row r="677" spans="1:22" s="14" customFormat="1" ht="13.5" customHeight="1">
      <x:c r="A677" s="13" t="str">
        <x:f>O677</x:f>
        <x:v>도서검색6</x:v>
      </x:c>
      <x:c r="B677" s="25" t="str">
        <x:f>L677&amp;"-"&amp;TEXT(P677,"0000")</x:f>
        <x:v>20050225-0235</x:v>
      </x:c>
      <x:c r="C677" s="13" t="s">
        <x:v>1978</x:v>
      </x:c>
      <x:c r="D677" s="13" t="s">
        <x:v>1533</x:v>
      </x:c>
      <x:c r="E677" s="13" t="s">
        <x:v>1543</x:v>
      </x:c>
      <x:c r="F677" s="13" t="s">
        <x:v>2067</x:v>
      </x:c>
      <x:c r="G677" s="13" t="s">
        <x:v>1289</x:v>
      </x:c>
      <x:c r="H677" s="13" t="str">
        <x:f>IFERROR(VLOOKUP(O677,'정보화기기 명부'!A$2:B$187,2,FALSE),"")</x:f>
        <x:v/>
      </x:c>
      <x:c r="I677" s="13"/>
      <x:c r="J677" s="13"/>
      <x:c r="K677" s="13"/>
      <x:c r="L677" s="13">
        <x:v>20050225</x:v>
      </x:c>
      <x:c r="M677" s="13" t="s">
        <x:v>605</x:v>
      </x:c>
      <x:c r="N677" s="13" t="s">
        <x:v>2034</x:v>
      </x:c>
      <x:c r="O677" s="13" t="s">
        <x:v>2064</x:v>
      </x:c>
      <x:c r="P677" s="202">
        <x:v>235</x:v>
      </x:c>
      <x:c r="Q677" s="13" t="s">
        <x:v>572</x:v>
      </x:c>
      <x:c r="R677" s="13" t="s">
        <x:v>1769</x:v>
      </x:c>
      <x:c r="S677" s="13" t="s">
        <x:v>1354</x:v>
      </x:c>
      <x:c r="T677" s="13" t="s">
        <x:v>1344</x:v>
      </x:c>
      <x:c r="U677" s="13"/>
      <x:c r="V677" s="13" t="s">
        <x:v>2030</x:v>
      </x:c>
    </x:row>
    <x:row r="678" spans="1:22" s="14" customFormat="1" ht="13.5" customHeight="1">
      <x:c r="A678" s="13" t="str">
        <x:f>O678</x:f>
        <x:v>도서검색5</x:v>
      </x:c>
      <x:c r="B678" s="25" t="str">
        <x:f>L678&amp;"-"&amp;TEXT(P678,"0000")</x:f>
        <x:v>20050225-0234</x:v>
      </x:c>
      <x:c r="C678" s="13" t="s">
        <x:v>1978</x:v>
      </x:c>
      <x:c r="D678" s="13" t="s">
        <x:v>1533</x:v>
      </x:c>
      <x:c r="E678" s="13" t="s">
        <x:v>1543</x:v>
      </x:c>
      <x:c r="F678" s="13" t="s">
        <x:v>2067</x:v>
      </x:c>
      <x:c r="G678" s="13" t="s">
        <x:v>1289</x:v>
      </x:c>
      <x:c r="H678" s="13" t="str">
        <x:f>IFERROR(VLOOKUP(O678,'정보화기기 명부'!A$2:B$187,2,FALSE),"")</x:f>
        <x:v/>
      </x:c>
      <x:c r="I678" s="13"/>
      <x:c r="J678" s="13"/>
      <x:c r="K678" s="13"/>
      <x:c r="L678" s="13">
        <x:v>20050225</x:v>
      </x:c>
      <x:c r="M678" s="13" t="s">
        <x:v>605</x:v>
      </x:c>
      <x:c r="N678" s="13" t="s">
        <x:v>2034</x:v>
      </x:c>
      <x:c r="O678" s="13" t="s">
        <x:v>2091</x:v>
      </x:c>
      <x:c r="P678" s="202">
        <x:v>234</x:v>
      </x:c>
      <x:c r="Q678" s="13" t="s">
        <x:v>572</x:v>
      </x:c>
      <x:c r="R678" s="13" t="s">
        <x:v>1769</x:v>
      </x:c>
      <x:c r="S678" s="13" t="s">
        <x:v>1354</x:v>
      </x:c>
      <x:c r="T678" s="13" t="s">
        <x:v>1344</x:v>
      </x:c>
      <x:c r="U678" s="13"/>
      <x:c r="V678" s="13" t="s">
        <x:v>2030</x:v>
      </x:c>
    </x:row>
    <x:row r="679" spans="1:22" s="14" customFormat="1" ht="13.5" customHeight="1">
      <x:c r="A679" s="13" t="str">
        <x:f>O679</x:f>
        <x:v>도서검색4</x:v>
      </x:c>
      <x:c r="B679" s="25" t="str">
        <x:f>L679&amp;"-"&amp;TEXT(P679,"0000")</x:f>
        <x:v>20050225-0233</x:v>
      </x:c>
      <x:c r="C679" s="13" t="s">
        <x:v>1978</x:v>
      </x:c>
      <x:c r="D679" s="13" t="s">
        <x:v>1533</x:v>
      </x:c>
      <x:c r="E679" s="13" t="s">
        <x:v>1543</x:v>
      </x:c>
      <x:c r="F679" s="13" t="s">
        <x:v>2067</x:v>
      </x:c>
      <x:c r="G679" s="13" t="s">
        <x:v>1289</x:v>
      </x:c>
      <x:c r="H679" s="13" t="str">
        <x:f>IFERROR(VLOOKUP(O679,'정보화기기 명부'!A$2:B$187,2,FALSE),"")</x:f>
        <x:v/>
      </x:c>
      <x:c r="I679" s="13"/>
      <x:c r="J679" s="13"/>
      <x:c r="K679" s="13"/>
      <x:c r="L679" s="13">
        <x:v>20050225</x:v>
      </x:c>
      <x:c r="M679" s="13" t="s">
        <x:v>605</x:v>
      </x:c>
      <x:c r="N679" s="13" t="s">
        <x:v>2034</x:v>
      </x:c>
      <x:c r="O679" s="13" t="s">
        <x:v>2086</x:v>
      </x:c>
      <x:c r="P679" s="202">
        <x:v>233</x:v>
      </x:c>
      <x:c r="Q679" s="13" t="s">
        <x:v>572</x:v>
      </x:c>
      <x:c r="R679" s="13" t="s">
        <x:v>1769</x:v>
      </x:c>
      <x:c r="S679" s="13" t="s">
        <x:v>1354</x:v>
      </x:c>
      <x:c r="T679" s="13" t="s">
        <x:v>1344</x:v>
      </x:c>
      <x:c r="U679" s="13"/>
      <x:c r="V679" s="13" t="s">
        <x:v>2030</x:v>
      </x:c>
    </x:row>
    <x:row r="680" spans="1:22" s="14" customFormat="1" ht="13.5" customHeight="1">
      <x:c r="A680" s="13" t="str">
        <x:f>O680</x:f>
        <x:v>도서검색3</x:v>
      </x:c>
      <x:c r="B680" s="25" t="str">
        <x:f>L680&amp;"-"&amp;TEXT(P680,"0000")</x:f>
        <x:v>20050225-0232</x:v>
      </x:c>
      <x:c r="C680" s="13" t="s">
        <x:v>1978</x:v>
      </x:c>
      <x:c r="D680" s="13" t="s">
        <x:v>1533</x:v>
      </x:c>
      <x:c r="E680" s="13" t="s">
        <x:v>1543</x:v>
      </x:c>
      <x:c r="F680" s="13" t="s">
        <x:v>2067</x:v>
      </x:c>
      <x:c r="G680" s="13" t="s">
        <x:v>1289</x:v>
      </x:c>
      <x:c r="H680" s="13" t="str">
        <x:f>IFERROR(VLOOKUP(O680,'정보화기기 명부'!A$2:B$187,2,FALSE),"")</x:f>
        <x:v/>
      </x:c>
      <x:c r="I680" s="13"/>
      <x:c r="J680" s="13"/>
      <x:c r="K680" s="13"/>
      <x:c r="L680" s="13">
        <x:v>20050225</x:v>
      </x:c>
      <x:c r="M680" s="13" t="s">
        <x:v>605</x:v>
      </x:c>
      <x:c r="N680" s="13" t="s">
        <x:v>1965</x:v>
      </x:c>
      <x:c r="O680" s="13" t="s">
        <x:v>2092</x:v>
      </x:c>
      <x:c r="P680" s="202">
        <x:v>232</x:v>
      </x:c>
      <x:c r="Q680" s="13" t="s">
        <x:v>572</x:v>
      </x:c>
      <x:c r="R680" s="13" t="s">
        <x:v>1769</x:v>
      </x:c>
      <x:c r="S680" s="13" t="s">
        <x:v>1354</x:v>
      </x:c>
      <x:c r="T680" s="13" t="s">
        <x:v>1344</x:v>
      </x:c>
      <x:c r="U680" s="13"/>
      <x:c r="V680" s="13" t="s">
        <x:v>2030</x:v>
      </x:c>
    </x:row>
    <x:row r="681" spans="1:22" s="14" customFormat="1" ht="13.5" customHeight="1">
      <x:c r="A681" s="13" t="str">
        <x:f>O681</x:f>
        <x:v>도서검색2</x:v>
      </x:c>
      <x:c r="B681" s="25" t="str">
        <x:f>L681&amp;"-"&amp;TEXT(P681,"0000")</x:f>
        <x:v>20050225-0231</x:v>
      </x:c>
      <x:c r="C681" s="13" t="s">
        <x:v>1978</x:v>
      </x:c>
      <x:c r="D681" s="13" t="s">
        <x:v>1533</x:v>
      </x:c>
      <x:c r="E681" s="13" t="s">
        <x:v>1543</x:v>
      </x:c>
      <x:c r="F681" s="13" t="s">
        <x:v>2067</x:v>
      </x:c>
      <x:c r="G681" s="13" t="s">
        <x:v>1289</x:v>
      </x:c>
      <x:c r="H681" s="13" t="str">
        <x:f>IFERROR(VLOOKUP(O681,'정보화기기 명부'!A$2:B$187,2,FALSE),"")</x:f>
        <x:v/>
      </x:c>
      <x:c r="I681" s="13"/>
      <x:c r="J681" s="13"/>
      <x:c r="K681" s="13"/>
      <x:c r="L681" s="13">
        <x:v>20050225</x:v>
      </x:c>
      <x:c r="M681" s="13" t="s">
        <x:v>605</x:v>
      </x:c>
      <x:c r="N681" s="13" t="s">
        <x:v>2034</x:v>
      </x:c>
      <x:c r="O681" s="13" t="s">
        <x:v>1808</x:v>
      </x:c>
      <x:c r="P681" s="202">
        <x:v>231</x:v>
      </x:c>
      <x:c r="Q681" s="13" t="s">
        <x:v>572</x:v>
      </x:c>
      <x:c r="R681" s="13" t="s">
        <x:v>1769</x:v>
      </x:c>
      <x:c r="S681" s="13" t="s">
        <x:v>1354</x:v>
      </x:c>
      <x:c r="T681" s="13" t="s">
        <x:v>1344</x:v>
      </x:c>
      <x:c r="U681" s="13"/>
      <x:c r="V681" s="13" t="s">
        <x:v>2030</x:v>
      </x:c>
    </x:row>
    <x:row r="682" spans="1:22" s="14" customFormat="1" ht="13.5" customHeight="1">
      <x:c r="A682" s="13" t="str">
        <x:f>O682</x:f>
        <x:v>도서검색1</x:v>
      </x:c>
      <x:c r="B682" s="25" t="str">
        <x:f>L682&amp;"-"&amp;TEXT(P682,"0000")</x:f>
        <x:v>20050225-0230</x:v>
      </x:c>
      <x:c r="C682" s="13" t="s">
        <x:v>1978</x:v>
      </x:c>
      <x:c r="D682" s="13" t="s">
        <x:v>1533</x:v>
      </x:c>
      <x:c r="E682" s="13" t="s">
        <x:v>1543</x:v>
      </x:c>
      <x:c r="F682" s="13" t="s">
        <x:v>2067</x:v>
      </x:c>
      <x:c r="G682" s="13" t="s">
        <x:v>1289</x:v>
      </x:c>
      <x:c r="H682" s="13" t="str">
        <x:f>IFERROR(VLOOKUP(O682,'정보화기기 명부'!A$2:B$187,2,FALSE),"")</x:f>
        <x:v/>
      </x:c>
      <x:c r="I682" s="13"/>
      <x:c r="J682" s="13"/>
      <x:c r="K682" s="13"/>
      <x:c r="L682" s="13">
        <x:v>20050225</x:v>
      </x:c>
      <x:c r="M682" s="13" t="s">
        <x:v>605</x:v>
      </x:c>
      <x:c r="N682" s="13" t="s">
        <x:v>2034</x:v>
      </x:c>
      <x:c r="O682" s="13" t="s">
        <x:v>1791</x:v>
      </x:c>
      <x:c r="P682" s="202">
        <x:v>230</x:v>
      </x:c>
      <x:c r="Q682" s="13" t="s">
        <x:v>572</x:v>
      </x:c>
      <x:c r="R682" s="13" t="s">
        <x:v>1769</x:v>
      </x:c>
      <x:c r="S682" s="13" t="s">
        <x:v>1354</x:v>
      </x:c>
      <x:c r="T682" s="13" t="s">
        <x:v>1344</x:v>
      </x:c>
      <x:c r="U682" s="13"/>
      <x:c r="V682" s="13" t="s">
        <x:v>2030</x:v>
      </x:c>
    </x:row>
    <x:row r="683" spans="1:22" s="14" customFormat="1" ht="13.5" customHeight="1">
      <x:c r="A683" s="13"/>
      <x:c r="B683" s="25" t="str">
        <x:f>L683&amp;"-"&amp;TEXT(P683,"0000")</x:f>
        <x:v>20050225-0229</x:v>
      </x:c>
      <x:c r="C683" s="13" t="s">
        <x:v>1978</x:v>
      </x:c>
      <x:c r="D683" s="13" t="s">
        <x:v>1533</x:v>
      </x:c>
      <x:c r="E683" s="13" t="s">
        <x:v>1543</x:v>
      </x:c>
      <x:c r="F683" s="13" t="s">
        <x:v>2067</x:v>
      </x:c>
      <x:c r="G683" s="13" t="s">
        <x:v>1289</x:v>
      </x:c>
      <x:c r="H683" s="13" t="str">
        <x:f>IFERROR(VLOOKUP(O683,'정보화기기 명부'!A$2:B$187,2,FALSE),"")</x:f>
        <x:v/>
      </x:c>
      <x:c r="I683" s="13"/>
      <x:c r="J683" s="13"/>
      <x:c r="K683" s="13"/>
      <x:c r="L683" s="13">
        <x:v>20050225</x:v>
      </x:c>
      <x:c r="M683" s="13" t="s">
        <x:v>605</x:v>
      </x:c>
      <x:c r="N683" s="13" t="s">
        <x:v>2034</x:v>
      </x:c>
      <x:c r="O683" s="13" t="s">
        <x:v>610</x:v>
      </x:c>
      <x:c r="P683" s="202">
        <x:v>229</x:v>
      </x:c>
      <x:c r="Q683" s="13" t="s">
        <x:v>572</x:v>
      </x:c>
      <x:c r="R683" s="13" t="s">
        <x:v>1769</x:v>
      </x:c>
      <x:c r="S683" s="13" t="s">
        <x:v>1354</x:v>
      </x:c>
      <x:c r="T683" s="13" t="s">
        <x:v>1344</x:v>
      </x:c>
      <x:c r="U683" s="13"/>
      <x:c r="V683" s="13" t="s">
        <x:v>2030</x:v>
      </x:c>
    </x:row>
    <x:row r="684" spans="1:22" s="14" customFormat="1" ht="13.5" customHeight="1">
      <x:c r="A684" s="13" t="str">
        <x:f>O684</x:f>
        <x:v>도서대출반납</x:v>
      </x:c>
      <x:c r="B684" s="25" t="str">
        <x:f>L684&amp;"-"&amp;TEXT(P684,"0000")</x:f>
        <x:v>20050225-0228</x:v>
      </x:c>
      <x:c r="C684" s="13" t="s">
        <x:v>1978</x:v>
      </x:c>
      <x:c r="D684" s="13" t="s">
        <x:v>1533</x:v>
      </x:c>
      <x:c r="E684" s="13" t="s">
        <x:v>1543</x:v>
      </x:c>
      <x:c r="F684" s="13" t="s">
        <x:v>2067</x:v>
      </x:c>
      <x:c r="G684" s="13" t="s">
        <x:v>1289</x:v>
      </x:c>
      <x:c r="H684" s="13" t="str">
        <x:f>IFERROR(VLOOKUP(O684,'정보화기기 명부'!A$2:B$187,2,FALSE),"")</x:f>
        <x:v/>
      </x:c>
      <x:c r="I684" s="13"/>
      <x:c r="J684" s="13"/>
      <x:c r="K684" s="13"/>
      <x:c r="L684" s="13">
        <x:v>20050225</x:v>
      </x:c>
      <x:c r="M684" s="13" t="s">
        <x:v>616</x:v>
      </x:c>
      <x:c r="N684" s="13" t="s">
        <x:v>2034</x:v>
      </x:c>
      <x:c r="O684" s="13" t="s">
        <x:v>2059</x:v>
      </x:c>
      <x:c r="P684" s="202">
        <x:v>228</x:v>
      </x:c>
      <x:c r="Q684" s="13" t="s">
        <x:v>572</x:v>
      </x:c>
      <x:c r="R684" s="13" t="s">
        <x:v>1769</x:v>
      </x:c>
      <x:c r="S684" s="13" t="s">
        <x:v>1354</x:v>
      </x:c>
      <x:c r="T684" s="13" t="s">
        <x:v>1344</x:v>
      </x:c>
      <x:c r="U684" s="13"/>
      <x:c r="V684" s="13" t="s">
        <x:v>2030</x:v>
      </x:c>
    </x:row>
    <x:row r="685" spans="1:22" s="14" customFormat="1" ht="13.5" customHeight="1">
      <x:c r="A685" s="13" t="str">
        <x:f>O685</x:f>
        <x:v>전용범</x:v>
      </x:c>
      <x:c r="B685" s="25" t="str">
        <x:f>L685&amp;"-"&amp;TEXT(P685,"0000")</x:f>
        <x:v>20050224-0257</x:v>
      </x:c>
      <x:c r="C685" s="13" t="s">
        <x:v>1564</x:v>
      </x:c>
      <x:c r="D685" s="13" t="s">
        <x:v>1533</x:v>
      </x:c>
      <x:c r="E685" s="13" t="s">
        <x:v>1543</x:v>
      </x:c>
      <x:c r="F685" s="13" t="s">
        <x:v>1276</x:v>
      </x:c>
      <x:c r="G685" s="13" t="s">
        <x:v>1289</x:v>
      </x:c>
      <x:c r="H685" s="13" t="str">
        <x:f>IFERROR(VLOOKUP(O685,'정보화기기 명부'!A$2:B$187,2,FALSE),"")</x:f>
        <x:v/>
      </x:c>
      <x:c r="I685" s="13"/>
      <x:c r="J685" s="13"/>
      <x:c r="K685" s="13"/>
      <x:c r="L685" s="13">
        <x:v>20050224</x:v>
      </x:c>
      <x:c r="M685" s="13" t="s">
        <x:v>609</x:v>
      </x:c>
      <x:c r="N685" s="13" t="s">
        <x:v>2034</x:v>
      </x:c>
      <x:c r="O685" s="13" t="s">
        <x:v>1313</x:v>
      </x:c>
      <x:c r="P685" s="202">
        <x:v>257</x:v>
      </x:c>
      <x:c r="Q685" s="13" t="s">
        <x:v>572</x:v>
      </x:c>
      <x:c r="R685" s="13" t="s">
        <x:v>2049</x:v>
      </x:c>
      <x:c r="S685" s="13" t="s">
        <x:v>1354</x:v>
      </x:c>
      <x:c r="T685" s="13" t="s">
        <x:v>1356</x:v>
      </x:c>
      <x:c r="U685" s="13"/>
      <x:c r="V685" s="13" t="s">
        <x:v>797</x:v>
      </x:c>
    </x:row>
    <x:row r="686" spans="1:22" s="14" customFormat="1" ht="13.5" customHeight="1">
      <x:c r="A686" s="13" t="str">
        <x:f>O686</x:f>
        <x:v>김인섭</x:v>
      </x:c>
      <x:c r="B686" s="25" t="str">
        <x:f>L686&amp;"-"&amp;TEXT(P686,"0000")</x:f>
        <x:v>20050224-0244</x:v>
      </x:c>
      <x:c r="C686" s="13" t="s">
        <x:v>1978</x:v>
      </x:c>
      <x:c r="D686" s="13" t="s">
        <x:v>1369</x:v>
      </x:c>
      <x:c r="E686" s="13" t="s">
        <x:v>1543</x:v>
      </x:c>
      <x:c r="F686" s="13" t="s">
        <x:v>2067</x:v>
      </x:c>
      <x:c r="G686" s="13" t="s">
        <x:v>1289</x:v>
      </x:c>
      <x:c r="H686" s="13" t="str">
        <x:f>IFERROR(VLOOKUP(O686,'정보화기기 명부'!A$2:B$187,2,FALSE),"")</x:f>
        <x:v/>
      </x:c>
      <x:c r="I686" s="13"/>
      <x:c r="J686" s="13"/>
      <x:c r="K686" s="13"/>
      <x:c r="L686" s="13">
        <x:v>20050224</x:v>
      </x:c>
      <x:c r="M686" s="13" t="s">
        <x:v>1803</x:v>
      </x:c>
      <x:c r="N686" s="13" t="s">
        <x:v>2034</x:v>
      </x:c>
      <x:c r="O686" s="13" t="s">
        <x:v>1325</x:v>
      </x:c>
      <x:c r="P686" s="202">
        <x:v>244</x:v>
      </x:c>
      <x:c r="Q686" s="13" t="s">
        <x:v>572</x:v>
      </x:c>
      <x:c r="R686" s="13" t="s">
        <x:v>1769</x:v>
      </x:c>
      <x:c r="S686" s="13" t="s">
        <x:v>1354</x:v>
      </x:c>
      <x:c r="T686" s="13" t="s">
        <x:v>1344</x:v>
      </x:c>
      <x:c r="U686" s="13"/>
      <x:c r="V686" s="13" t="s">
        <x:v>2030</x:v>
      </x:c>
    </x:row>
    <x:row r="687" spans="1:22" s="14" customFormat="1" ht="13.5" customHeight="1">
      <x:c r="A687" s="13" t="str">
        <x:f>O687</x:f>
        <x:v>김인섭</x:v>
      </x:c>
      <x:c r="B687" s="25" t="str">
        <x:f>L687&amp;"-"&amp;TEXT(P687,"0000")</x:f>
        <x:v>20050224-0243</x:v>
      </x:c>
      <x:c r="C687" s="13" t="s">
        <x:v>1978</x:v>
      </x:c>
      <x:c r="D687" s="13" t="s">
        <x:v>1369</x:v>
      </x:c>
      <x:c r="E687" s="13" t="s">
        <x:v>1543</x:v>
      </x:c>
      <x:c r="F687" s="13" t="s">
        <x:v>2067</x:v>
      </x:c>
      <x:c r="G687" s="13" t="s">
        <x:v>1289</x:v>
      </x:c>
      <x:c r="H687" s="13" t="str">
        <x:f>IFERROR(VLOOKUP(O687,'정보화기기 명부'!A$2:B$187,2,FALSE),"")</x:f>
        <x:v/>
      </x:c>
      <x:c r="I687" s="13"/>
      <x:c r="J687" s="13"/>
      <x:c r="K687" s="13"/>
      <x:c r="L687" s="13">
        <x:v>20050224</x:v>
      </x:c>
      <x:c r="M687" s="13" t="s">
        <x:v>1803</x:v>
      </x:c>
      <x:c r="N687" s="13" t="s">
        <x:v>2034</x:v>
      </x:c>
      <x:c r="O687" s="13" t="s">
        <x:v>1325</x:v>
      </x:c>
      <x:c r="P687" s="202">
        <x:v>243</x:v>
      </x:c>
      <x:c r="Q687" s="13" t="s">
        <x:v>572</x:v>
      </x:c>
      <x:c r="R687" s="13" t="s">
        <x:v>1769</x:v>
      </x:c>
      <x:c r="S687" s="13" t="s">
        <x:v>1354</x:v>
      </x:c>
      <x:c r="T687" s="13" t="s">
        <x:v>1344</x:v>
      </x:c>
      <x:c r="U687" s="13"/>
      <x:c r="V687" s="13" t="s">
        <x:v>2030</x:v>
      </x:c>
    </x:row>
    <x:row r="688" spans="1:22" s="14" customFormat="1" ht="13.5" customHeight="1">
      <x:c r="A688" s="13" t="str">
        <x:f>O688</x:f>
        <x:v>김인섭</x:v>
      </x:c>
      <x:c r="B688" s="25" t="str">
        <x:f>L688&amp;"-"&amp;TEXT(P688,"0000")</x:f>
        <x:v>20050224-0242</x:v>
      </x:c>
      <x:c r="C688" s="13" t="s">
        <x:v>1978</x:v>
      </x:c>
      <x:c r="D688" s="13" t="s">
        <x:v>1533</x:v>
      </x:c>
      <x:c r="E688" s="13" t="s">
        <x:v>1543</x:v>
      </x:c>
      <x:c r="F688" s="13" t="s">
        <x:v>2067</x:v>
      </x:c>
      <x:c r="G688" s="13" t="s">
        <x:v>1289</x:v>
      </x:c>
      <x:c r="H688" s="13" t="str">
        <x:f>IFERROR(VLOOKUP(O688,'정보화기기 명부'!A$2:B$187,2,FALSE),"")</x:f>
        <x:v/>
      </x:c>
      <x:c r="I688" s="13"/>
      <x:c r="J688" s="13"/>
      <x:c r="K688" s="13"/>
      <x:c r="L688" s="13">
        <x:v>20050224</x:v>
      </x:c>
      <x:c r="M688" s="13" t="s">
        <x:v>1803</x:v>
      </x:c>
      <x:c r="N688" s="13" t="s">
        <x:v>2034</x:v>
      </x:c>
      <x:c r="O688" s="13" t="s">
        <x:v>1325</x:v>
      </x:c>
      <x:c r="P688" s="202">
        <x:v>242</x:v>
      </x:c>
      <x:c r="Q688" s="13" t="s">
        <x:v>572</x:v>
      </x:c>
      <x:c r="R688" s="13" t="s">
        <x:v>1769</x:v>
      </x:c>
      <x:c r="S688" s="13" t="s">
        <x:v>1354</x:v>
      </x:c>
      <x:c r="T688" s="13" t="s">
        <x:v>1344</x:v>
      </x:c>
      <x:c r="U688" s="13"/>
      <x:c r="V688" s="13" t="s">
        <x:v>2030</x:v>
      </x:c>
    </x:row>
    <x:row r="689" spans="1:22" s="14" customFormat="1" ht="13.5" customHeight="1">
      <x:c r="A689" s="13"/>
      <x:c r="B689" s="25" t="str">
        <x:f>L689&amp;"-"&amp;TEXT(P689,"0000")</x:f>
        <x:v>20041230-0223</x:v>
      </x:c>
      <x:c r="C689" s="13" t="s">
        <x:v>1978</x:v>
      </x:c>
      <x:c r="D689" s="13" t="s">
        <x:v>1533</x:v>
      </x:c>
      <x:c r="E689" s="13" t="s">
        <x:v>1568</x:v>
      </x:c>
      <x:c r="F689" s="13" t="s">
        <x:v>2041</x:v>
      </x:c>
      <x:c r="G689" s="13" t="s">
        <x:v>1289</x:v>
      </x:c>
      <x:c r="H689" s="13" t="str">
        <x:f>IFERROR(VLOOKUP(O689,'정보화기기 명부'!A$2:B$187,2,FALSE),"")</x:f>
        <x:v/>
      </x:c>
      <x:c r="I689" s="13"/>
      <x:c r="J689" s="13" t="s">
        <x:v>1751</x:v>
      </x:c>
      <x:c r="K689" s="13"/>
      <x:c r="L689" s="13">
        <x:v>20041230</x:v>
      </x:c>
      <x:c r="M689" s="13" t="s">
        <x:v>1959</x:v>
      </x:c>
      <x:c r="N689" s="13" t="s">
        <x:v>2045</x:v>
      </x:c>
      <x:c r="O689" s="13" t="s">
        <x:v>3147</x:v>
      </x:c>
      <x:c r="P689" s="202">
        <x:v>223</x:v>
      </x:c>
      <x:c r="Q689" s="13" t="s">
        <x:v>572</x:v>
      </x:c>
      <x:c r="R689" s="13" t="s">
        <x:v>1690</x:v>
      </x:c>
      <x:c r="S689" s="13" t="s">
        <x:v>1354</x:v>
      </x:c>
      <x:c r="T689" s="13" t="s">
        <x:v>1344</x:v>
      </x:c>
      <x:c r="U689" s="13"/>
      <x:c r="V689" s="13" t="s">
        <x:v>2030</x:v>
      </x:c>
    </x:row>
    <x:row r="690" spans="1:22" s="14" customFormat="1" ht="13.5" customHeight="1">
      <x:c r="A690" s="13"/>
      <x:c r="B690" s="25" t="str">
        <x:f>L690&amp;"-"&amp;TEXT(P690,"0000")</x:f>
        <x:v>20041230-0222</x:v>
      </x:c>
      <x:c r="C690" s="13" t="s">
        <x:v>1978</x:v>
      </x:c>
      <x:c r="D690" s="13" t="s">
        <x:v>1533</x:v>
      </x:c>
      <x:c r="E690" s="13" t="s">
        <x:v>1568</x:v>
      </x:c>
      <x:c r="F690" s="13" t="s">
        <x:v>2041</x:v>
      </x:c>
      <x:c r="G690" s="13" t="s">
        <x:v>1289</x:v>
      </x:c>
      <x:c r="H690" s="13" t="str">
        <x:f>IFERROR(VLOOKUP(O690,'정보화기기 명부'!A$2:B$187,2,FALSE),"")</x:f>
        <x:v/>
      </x:c>
      <x:c r="I690" s="13"/>
      <x:c r="J690" s="13" t="s">
        <x:v>1751</x:v>
      </x:c>
      <x:c r="K690" s="13"/>
      <x:c r="L690" s="13">
        <x:v>20041230</x:v>
      </x:c>
      <x:c r="M690" s="13" t="s">
        <x:v>1959</x:v>
      </x:c>
      <x:c r="N690" s="13" t="s">
        <x:v>2045</x:v>
      </x:c>
      <x:c r="O690" s="13" t="s">
        <x:v>3147</x:v>
      </x:c>
      <x:c r="P690" s="202">
        <x:v>222</x:v>
      </x:c>
      <x:c r="Q690" s="13" t="s">
        <x:v>572</x:v>
      </x:c>
      <x:c r="R690" s="13" t="s">
        <x:v>1690</x:v>
      </x:c>
      <x:c r="S690" s="13" t="s">
        <x:v>1354</x:v>
      </x:c>
      <x:c r="T690" s="13" t="s">
        <x:v>1344</x:v>
      </x:c>
      <x:c r="U690" s="13"/>
      <x:c r="V690" s="13" t="s">
        <x:v>2030</x:v>
      </x:c>
    </x:row>
    <x:row r="691" spans="1:22" s="14" customFormat="1" ht="13.5" customHeight="1">
      <x:c r="A691" s="13"/>
      <x:c r="B691" s="25" t="str">
        <x:f>L691&amp;"-"&amp;TEXT(P691,"0000")</x:f>
        <x:v>20041230-0221</x:v>
      </x:c>
      <x:c r="C691" s="13" t="s">
        <x:v>1978</x:v>
      </x:c>
      <x:c r="D691" s="13" t="s">
        <x:v>1533</x:v>
      </x:c>
      <x:c r="E691" s="13" t="s">
        <x:v>1568</x:v>
      </x:c>
      <x:c r="F691" s="13" t="s">
        <x:v>2041</x:v>
      </x:c>
      <x:c r="G691" s="13" t="s">
        <x:v>1289</x:v>
      </x:c>
      <x:c r="H691" s="13" t="str">
        <x:f>IFERROR(VLOOKUP(O691,'정보화기기 명부'!A$2:B$187,2,FALSE),"")</x:f>
        <x:v/>
      </x:c>
      <x:c r="I691" s="13"/>
      <x:c r="J691" s="13" t="s">
        <x:v>1751</x:v>
      </x:c>
      <x:c r="K691" s="13"/>
      <x:c r="L691" s="13">
        <x:v>20041230</x:v>
      </x:c>
      <x:c r="M691" s="13" t="s">
        <x:v>1959</x:v>
      </x:c>
      <x:c r="N691" s="13" t="s">
        <x:v>2045</x:v>
      </x:c>
      <x:c r="O691" s="13" t="s">
        <x:v>3147</x:v>
      </x:c>
      <x:c r="P691" s="202">
        <x:v>221</x:v>
      </x:c>
      <x:c r="Q691" s="13" t="s">
        <x:v>572</x:v>
      </x:c>
      <x:c r="R691" s="13" t="s">
        <x:v>1690</x:v>
      </x:c>
      <x:c r="S691" s="13" t="s">
        <x:v>1354</x:v>
      </x:c>
      <x:c r="T691" s="13" t="s">
        <x:v>1344</x:v>
      </x:c>
      <x:c r="U691" s="13"/>
      <x:c r="V691" s="13" t="s">
        <x:v>2030</x:v>
      </x:c>
    </x:row>
    <x:row r="692" spans="1:22" s="14" customFormat="1" ht="13.5" customHeight="1">
      <x:c r="A692" s="13"/>
      <x:c r="B692" s="25" t="str">
        <x:f>L692&amp;"-"&amp;TEXT(P692,"0000")</x:f>
        <x:v>20041230-0220</x:v>
      </x:c>
      <x:c r="C692" s="13" t="s">
        <x:v>1978</x:v>
      </x:c>
      <x:c r="D692" s="13" t="s">
        <x:v>1533</x:v>
      </x:c>
      <x:c r="E692" s="13" t="s">
        <x:v>1568</x:v>
      </x:c>
      <x:c r="F692" s="13" t="s">
        <x:v>2041</x:v>
      </x:c>
      <x:c r="G692" s="13" t="s">
        <x:v>1289</x:v>
      </x:c>
      <x:c r="H692" s="13" t="str">
        <x:f>IFERROR(VLOOKUP(O692,'정보화기기 명부'!A$2:B$187,2,FALSE),"")</x:f>
        <x:v/>
      </x:c>
      <x:c r="I692" s="13"/>
      <x:c r="J692" s="13" t="s">
        <x:v>1751</x:v>
      </x:c>
      <x:c r="K692" s="13"/>
      <x:c r="L692" s="13">
        <x:v>20041230</x:v>
      </x:c>
      <x:c r="M692" s="13" t="s">
        <x:v>1959</x:v>
      </x:c>
      <x:c r="N692" s="13" t="s">
        <x:v>2045</x:v>
      </x:c>
      <x:c r="O692" s="13" t="s">
        <x:v>3147</x:v>
      </x:c>
      <x:c r="P692" s="202">
        <x:v>220</x:v>
      </x:c>
      <x:c r="Q692" s="13" t="s">
        <x:v>572</x:v>
      </x:c>
      <x:c r="R692" s="13" t="s">
        <x:v>1690</x:v>
      </x:c>
      <x:c r="S692" s="13" t="s">
        <x:v>1354</x:v>
      </x:c>
      <x:c r="T692" s="13" t="s">
        <x:v>1344</x:v>
      </x:c>
      <x:c r="U692" s="13"/>
      <x:c r="V692" s="13" t="s">
        <x:v>2030</x:v>
      </x:c>
    </x:row>
    <x:row r="693" spans="1:22" s="14" customFormat="1" ht="13.5" customHeight="1">
      <x:c r="A693" s="13"/>
      <x:c r="B693" s="25" t="str">
        <x:f>L693&amp;"-"&amp;TEXT(P693,"0000")</x:f>
        <x:v>20041230-0219</x:v>
      </x:c>
      <x:c r="C693" s="13" t="s">
        <x:v>1978</x:v>
      </x:c>
      <x:c r="D693" s="13" t="s">
        <x:v>1533</x:v>
      </x:c>
      <x:c r="E693" s="13" t="s">
        <x:v>1568</x:v>
      </x:c>
      <x:c r="F693" s="13" t="s">
        <x:v>2041</x:v>
      </x:c>
      <x:c r="G693" s="13" t="s">
        <x:v>1289</x:v>
      </x:c>
      <x:c r="H693" s="13" t="str">
        <x:f>IFERROR(VLOOKUP(O693,'정보화기기 명부'!A$2:B$187,2,FALSE),"")</x:f>
        <x:v/>
      </x:c>
      <x:c r="I693" s="13"/>
      <x:c r="J693" s="13" t="s">
        <x:v>1751</x:v>
      </x:c>
      <x:c r="K693" s="13"/>
      <x:c r="L693" s="13">
        <x:v>20041230</x:v>
      </x:c>
      <x:c r="M693" s="13" t="s">
        <x:v>1959</x:v>
      </x:c>
      <x:c r="N693" s="13" t="s">
        <x:v>2045</x:v>
      </x:c>
      <x:c r="O693" s="13" t="s">
        <x:v>3147</x:v>
      </x:c>
      <x:c r="P693" s="202">
        <x:v>219</x:v>
      </x:c>
      <x:c r="Q693" s="13" t="s">
        <x:v>572</x:v>
      </x:c>
      <x:c r="R693" s="13" t="s">
        <x:v>1690</x:v>
      </x:c>
      <x:c r="S693" s="13" t="s">
        <x:v>1354</x:v>
      </x:c>
      <x:c r="T693" s="13" t="s">
        <x:v>1344</x:v>
      </x:c>
      <x:c r="U693" s="13"/>
      <x:c r="V693" s="13" t="s">
        <x:v>2030</x:v>
      </x:c>
    </x:row>
    <x:row r="694" spans="1:22" s="14" customFormat="1" ht="13.5" customHeight="1">
      <x:c r="A694" s="13"/>
      <x:c r="B694" s="25" t="str">
        <x:f>L694&amp;"-"&amp;TEXT(P694,"0000")</x:f>
        <x:v>20041230-0218</x:v>
      </x:c>
      <x:c r="C694" s="13" t="s">
        <x:v>1978</x:v>
      </x:c>
      <x:c r="D694" s="13" t="s">
        <x:v>1533</x:v>
      </x:c>
      <x:c r="E694" s="13" t="s">
        <x:v>1568</x:v>
      </x:c>
      <x:c r="F694" s="13" t="s">
        <x:v>2041</x:v>
      </x:c>
      <x:c r="G694" s="13" t="s">
        <x:v>1289</x:v>
      </x:c>
      <x:c r="H694" s="13" t="str">
        <x:f>IFERROR(VLOOKUP(O694,'정보화기기 명부'!A$2:B$187,2,FALSE),"")</x:f>
        <x:v/>
      </x:c>
      <x:c r="I694" s="13"/>
      <x:c r="J694" s="13" t="s">
        <x:v>1751</x:v>
      </x:c>
      <x:c r="K694" s="13"/>
      <x:c r="L694" s="13">
        <x:v>20041230</x:v>
      </x:c>
      <x:c r="M694" s="13" t="s">
        <x:v>1959</x:v>
      </x:c>
      <x:c r="N694" s="13" t="s">
        <x:v>2045</x:v>
      </x:c>
      <x:c r="O694" s="13" t="s">
        <x:v>3147</x:v>
      </x:c>
      <x:c r="P694" s="202">
        <x:v>218</x:v>
      </x:c>
      <x:c r="Q694" s="13" t="s">
        <x:v>572</x:v>
      </x:c>
      <x:c r="R694" s="13" t="s">
        <x:v>1690</x:v>
      </x:c>
      <x:c r="S694" s="13" t="s">
        <x:v>1354</x:v>
      </x:c>
      <x:c r="T694" s="13" t="s">
        <x:v>1344</x:v>
      </x:c>
      <x:c r="U694" s="13"/>
      <x:c r="V694" s="13" t="s">
        <x:v>2030</x:v>
      </x:c>
    </x:row>
    <x:row r="695" spans="1:22" s="14" customFormat="1" ht="13.5" customHeight="1">
      <x:c r="A695" s="13"/>
      <x:c r="B695" s="25" t="str">
        <x:f>L695&amp;"-"&amp;TEXT(P695,"0000")</x:f>
        <x:v>20041230-0217</x:v>
      </x:c>
      <x:c r="C695" s="13" t="s">
        <x:v>1978</x:v>
      </x:c>
      <x:c r="D695" s="13" t="s">
        <x:v>1533</x:v>
      </x:c>
      <x:c r="E695" s="13" t="s">
        <x:v>1568</x:v>
      </x:c>
      <x:c r="F695" s="13" t="s">
        <x:v>2041</x:v>
      </x:c>
      <x:c r="G695" s="13" t="s">
        <x:v>1289</x:v>
      </x:c>
      <x:c r="H695" s="13" t="str">
        <x:f>IFERROR(VLOOKUP(O695,'정보화기기 명부'!A$2:B$187,2,FALSE),"")</x:f>
        <x:v/>
      </x:c>
      <x:c r="I695" s="13"/>
      <x:c r="J695" s="13" t="s">
        <x:v>1751</x:v>
      </x:c>
      <x:c r="K695" s="13"/>
      <x:c r="L695" s="13">
        <x:v>20041230</x:v>
      </x:c>
      <x:c r="M695" s="13" t="s">
        <x:v>1959</x:v>
      </x:c>
      <x:c r="N695" s="13" t="s">
        <x:v>2045</x:v>
      </x:c>
      <x:c r="O695" s="13" t="s">
        <x:v>3147</x:v>
      </x:c>
      <x:c r="P695" s="202">
        <x:v>217</x:v>
      </x:c>
      <x:c r="Q695" s="13" t="s">
        <x:v>572</x:v>
      </x:c>
      <x:c r="R695" s="13" t="s">
        <x:v>1690</x:v>
      </x:c>
      <x:c r="S695" s="13" t="s">
        <x:v>1354</x:v>
      </x:c>
      <x:c r="T695" s="13" t="s">
        <x:v>1344</x:v>
      </x:c>
      <x:c r="U695" s="13"/>
      <x:c r="V695" s="13" t="s">
        <x:v>2030</x:v>
      </x:c>
    </x:row>
    <x:row r="696" spans="1:22" s="14" customFormat="1" ht="13.5" customHeight="1">
      <x:c r="A696" s="13"/>
      <x:c r="B696" s="25" t="str">
        <x:f>L696&amp;"-"&amp;TEXT(P696,"0000")</x:f>
        <x:v>20041230-0216</x:v>
      </x:c>
      <x:c r="C696" s="13" t="s">
        <x:v>1978</x:v>
      </x:c>
      <x:c r="D696" s="13" t="s">
        <x:v>1533</x:v>
      </x:c>
      <x:c r="E696" s="13" t="s">
        <x:v>1568</x:v>
      </x:c>
      <x:c r="F696" s="13" t="s">
        <x:v>2041</x:v>
      </x:c>
      <x:c r="G696" s="13" t="s">
        <x:v>1289</x:v>
      </x:c>
      <x:c r="H696" s="13" t="str">
        <x:f>IFERROR(VLOOKUP(O696,'정보화기기 명부'!A$2:B$187,2,FALSE),"")</x:f>
        <x:v/>
      </x:c>
      <x:c r="I696" s="13"/>
      <x:c r="J696" s="13" t="s">
        <x:v>1751</x:v>
      </x:c>
      <x:c r="K696" s="13"/>
      <x:c r="L696" s="13">
        <x:v>20041230</x:v>
      </x:c>
      <x:c r="M696" s="13" t="s">
        <x:v>1959</x:v>
      </x:c>
      <x:c r="N696" s="13" t="s">
        <x:v>2045</x:v>
      </x:c>
      <x:c r="O696" s="13" t="s">
        <x:v>3147</x:v>
      </x:c>
      <x:c r="P696" s="202">
        <x:v>216</x:v>
      </x:c>
      <x:c r="Q696" s="13" t="s">
        <x:v>572</x:v>
      </x:c>
      <x:c r="R696" s="13" t="s">
        <x:v>1690</x:v>
      </x:c>
      <x:c r="S696" s="13" t="s">
        <x:v>1354</x:v>
      </x:c>
      <x:c r="T696" s="13" t="s">
        <x:v>1344</x:v>
      </x:c>
      <x:c r="U696" s="13"/>
      <x:c r="V696" s="13" t="s">
        <x:v>2030</x:v>
      </x:c>
    </x:row>
    <x:row r="697" spans="1:22" s="14" customFormat="1" ht="13.5" customHeight="1">
      <x:c r="A697" s="13"/>
      <x:c r="B697" s="25" t="str">
        <x:f>L697&amp;"-"&amp;TEXT(P697,"0000")</x:f>
        <x:v>20041230-0215</x:v>
      </x:c>
      <x:c r="C697" s="13" t="s">
        <x:v>1978</x:v>
      </x:c>
      <x:c r="D697" s="13" t="s">
        <x:v>1533</x:v>
      </x:c>
      <x:c r="E697" s="13" t="s">
        <x:v>1568</x:v>
      </x:c>
      <x:c r="F697" s="13" t="s">
        <x:v>2041</x:v>
      </x:c>
      <x:c r="G697" s="13" t="s">
        <x:v>1289</x:v>
      </x:c>
      <x:c r="H697" s="13" t="str">
        <x:f>IFERROR(VLOOKUP(O697,'정보화기기 명부'!A$2:B$187,2,FALSE),"")</x:f>
        <x:v/>
      </x:c>
      <x:c r="I697" s="13"/>
      <x:c r="J697" s="13" t="s">
        <x:v>1751</x:v>
      </x:c>
      <x:c r="K697" s="13"/>
      <x:c r="L697" s="13">
        <x:v>20041230</x:v>
      </x:c>
      <x:c r="M697" s="13" t="s">
        <x:v>1959</x:v>
      </x:c>
      <x:c r="N697" s="13" t="s">
        <x:v>2045</x:v>
      </x:c>
      <x:c r="O697" s="13" t="s">
        <x:v>3147</x:v>
      </x:c>
      <x:c r="P697" s="202">
        <x:v>215</x:v>
      </x:c>
      <x:c r="Q697" s="13" t="s">
        <x:v>572</x:v>
      </x:c>
      <x:c r="R697" s="13" t="s">
        <x:v>1690</x:v>
      </x:c>
      <x:c r="S697" s="13" t="s">
        <x:v>1354</x:v>
      </x:c>
      <x:c r="T697" s="13" t="s">
        <x:v>1344</x:v>
      </x:c>
      <x:c r="U697" s="13"/>
      <x:c r="V697" s="13" t="s">
        <x:v>2030</x:v>
      </x:c>
    </x:row>
    <x:row r="698" spans="1:22" s="14" customFormat="1" ht="13.5" customHeight="1">
      <x:c r="A698" s="13"/>
      <x:c r="B698" s="25" t="str">
        <x:f>L698&amp;"-"&amp;TEXT(P698,"0000")</x:f>
        <x:v>20041230-0214</x:v>
      </x:c>
      <x:c r="C698" s="13" t="s">
        <x:v>1978</x:v>
      </x:c>
      <x:c r="D698" s="13" t="s">
        <x:v>1533</x:v>
      </x:c>
      <x:c r="E698" s="13" t="s">
        <x:v>1568</x:v>
      </x:c>
      <x:c r="F698" s="13" t="s">
        <x:v>2041</x:v>
      </x:c>
      <x:c r="G698" s="13" t="s">
        <x:v>1289</x:v>
      </x:c>
      <x:c r="H698" s="13" t="str">
        <x:f>IFERROR(VLOOKUP(O698,'정보화기기 명부'!A$2:B$187,2,FALSE),"")</x:f>
        <x:v/>
      </x:c>
      <x:c r="I698" s="13"/>
      <x:c r="J698" s="13" t="s">
        <x:v>1751</x:v>
      </x:c>
      <x:c r="K698" s="13"/>
      <x:c r="L698" s="13">
        <x:v>20041230</x:v>
      </x:c>
      <x:c r="M698" s="13" t="s">
        <x:v>1959</x:v>
      </x:c>
      <x:c r="N698" s="13" t="s">
        <x:v>2045</x:v>
      </x:c>
      <x:c r="O698" s="13" t="s">
        <x:v>601</x:v>
      </x:c>
      <x:c r="P698" s="202">
        <x:v>214</x:v>
      </x:c>
      <x:c r="Q698" s="13" t="s">
        <x:v>572</x:v>
      </x:c>
      <x:c r="R698" s="13" t="s">
        <x:v>1690</x:v>
      </x:c>
      <x:c r="S698" s="13" t="s">
        <x:v>1354</x:v>
      </x:c>
      <x:c r="T698" s="13" t="s">
        <x:v>1344</x:v>
      </x:c>
      <x:c r="U698" s="13"/>
      <x:c r="V698" s="13" t="s">
        <x:v>2030</x:v>
      </x:c>
    </x:row>
    <x:row r="699" spans="1:22" s="14" customFormat="1" ht="13.5" customHeight="1">
      <x:c r="A699" s="13"/>
      <x:c r="B699" s="25" t="str">
        <x:f>L699&amp;"-"&amp;TEXT(P699,"0000")</x:f>
        <x:v>20041230-0213</x:v>
      </x:c>
      <x:c r="C699" s="13" t="s">
        <x:v>1978</x:v>
      </x:c>
      <x:c r="D699" s="13" t="s">
        <x:v>1533</x:v>
      </x:c>
      <x:c r="E699" s="13" t="s">
        <x:v>1568</x:v>
      </x:c>
      <x:c r="F699" s="13" t="s">
        <x:v>2041</x:v>
      </x:c>
      <x:c r="G699" s="13" t="s">
        <x:v>1289</x:v>
      </x:c>
      <x:c r="H699" s="13" t="str">
        <x:f>IFERROR(VLOOKUP(O699,'정보화기기 명부'!A$2:B$187,2,FALSE),"")</x:f>
        <x:v/>
      </x:c>
      <x:c r="I699" s="13"/>
      <x:c r="J699" s="13" t="s">
        <x:v>1751</x:v>
      </x:c>
      <x:c r="K699" s="13"/>
      <x:c r="L699" s="13">
        <x:v>20041230</x:v>
      </x:c>
      <x:c r="M699" s="13" t="s">
        <x:v>1959</x:v>
      </x:c>
      <x:c r="N699" s="13" t="s">
        <x:v>2045</x:v>
      </x:c>
      <x:c r="O699" s="13" t="s">
        <x:v>3147</x:v>
      </x:c>
      <x:c r="P699" s="202">
        <x:v>213</x:v>
      </x:c>
      <x:c r="Q699" s="13" t="s">
        <x:v>572</x:v>
      </x:c>
      <x:c r="R699" s="13" t="s">
        <x:v>1690</x:v>
      </x:c>
      <x:c r="S699" s="13" t="s">
        <x:v>1354</x:v>
      </x:c>
      <x:c r="T699" s="13" t="s">
        <x:v>1344</x:v>
      </x:c>
      <x:c r="U699" s="13"/>
      <x:c r="V699" s="13" t="s">
        <x:v>2030</x:v>
      </x:c>
    </x:row>
    <x:row r="700" spans="1:22" s="14" customFormat="1" ht="13.5" customHeight="1">
      <x:c r="A700" s="13"/>
      <x:c r="B700" s="25" t="str">
        <x:f>L700&amp;"-"&amp;TEXT(P700,"0000")</x:f>
        <x:v>20041230-0212</x:v>
      </x:c>
      <x:c r="C700" s="13" t="s">
        <x:v>1978</x:v>
      </x:c>
      <x:c r="D700" s="13" t="s">
        <x:v>1533</x:v>
      </x:c>
      <x:c r="E700" s="13" t="s">
        <x:v>1568</x:v>
      </x:c>
      <x:c r="F700" s="13" t="s">
        <x:v>2041</x:v>
      </x:c>
      <x:c r="G700" s="13" t="s">
        <x:v>1289</x:v>
      </x:c>
      <x:c r="H700" s="13" t="str">
        <x:f>IFERROR(VLOOKUP(O700,'정보화기기 명부'!A$2:B$187,2,FALSE),"")</x:f>
        <x:v/>
      </x:c>
      <x:c r="I700" s="13"/>
      <x:c r="J700" s="13" t="s">
        <x:v>1751</x:v>
      </x:c>
      <x:c r="K700" s="13"/>
      <x:c r="L700" s="13">
        <x:v>20041230</x:v>
      </x:c>
      <x:c r="M700" s="13" t="s">
        <x:v>1959</x:v>
      </x:c>
      <x:c r="N700" s="13" t="s">
        <x:v>2045</x:v>
      </x:c>
      <x:c r="O700" s="13" t="s">
        <x:v>3147</x:v>
      </x:c>
      <x:c r="P700" s="202">
        <x:v>212</x:v>
      </x:c>
      <x:c r="Q700" s="13" t="s">
        <x:v>572</x:v>
      </x:c>
      <x:c r="R700" s="13" t="s">
        <x:v>1690</x:v>
      </x:c>
      <x:c r="S700" s="13" t="s">
        <x:v>1354</x:v>
      </x:c>
      <x:c r="T700" s="13" t="s">
        <x:v>1344</x:v>
      </x:c>
      <x:c r="U700" s="13"/>
      <x:c r="V700" s="13" t="s">
        <x:v>2030</x:v>
      </x:c>
    </x:row>
    <x:row r="701" spans="1:22" s="14" customFormat="1" ht="13.5" customHeight="1">
      <x:c r="A701" s="13"/>
      <x:c r="B701" s="25" t="str">
        <x:f>L701&amp;"-"&amp;TEXT(P701,"0000")</x:f>
        <x:v>20041230-0211</x:v>
      </x:c>
      <x:c r="C701" s="13" t="s">
        <x:v>1978</x:v>
      </x:c>
      <x:c r="D701" s="13" t="s">
        <x:v>1533</x:v>
      </x:c>
      <x:c r="E701" s="13" t="s">
        <x:v>1568</x:v>
      </x:c>
      <x:c r="F701" s="13" t="s">
        <x:v>2041</x:v>
      </x:c>
      <x:c r="G701" s="13" t="s">
        <x:v>1289</x:v>
      </x:c>
      <x:c r="H701" s="13" t="str">
        <x:f>IFERROR(VLOOKUP(O701,'정보화기기 명부'!A$2:B$187,2,FALSE),"")</x:f>
        <x:v/>
      </x:c>
      <x:c r="I701" s="13"/>
      <x:c r="J701" s="13" t="s">
        <x:v>1751</x:v>
      </x:c>
      <x:c r="K701" s="13"/>
      <x:c r="L701" s="13">
        <x:v>20041230</x:v>
      </x:c>
      <x:c r="M701" s="13" t="s">
        <x:v>1959</x:v>
      </x:c>
      <x:c r="N701" s="13" t="s">
        <x:v>2045</x:v>
      </x:c>
      <x:c r="O701" s="13" t="s">
        <x:v>3295</x:v>
      </x:c>
      <x:c r="P701" s="202">
        <x:v>211</x:v>
      </x:c>
      <x:c r="Q701" s="13" t="s">
        <x:v>572</x:v>
      </x:c>
      <x:c r="R701" s="13" t="s">
        <x:v>1690</x:v>
      </x:c>
      <x:c r="S701" s="13" t="s">
        <x:v>1354</x:v>
      </x:c>
      <x:c r="T701" s="13" t="s">
        <x:v>1344</x:v>
      </x:c>
      <x:c r="U701" s="13"/>
      <x:c r="V701" s="13" t="s">
        <x:v>2030</x:v>
      </x:c>
    </x:row>
    <x:row r="702" spans="1:22" s="14" customFormat="1" ht="13.5" customHeight="1">
      <x:c r="A702" s="13"/>
      <x:c r="B702" s="25" t="str">
        <x:f>L702&amp;"-"&amp;TEXT(P702,"0000")</x:f>
        <x:v>20041230-0210</x:v>
      </x:c>
      <x:c r="C702" s="13" t="s">
        <x:v>1978</x:v>
      </x:c>
      <x:c r="D702" s="13" t="s">
        <x:v>1533</x:v>
      </x:c>
      <x:c r="E702" s="13" t="s">
        <x:v>1568</x:v>
      </x:c>
      <x:c r="F702" s="13" t="s">
        <x:v>2041</x:v>
      </x:c>
      <x:c r="G702" s="13" t="s">
        <x:v>1289</x:v>
      </x:c>
      <x:c r="H702" s="13" t="str">
        <x:f>IFERROR(VLOOKUP(O702,'정보화기기 명부'!A$2:B$187,2,FALSE),"")</x:f>
        <x:v/>
      </x:c>
      <x:c r="I702" s="13"/>
      <x:c r="J702" s="13" t="s">
        <x:v>1751</x:v>
      </x:c>
      <x:c r="K702" s="13"/>
      <x:c r="L702" s="13">
        <x:v>20041230</x:v>
      </x:c>
      <x:c r="M702" s="13" t="s">
        <x:v>1959</x:v>
      </x:c>
      <x:c r="N702" s="13" t="s">
        <x:v>2045</x:v>
      </x:c>
      <x:c r="O702" s="13" t="s">
        <x:v>3295</x:v>
      </x:c>
      <x:c r="P702" s="202">
        <x:v>210</x:v>
      </x:c>
      <x:c r="Q702" s="13" t="s">
        <x:v>572</x:v>
      </x:c>
      <x:c r="R702" s="13" t="s">
        <x:v>1690</x:v>
      </x:c>
      <x:c r="S702" s="13" t="s">
        <x:v>1354</x:v>
      </x:c>
      <x:c r="T702" s="13" t="s">
        <x:v>1344</x:v>
      </x:c>
      <x:c r="U702" s="13"/>
      <x:c r="V702" s="13" t="s">
        <x:v>2030</x:v>
      </x:c>
    </x:row>
    <x:row r="703" spans="1:22" s="14" customFormat="1" ht="13.5" customHeight="1">
      <x:c r="A703" s="13"/>
      <x:c r="B703" s="25" t="str">
        <x:f>L703&amp;"-"&amp;TEXT(P703,"0000")</x:f>
        <x:v>20041230-0209</x:v>
      </x:c>
      <x:c r="C703" s="13" t="s">
        <x:v>1978</x:v>
      </x:c>
      <x:c r="D703" s="13" t="s">
        <x:v>1533</x:v>
      </x:c>
      <x:c r="E703" s="13" t="s">
        <x:v>1568</x:v>
      </x:c>
      <x:c r="F703" s="13" t="s">
        <x:v>2041</x:v>
      </x:c>
      <x:c r="G703" s="13" t="s">
        <x:v>1289</x:v>
      </x:c>
      <x:c r="H703" s="13" t="str">
        <x:f>IFERROR(VLOOKUP(O703,'정보화기기 명부'!A$2:B$187,2,FALSE),"")</x:f>
        <x:v/>
      </x:c>
      <x:c r="I703" s="13"/>
      <x:c r="J703" s="13" t="s">
        <x:v>1751</x:v>
      </x:c>
      <x:c r="K703" s="13"/>
      <x:c r="L703" s="13">
        <x:v>20041230</x:v>
      </x:c>
      <x:c r="M703" s="13" t="s">
        <x:v>1959</x:v>
      </x:c>
      <x:c r="N703" s="13" t="s">
        <x:v>2045</x:v>
      </x:c>
      <x:c r="O703" s="13" t="s">
        <x:v>3295</x:v>
      </x:c>
      <x:c r="P703" s="202">
        <x:v>209</x:v>
      </x:c>
      <x:c r="Q703" s="13" t="s">
        <x:v>572</x:v>
      </x:c>
      <x:c r="R703" s="13" t="s">
        <x:v>1690</x:v>
      </x:c>
      <x:c r="S703" s="13" t="s">
        <x:v>1354</x:v>
      </x:c>
      <x:c r="T703" s="13" t="s">
        <x:v>1344</x:v>
      </x:c>
      <x:c r="U703" s="13"/>
      <x:c r="V703" s="13" t="s">
        <x:v>2030</x:v>
      </x:c>
    </x:row>
    <x:row r="704" spans="1:22" s="14" customFormat="1" ht="13.5" customHeight="1">
      <x:c r="A704" s="13"/>
      <x:c r="B704" s="25" t="str">
        <x:f>L704&amp;"-"&amp;TEXT(P704,"0000")</x:f>
        <x:v>20041230-0208</x:v>
      </x:c>
      <x:c r="C704" s="13" t="s">
        <x:v>1978</x:v>
      </x:c>
      <x:c r="D704" s="13" t="s">
        <x:v>1533</x:v>
      </x:c>
      <x:c r="E704" s="13" t="s">
        <x:v>1568</x:v>
      </x:c>
      <x:c r="F704" s="13" t="s">
        <x:v>2041</x:v>
      </x:c>
      <x:c r="G704" s="13" t="s">
        <x:v>1289</x:v>
      </x:c>
      <x:c r="H704" s="13" t="str">
        <x:f>IFERROR(VLOOKUP(O704,'정보화기기 명부'!A$2:B$187,2,FALSE),"")</x:f>
        <x:v/>
      </x:c>
      <x:c r="I704" s="13"/>
      <x:c r="J704" s="13" t="s">
        <x:v>1751</x:v>
      </x:c>
      <x:c r="K704" s="13"/>
      <x:c r="L704" s="13">
        <x:v>20041230</x:v>
      </x:c>
      <x:c r="M704" s="13" t="s">
        <x:v>1959</x:v>
      </x:c>
      <x:c r="N704" s="13" t="s">
        <x:v>2045</x:v>
      </x:c>
      <x:c r="O704" s="13" t="s">
        <x:v>3295</x:v>
      </x:c>
      <x:c r="P704" s="202">
        <x:v>208</x:v>
      </x:c>
      <x:c r="Q704" s="13" t="s">
        <x:v>572</x:v>
      </x:c>
      <x:c r="R704" s="13" t="s">
        <x:v>1690</x:v>
      </x:c>
      <x:c r="S704" s="13" t="s">
        <x:v>1354</x:v>
      </x:c>
      <x:c r="T704" s="13" t="s">
        <x:v>1344</x:v>
      </x:c>
      <x:c r="U704" s="13"/>
      <x:c r="V704" s="13" t="s">
        <x:v>2030</x:v>
      </x:c>
    </x:row>
    <x:row r="705" spans="1:22" s="14" customFormat="1" ht="13.5" customHeight="1">
      <x:c r="A705" s="13"/>
      <x:c r="B705" s="25" t="str">
        <x:f>L705&amp;"-"&amp;TEXT(P705,"0000")</x:f>
        <x:v>20041230-0207</x:v>
      </x:c>
      <x:c r="C705" s="13" t="s">
        <x:v>1978</x:v>
      </x:c>
      <x:c r="D705" s="13" t="s">
        <x:v>1533</x:v>
      </x:c>
      <x:c r="E705" s="13" t="s">
        <x:v>1568</x:v>
      </x:c>
      <x:c r="F705" s="13" t="s">
        <x:v>2041</x:v>
      </x:c>
      <x:c r="G705" s="13" t="s">
        <x:v>1289</x:v>
      </x:c>
      <x:c r="H705" s="13" t="str">
        <x:f>IFERROR(VLOOKUP(O705,'정보화기기 명부'!A$2:B$187,2,FALSE),"")</x:f>
        <x:v/>
      </x:c>
      <x:c r="I705" s="13"/>
      <x:c r="J705" s="13" t="s">
        <x:v>1751</x:v>
      </x:c>
      <x:c r="K705" s="13"/>
      <x:c r="L705" s="13">
        <x:v>20041230</x:v>
      </x:c>
      <x:c r="M705" s="13" t="s">
        <x:v>1959</x:v>
      </x:c>
      <x:c r="N705" s="13" t="s">
        <x:v>2045</x:v>
      </x:c>
      <x:c r="O705" s="13" t="s">
        <x:v>3295</x:v>
      </x:c>
      <x:c r="P705" s="202">
        <x:v>207</x:v>
      </x:c>
      <x:c r="Q705" s="13" t="s">
        <x:v>572</x:v>
      </x:c>
      <x:c r="R705" s="13" t="s">
        <x:v>1690</x:v>
      </x:c>
      <x:c r="S705" s="13" t="s">
        <x:v>1354</x:v>
      </x:c>
      <x:c r="T705" s="13" t="s">
        <x:v>1344</x:v>
      </x:c>
      <x:c r="U705" s="13"/>
      <x:c r="V705" s="13" t="s">
        <x:v>2030</x:v>
      </x:c>
    </x:row>
    <x:row r="706" spans="1:22" s="14" customFormat="1" ht="13.5" customHeight="1">
      <x:c r="A706" s="13"/>
      <x:c r="B706" s="25" t="str">
        <x:f>L706&amp;"-"&amp;TEXT(P706,"0000")</x:f>
        <x:v>20041230-0206</x:v>
      </x:c>
      <x:c r="C706" s="13" t="s">
        <x:v>1978</x:v>
      </x:c>
      <x:c r="D706" s="13" t="s">
        <x:v>1533</x:v>
      </x:c>
      <x:c r="E706" s="13" t="s">
        <x:v>1568</x:v>
      </x:c>
      <x:c r="F706" s="13" t="s">
        <x:v>2041</x:v>
      </x:c>
      <x:c r="G706" s="13" t="s">
        <x:v>1289</x:v>
      </x:c>
      <x:c r="H706" s="13" t="str">
        <x:f>IFERROR(VLOOKUP(O706,'정보화기기 명부'!A$2:B$187,2,FALSE),"")</x:f>
        <x:v/>
      </x:c>
      <x:c r="I706" s="13"/>
      <x:c r="J706" s="13" t="s">
        <x:v>1751</x:v>
      </x:c>
      <x:c r="K706" s="13"/>
      <x:c r="L706" s="13">
        <x:v>20041230</x:v>
      </x:c>
      <x:c r="M706" s="13" t="s">
        <x:v>1959</x:v>
      </x:c>
      <x:c r="N706" s="13" t="s">
        <x:v>2045</x:v>
      </x:c>
      <x:c r="O706" s="13" t="s">
        <x:v>3147</x:v>
      </x:c>
      <x:c r="P706" s="202">
        <x:v>206</x:v>
      </x:c>
      <x:c r="Q706" s="13" t="s">
        <x:v>572</x:v>
      </x:c>
      <x:c r="R706" s="13" t="s">
        <x:v>1690</x:v>
      </x:c>
      <x:c r="S706" s="13" t="s">
        <x:v>1354</x:v>
      </x:c>
      <x:c r="T706" s="13" t="s">
        <x:v>1344</x:v>
      </x:c>
      <x:c r="U706" s="13"/>
      <x:c r="V706" s="13" t="s">
        <x:v>2030</x:v>
      </x:c>
    </x:row>
    <x:row r="707" spans="1:22" s="14" customFormat="1" ht="13.5" customHeight="1">
      <x:c r="A707" s="13" t="str">
        <x:f>O707</x:f>
        <x:v>김인섭</x:v>
      </x:c>
      <x:c r="B707" s="25" t="str">
        <x:f>L707&amp;"-"&amp;TEXT(P707,"0000")</x:f>
        <x:v>20041217-0239</x:v>
      </x:c>
      <x:c r="C707" s="13" t="s">
        <x:v>1564</x:v>
      </x:c>
      <x:c r="D707" s="13" t="s">
        <x:v>1533</x:v>
      </x:c>
      <x:c r="E707" s="13" t="s">
        <x:v>1543</x:v>
      </x:c>
      <x:c r="F707" s="13" t="s">
        <x:v>1806</x:v>
      </x:c>
      <x:c r="G707" s="13" t="s">
        <x:v>1289</x:v>
      </x:c>
      <x:c r="H707" s="13" t="str">
        <x:f>IFERROR(VLOOKUP(O707,'정보화기기 명부'!A$2:B$187,2,FALSE),"")</x:f>
        <x:v/>
      </x:c>
      <x:c r="I707" s="13"/>
      <x:c r="J707" s="13"/>
      <x:c r="K707" s="13"/>
      <x:c r="L707" s="13">
        <x:v>20041217</x:v>
      </x:c>
      <x:c r="M707" s="13" t="s">
        <x:v>511</x:v>
      </x:c>
      <x:c r="N707" s="13" t="s">
        <x:v>2034</x:v>
      </x:c>
      <x:c r="O707" s="13" t="s">
        <x:v>1325</x:v>
      </x:c>
      <x:c r="P707" s="202">
        <x:v>239</x:v>
      </x:c>
      <x:c r="Q707" s="13" t="s">
        <x:v>572</x:v>
      </x:c>
      <x:c r="R707" s="13" t="s">
        <x:v>2049</x:v>
      </x:c>
      <x:c r="S707" s="13" t="s">
        <x:v>1354</x:v>
      </x:c>
      <x:c r="T707" s="13" t="s">
        <x:v>1379</x:v>
      </x:c>
      <x:c r="U707" s="13"/>
      <x:c r="V707" s="13" t="s">
        <x:v>2030</x:v>
      </x:c>
    </x:row>
    <x:row r="708" spans="1:22" s="14" customFormat="1" ht="13.5" customHeight="1">
      <x:c r="A708" s="13" t="str">
        <x:f>O708</x:f>
        <x:v>김인섭</x:v>
      </x:c>
      <x:c r="B708" s="25" t="str">
        <x:f>L708&amp;"-"&amp;TEXT(P708,"0000")</x:f>
        <x:v>20041217-0240</x:v>
      </x:c>
      <x:c r="C708" s="13" t="s">
        <x:v>1564</x:v>
      </x:c>
      <x:c r="D708" s="13" t="s">
        <x:v>1533</x:v>
      </x:c>
      <x:c r="E708" s="13" t="s">
        <x:v>1543</x:v>
      </x:c>
      <x:c r="F708" s="13" t="s">
        <x:v>1806</x:v>
      </x:c>
      <x:c r="G708" s="13" t="s">
        <x:v>1289</x:v>
      </x:c>
      <x:c r="H708" s="13" t="str">
        <x:f>IFERROR(VLOOKUP(O708,'정보화기기 명부'!A$2:B$187,2,FALSE),"")</x:f>
        <x:v/>
      </x:c>
      <x:c r="I708" s="13"/>
      <x:c r="J708" s="13"/>
      <x:c r="K708" s="13"/>
      <x:c r="L708" s="13">
        <x:v>20041217</x:v>
      </x:c>
      <x:c r="M708" s="13" t="s">
        <x:v>511</x:v>
      </x:c>
      <x:c r="N708" s="13" t="s">
        <x:v>2034</x:v>
      </x:c>
      <x:c r="O708" s="13" t="s">
        <x:v>1325</x:v>
      </x:c>
      <x:c r="P708" s="202">
        <x:v>240</x:v>
      </x:c>
      <x:c r="Q708" s="13" t="s">
        <x:v>572</x:v>
      </x:c>
      <x:c r="R708" s="13" t="s">
        <x:v>2049</x:v>
      </x:c>
      <x:c r="S708" s="13" t="s">
        <x:v>1354</x:v>
      </x:c>
      <x:c r="T708" s="13" t="s">
        <x:v>1379</x:v>
      </x:c>
      <x:c r="U708" s="13"/>
      <x:c r="V708" s="13" t="s">
        <x:v>2030</x:v>
      </x:c>
    </x:row>
    <x:row r="709" spans="1:22" s="14" customFormat="1" ht="13.5" customHeight="1">
      <x:c r="A709" s="13" t="str">
        <x:f>O709</x:f>
        <x:v>3학년성적컴(보관중)</x:v>
      </x:c>
      <x:c r="B709" s="25" t="str">
        <x:f>L709&amp;"-"&amp;TEXT(P709,"0000")</x:f>
        <x:v>20040916-0204</x:v>
      </x:c>
      <x:c r="C709" s="13" t="s">
        <x:v>1978</x:v>
      </x:c>
      <x:c r="D709" s="13" t="s">
        <x:v>1533</x:v>
      </x:c>
      <x:c r="E709" s="13" t="s">
        <x:v>1543</x:v>
      </x:c>
      <x:c r="F709" s="13" t="s">
        <x:v>2067</x:v>
      </x:c>
      <x:c r="G709" s="13" t="s">
        <x:v>1289</x:v>
      </x:c>
      <x:c r="H709" s="13" t="str">
        <x:f>IFERROR(VLOOKUP(O709,'정보화기기 명부'!A$2:B$187,2,FALSE),"")</x:f>
        <x:v/>
      </x:c>
      <x:c r="I709" s="13"/>
      <x:c r="J709" s="13"/>
      <x:c r="K709" s="13"/>
      <x:c r="L709" s="13">
        <x:v>20040916</x:v>
      </x:c>
      <x:c r="M709" s="13" t="s">
        <x:v>493</x:v>
      </x:c>
      <x:c r="N709" s="13" t="s">
        <x:v>2034</x:v>
      </x:c>
      <x:c r="O709" s="13" t="s">
        <x:v>607</x:v>
      </x:c>
      <x:c r="P709" s="202">
        <x:v>204</x:v>
      </x:c>
      <x:c r="Q709" s="13" t="s">
        <x:v>572</x:v>
      </x:c>
      <x:c r="R709" s="13" t="s">
        <x:v>1769</x:v>
      </x:c>
      <x:c r="S709" s="13" t="s">
        <x:v>1368</x:v>
      </x:c>
      <x:c r="T709" s="13" t="s">
        <x:v>1383</x:v>
      </x:c>
      <x:c r="U709" s="13"/>
      <x:c r="V709" s="13" t="s">
        <x:v>797</x:v>
      </x:c>
    </x:row>
    <x:row r="710" spans="1:22" s="14" customFormat="1" ht="13.5" customHeight="1">
      <x:c r="A710" s="13" t="str">
        <x:f>O710</x:f>
        <x:v>행정실 폐기예정</x:v>
      </x:c>
      <x:c r="B710" s="25" t="str">
        <x:f>L710&amp;"-"&amp;TEXT(P710,"0000")</x:f>
        <x:v>20040628-0007</x:v>
      </x:c>
      <x:c r="C710" s="13" t="s">
        <x:v>1978</x:v>
      </x:c>
      <x:c r="D710" s="13" t="s">
        <x:v>1533</x:v>
      </x:c>
      <x:c r="E710" s="13" t="s">
        <x:v>1543</x:v>
      </x:c>
      <x:c r="F710" s="13" t="s">
        <x:v>2079</x:v>
      </x:c>
      <x:c r="G710" s="13" t="s">
        <x:v>1289</x:v>
      </x:c>
      <x:c r="H710" s="13" t="str">
        <x:f>IFERROR(VLOOKUP(O710,'정보화기기 명부'!A$2:B$187,2,FALSE),"")</x:f>
        <x:v/>
      </x:c>
      <x:c r="I710" s="13"/>
      <x:c r="J710" s="13"/>
      <x:c r="K710" s="13"/>
      <x:c r="L710" s="13">
        <x:v>20040628</x:v>
      </x:c>
      <x:c r="M710" s="13" t="s">
        <x:v>459</x:v>
      </x:c>
      <x:c r="N710" s="13" t="s">
        <x:v>2034</x:v>
      </x:c>
      <x:c r="O710" s="13" t="s">
        <x:v>491</x:v>
      </x:c>
      <x:c r="P710" s="202">
        <x:v>7</x:v>
      </x:c>
      <x:c r="Q710" s="13" t="s">
        <x:v>572</x:v>
      </x:c>
      <x:c r="R710" s="13" t="s">
        <x:v>1704</x:v>
      </x:c>
      <x:c r="S710" s="13" t="s">
        <x:v>1354</x:v>
      </x:c>
      <x:c r="T710" s="13" t="s">
        <x:v>1356</x:v>
      </x:c>
      <x:c r="U710" s="13"/>
      <x:c r="V710" s="13" t="s">
        <x:v>2030</x:v>
      </x:c>
    </x:row>
    <x:row r="711" spans="1:22" s="14" customFormat="1" ht="13.5" customHeight="1">
      <x:c r="A711" s="13" t="str">
        <x:f>O711</x:f>
        <x:v>남궁일</x:v>
      </x:c>
      <x:c r="B711" s="25" t="str">
        <x:f>L711&amp;"-"&amp;TEXT(P711,"0000")</x:f>
        <x:v>20040628-0006</x:v>
      </x:c>
      <x:c r="C711" s="13" t="s">
        <x:v>1978</x:v>
      </x:c>
      <x:c r="D711" s="13" t="s">
        <x:v>1533</x:v>
      </x:c>
      <x:c r="E711" s="13" t="s">
        <x:v>1543</x:v>
      </x:c>
      <x:c r="F711" s="13" t="s">
        <x:v>2079</x:v>
      </x:c>
      <x:c r="G711" s="13" t="s">
        <x:v>1289</x:v>
      </x:c>
      <x:c r="H711" s="13" t="str">
        <x:f>IFERROR(VLOOKUP(O711,'정보화기기 명부'!A$2:B$187,2,FALSE),"")</x:f>
        <x:v/>
      </x:c>
      <x:c r="I711" s="13"/>
      <x:c r="J711" s="13"/>
      <x:c r="K711" s="13"/>
      <x:c r="L711" s="13">
        <x:v>20040628</x:v>
      </x:c>
      <x:c r="M711" s="13" t="s">
        <x:v>459</x:v>
      </x:c>
      <x:c r="N711" s="13" t="s">
        <x:v>2034</x:v>
      </x:c>
      <x:c r="O711" s="13" t="s">
        <x:v>1339</x:v>
      </x:c>
      <x:c r="P711" s="202">
        <x:v>6</x:v>
      </x:c>
      <x:c r="Q711" s="13" t="s">
        <x:v>572</x:v>
      </x:c>
      <x:c r="R711" s="13" t="s">
        <x:v>1704</x:v>
      </x:c>
      <x:c r="S711" s="13" t="s">
        <x:v>1354</x:v>
      </x:c>
      <x:c r="T711" s="13" t="s">
        <x:v>1379</x:v>
      </x:c>
      <x:c r="U711" s="13"/>
      <x:c r="V711" s="13" t="s">
        <x:v>2030</x:v>
      </x:c>
    </x:row>
    <x:row r="712" spans="1:22" s="14" customFormat="1" ht="13.5" customHeight="1">
      <x:c r="A712" s="13"/>
      <x:c r="B712" s="25" t="str">
        <x:f>L712&amp;"-"&amp;TEXT(P712,"0000")</x:f>
        <x:v>20040421-0205</x:v>
      </x:c>
      <x:c r="C712" s="13" t="s">
        <x:v>1978</x:v>
      </x:c>
      <x:c r="D712" s="13" t="s">
        <x:v>1533</x:v>
      </x:c>
      <x:c r="E712" s="13" t="s">
        <x:v>1568</x:v>
      </x:c>
      <x:c r="F712" s="13" t="s">
        <x:v>2072</x:v>
      </x:c>
      <x:c r="G712" s="13" t="s">
        <x:v>1289</x:v>
      </x:c>
      <x:c r="H712" s="13" t="str">
        <x:f>IFERROR(VLOOKUP(O712,'정보화기기 명부'!A$2:B$187,2,FALSE),"")</x:f>
        <x:v/>
      </x:c>
      <x:c r="I712" s="13"/>
      <x:c r="J712" s="13" t="s">
        <x:v>1751</x:v>
      </x:c>
      <x:c r="K712" s="13"/>
      <x:c r="L712" s="13">
        <x:v>20040421</x:v>
      </x:c>
      <x:c r="M712" s="13" t="s">
        <x:v>502</x:v>
      </x:c>
      <x:c r="N712" s="13" t="s">
        <x:v>2045</x:v>
      </x:c>
      <x:c r="O712" s="13" t="s">
        <x:v>3147</x:v>
      </x:c>
      <x:c r="P712" s="202">
        <x:v>205</x:v>
      </x:c>
      <x:c r="Q712" s="13" t="s">
        <x:v>572</x:v>
      </x:c>
      <x:c r="R712" s="13" t="s">
        <x:v>1704</x:v>
      </x:c>
      <x:c r="S712" s="13" t="s">
        <x:v>1354</x:v>
      </x:c>
      <x:c r="T712" s="13" t="s">
        <x:v>1356</x:v>
      </x:c>
      <x:c r="U712" s="13"/>
      <x:c r="V712" s="13" t="s">
        <x:v>2030</x:v>
      </x:c>
    </x:row>
    <x:row r="713" spans="1:22" s="14" customFormat="1" ht="13.5" customHeight="1">
      <x:c r="A713" s="13"/>
      <x:c r="B713" s="25" t="str">
        <x:f>L713&amp;"-"&amp;TEXT(P713,"0000")</x:f>
        <x:v>20040421-0181</x:v>
      </x:c>
      <x:c r="C713" s="13" t="s">
        <x:v>1978</x:v>
      </x:c>
      <x:c r="D713" s="13" t="s">
        <x:v>1533</x:v>
      </x:c>
      <x:c r="E713" s="13" t="s">
        <x:v>1568</x:v>
      </x:c>
      <x:c r="F713" s="13" t="s">
        <x:v>2072</x:v>
      </x:c>
      <x:c r="G713" s="13" t="s">
        <x:v>1289</x:v>
      </x:c>
      <x:c r="H713" s="13" t="str">
        <x:f>IFERROR(VLOOKUP(O713,'정보화기기 명부'!A$2:B$187,2,FALSE),"")</x:f>
        <x:v/>
      </x:c>
      <x:c r="I713" s="13"/>
      <x:c r="J713" s="13" t="s">
        <x:v>1751</x:v>
      </x:c>
      <x:c r="K713" s="13"/>
      <x:c r="L713" s="13">
        <x:v>20040421</x:v>
      </x:c>
      <x:c r="M713" s="13" t="s">
        <x:v>502</x:v>
      </x:c>
      <x:c r="N713" s="13" t="s">
        <x:v>2045</x:v>
      </x:c>
      <x:c r="O713" s="13" t="s">
        <x:v>3147</x:v>
      </x:c>
      <x:c r="P713" s="202">
        <x:v>181</x:v>
      </x:c>
      <x:c r="Q713" s="13" t="s">
        <x:v>572</x:v>
      </x:c>
      <x:c r="R713" s="13" t="s">
        <x:v>1704</x:v>
      </x:c>
      <x:c r="S713" s="13" t="s">
        <x:v>1354</x:v>
      </x:c>
      <x:c r="T713" s="13" t="s">
        <x:v>1356</x:v>
      </x:c>
      <x:c r="U713" s="13"/>
      <x:c r="V713" s="13" t="s">
        <x:v>2030</x:v>
      </x:c>
    </x:row>
    <x:row r="714" spans="1:22" s="14" customFormat="1" ht="13.5" customHeight="1">
      <x:c r="A714" s="13"/>
      <x:c r="B714" s="25" t="str">
        <x:f>L714&amp;"-"&amp;TEXT(P714,"0000")</x:f>
        <x:v>20040421-0180</x:v>
      </x:c>
      <x:c r="C714" s="13" t="s">
        <x:v>1978</x:v>
      </x:c>
      <x:c r="D714" s="13" t="s">
        <x:v>1533</x:v>
      </x:c>
      <x:c r="E714" s="13" t="s">
        <x:v>1568</x:v>
      </x:c>
      <x:c r="F714" s="13" t="s">
        <x:v>2072</x:v>
      </x:c>
      <x:c r="G714" s="13" t="s">
        <x:v>1289</x:v>
      </x:c>
      <x:c r="H714" s="13" t="str">
        <x:f>IFERROR(VLOOKUP(O714,'정보화기기 명부'!A$2:B$187,2,FALSE),"")</x:f>
        <x:v/>
      </x:c>
      <x:c r="I714" s="13"/>
      <x:c r="J714" s="13" t="s">
        <x:v>1751</x:v>
      </x:c>
      <x:c r="K714" s="13"/>
      <x:c r="L714" s="13">
        <x:v>20040421</x:v>
      </x:c>
      <x:c r="M714" s="13" t="s">
        <x:v>502</x:v>
      </x:c>
      <x:c r="N714" s="13" t="s">
        <x:v>2045</x:v>
      </x:c>
      <x:c r="O714" s="13" t="s">
        <x:v>3147</x:v>
      </x:c>
      <x:c r="P714" s="202">
        <x:v>180</x:v>
      </x:c>
      <x:c r="Q714" s="13" t="s">
        <x:v>572</x:v>
      </x:c>
      <x:c r="R714" s="13" t="s">
        <x:v>1704</x:v>
      </x:c>
      <x:c r="S714" s="13" t="s">
        <x:v>1354</x:v>
      </x:c>
      <x:c r="T714" s="13" t="s">
        <x:v>1356</x:v>
      </x:c>
      <x:c r="U714" s="13"/>
      <x:c r="V714" s="13" t="s">
        <x:v>2030</x:v>
      </x:c>
    </x:row>
    <x:row r="715" spans="1:22" s="14" customFormat="1" ht="13.5" customHeight="1">
      <x:c r="A715" s="13"/>
      <x:c r="B715" s="25" t="str">
        <x:f>L715&amp;"-"&amp;TEXT(P715,"0000")</x:f>
        <x:v>20040421-0179</x:v>
      </x:c>
      <x:c r="C715" s="13" t="s">
        <x:v>1978</x:v>
      </x:c>
      <x:c r="D715" s="13" t="s">
        <x:v>1533</x:v>
      </x:c>
      <x:c r="E715" s="13" t="s">
        <x:v>1568</x:v>
      </x:c>
      <x:c r="F715" s="13" t="s">
        <x:v>2072</x:v>
      </x:c>
      <x:c r="G715" s="13" t="s">
        <x:v>1289</x:v>
      </x:c>
      <x:c r="H715" s="13" t="str">
        <x:f>IFERROR(VLOOKUP(O715,'정보화기기 명부'!A$2:B$187,2,FALSE),"")</x:f>
        <x:v/>
      </x:c>
      <x:c r="I715" s="13"/>
      <x:c r="J715" s="13" t="s">
        <x:v>1751</x:v>
      </x:c>
      <x:c r="K715" s="13"/>
      <x:c r="L715" s="13">
        <x:v>20040421</x:v>
      </x:c>
      <x:c r="M715" s="13" t="s">
        <x:v>502</x:v>
      </x:c>
      <x:c r="N715" s="13" t="s">
        <x:v>2045</x:v>
      </x:c>
      <x:c r="O715" s="13" t="s">
        <x:v>3147</x:v>
      </x:c>
      <x:c r="P715" s="202">
        <x:v>179</x:v>
      </x:c>
      <x:c r="Q715" s="13" t="s">
        <x:v>572</x:v>
      </x:c>
      <x:c r="R715" s="13" t="s">
        <x:v>1704</x:v>
      </x:c>
      <x:c r="S715" s="13" t="s">
        <x:v>1354</x:v>
      </x:c>
      <x:c r="T715" s="13" t="s">
        <x:v>1356</x:v>
      </x:c>
      <x:c r="U715" s="13"/>
      <x:c r="V715" s="13" t="s">
        <x:v>2030</x:v>
      </x:c>
    </x:row>
    <x:row r="716" spans="1:22" s="14" customFormat="1" ht="13.5" customHeight="1">
      <x:c r="A716" s="13"/>
      <x:c r="B716" s="25" t="str">
        <x:f>L716&amp;"-"&amp;TEXT(P716,"0000")</x:f>
        <x:v>20040421-0178</x:v>
      </x:c>
      <x:c r="C716" s="13" t="s">
        <x:v>1978</x:v>
      </x:c>
      <x:c r="D716" s="13" t="s">
        <x:v>1533</x:v>
      </x:c>
      <x:c r="E716" s="13" t="s">
        <x:v>1568</x:v>
      </x:c>
      <x:c r="F716" s="13" t="s">
        <x:v>2072</x:v>
      </x:c>
      <x:c r="G716" s="13" t="s">
        <x:v>1289</x:v>
      </x:c>
      <x:c r="H716" s="13" t="str">
        <x:f>IFERROR(VLOOKUP(O716,'정보화기기 명부'!A$2:B$187,2,FALSE),"")</x:f>
        <x:v/>
      </x:c>
      <x:c r="I716" s="13"/>
      <x:c r="J716" s="13" t="s">
        <x:v>1751</x:v>
      </x:c>
      <x:c r="K716" s="13"/>
      <x:c r="L716" s="13">
        <x:v>20040421</x:v>
      </x:c>
      <x:c r="M716" s="13" t="s">
        <x:v>502</x:v>
      </x:c>
      <x:c r="N716" s="13" t="s">
        <x:v>2045</x:v>
      </x:c>
      <x:c r="O716" s="13" t="s">
        <x:v>3147</x:v>
      </x:c>
      <x:c r="P716" s="202">
        <x:v>178</x:v>
      </x:c>
      <x:c r="Q716" s="13" t="s">
        <x:v>572</x:v>
      </x:c>
      <x:c r="R716" s="13" t="s">
        <x:v>1704</x:v>
      </x:c>
      <x:c r="S716" s="13" t="s">
        <x:v>1354</x:v>
      </x:c>
      <x:c r="T716" s="13" t="s">
        <x:v>1356</x:v>
      </x:c>
      <x:c r="U716" s="13"/>
      <x:c r="V716" s="13" t="s">
        <x:v>2030</x:v>
      </x:c>
    </x:row>
    <x:row r="717" spans="1:22" s="14" customFormat="1" ht="13.5" customHeight="1">
      <x:c r="A717" s="13"/>
      <x:c r="B717" s="25" t="str">
        <x:f>L717&amp;"-"&amp;TEXT(P717,"0000")</x:f>
        <x:v>20040421-0177</x:v>
      </x:c>
      <x:c r="C717" s="13" t="s">
        <x:v>1978</x:v>
      </x:c>
      <x:c r="D717" s="13" t="s">
        <x:v>1533</x:v>
      </x:c>
      <x:c r="E717" s="13" t="s">
        <x:v>1568</x:v>
      </x:c>
      <x:c r="F717" s="13" t="s">
        <x:v>2072</x:v>
      </x:c>
      <x:c r="G717" s="13" t="s">
        <x:v>1289</x:v>
      </x:c>
      <x:c r="H717" s="13" t="str">
        <x:f>IFERROR(VLOOKUP(O717,'정보화기기 명부'!A$2:B$187,2,FALSE),"")</x:f>
        <x:v/>
      </x:c>
      <x:c r="I717" s="13"/>
      <x:c r="J717" s="13" t="s">
        <x:v>1751</x:v>
      </x:c>
      <x:c r="K717" s="13"/>
      <x:c r="L717" s="13">
        <x:v>20040421</x:v>
      </x:c>
      <x:c r="M717" s="13" t="s">
        <x:v>502</x:v>
      </x:c>
      <x:c r="N717" s="13" t="s">
        <x:v>2045</x:v>
      </x:c>
      <x:c r="O717" s="13" t="s">
        <x:v>3147</x:v>
      </x:c>
      <x:c r="P717" s="202">
        <x:v>177</x:v>
      </x:c>
      <x:c r="Q717" s="13" t="s">
        <x:v>572</x:v>
      </x:c>
      <x:c r="R717" s="13" t="s">
        <x:v>1704</x:v>
      </x:c>
      <x:c r="S717" s="13" t="s">
        <x:v>1354</x:v>
      </x:c>
      <x:c r="T717" s="13" t="s">
        <x:v>1356</x:v>
      </x:c>
      <x:c r="U717" s="13"/>
      <x:c r="V717" s="13" t="s">
        <x:v>2030</x:v>
      </x:c>
    </x:row>
    <x:row r="718" spans="1:22" s="14" customFormat="1" ht="13.5" customHeight="1">
      <x:c r="A718" s="13"/>
      <x:c r="B718" s="25" t="str">
        <x:f>L718&amp;"-"&amp;TEXT(P718,"0000")</x:f>
        <x:v>20040421-0176</x:v>
      </x:c>
      <x:c r="C718" s="13" t="s">
        <x:v>1978</x:v>
      </x:c>
      <x:c r="D718" s="13" t="s">
        <x:v>1533</x:v>
      </x:c>
      <x:c r="E718" s="13" t="s">
        <x:v>1568</x:v>
      </x:c>
      <x:c r="F718" s="13" t="s">
        <x:v>2072</x:v>
      </x:c>
      <x:c r="G718" s="13" t="s">
        <x:v>1289</x:v>
      </x:c>
      <x:c r="H718" s="13" t="str">
        <x:f>IFERROR(VLOOKUP(O718,'정보화기기 명부'!A$2:B$187,2,FALSE),"")</x:f>
        <x:v/>
      </x:c>
      <x:c r="I718" s="13"/>
      <x:c r="J718" s="13" t="s">
        <x:v>1751</x:v>
      </x:c>
      <x:c r="K718" s="13"/>
      <x:c r="L718" s="13">
        <x:v>20040421</x:v>
      </x:c>
      <x:c r="M718" s="13" t="s">
        <x:v>502</x:v>
      </x:c>
      <x:c r="N718" s="13" t="s">
        <x:v>2045</x:v>
      </x:c>
      <x:c r="O718" s="13" t="s">
        <x:v>3147</x:v>
      </x:c>
      <x:c r="P718" s="202">
        <x:v>176</x:v>
      </x:c>
      <x:c r="Q718" s="13" t="s">
        <x:v>572</x:v>
      </x:c>
      <x:c r="R718" s="13" t="s">
        <x:v>1704</x:v>
      </x:c>
      <x:c r="S718" s="13" t="s">
        <x:v>1354</x:v>
      </x:c>
      <x:c r="T718" s="13" t="s">
        <x:v>1356</x:v>
      </x:c>
      <x:c r="U718" s="13"/>
      <x:c r="V718" s="13" t="s">
        <x:v>2030</x:v>
      </x:c>
    </x:row>
    <x:row r="719" spans="1:22" s="14" customFormat="1" ht="13.5" customHeight="1">
      <x:c r="A719" s="13"/>
      <x:c r="B719" s="25" t="str">
        <x:f>L719&amp;"-"&amp;TEXT(P719,"0000")</x:f>
        <x:v>20040421-0175</x:v>
      </x:c>
      <x:c r="C719" s="13" t="s">
        <x:v>1978</x:v>
      </x:c>
      <x:c r="D719" s="13" t="s">
        <x:v>1533</x:v>
      </x:c>
      <x:c r="E719" s="13" t="s">
        <x:v>1568</x:v>
      </x:c>
      <x:c r="F719" s="13" t="s">
        <x:v>2072</x:v>
      </x:c>
      <x:c r="G719" s="13" t="s">
        <x:v>1289</x:v>
      </x:c>
      <x:c r="H719" s="13" t="str">
        <x:f>IFERROR(VLOOKUP(O719,'정보화기기 명부'!A$2:B$187,2,FALSE),"")</x:f>
        <x:v/>
      </x:c>
      <x:c r="I719" s="13"/>
      <x:c r="J719" s="13" t="s">
        <x:v>1751</x:v>
      </x:c>
      <x:c r="K719" s="13"/>
      <x:c r="L719" s="13">
        <x:v>20040421</x:v>
      </x:c>
      <x:c r="M719" s="13" t="s">
        <x:v>502</x:v>
      </x:c>
      <x:c r="N719" s="13" t="s">
        <x:v>2045</x:v>
      </x:c>
      <x:c r="O719" s="13" t="s">
        <x:v>3147</x:v>
      </x:c>
      <x:c r="P719" s="202">
        <x:v>175</x:v>
      </x:c>
      <x:c r="Q719" s="13" t="s">
        <x:v>572</x:v>
      </x:c>
      <x:c r="R719" s="13" t="s">
        <x:v>1704</x:v>
      </x:c>
      <x:c r="S719" s="13" t="s">
        <x:v>1354</x:v>
      </x:c>
      <x:c r="T719" s="13" t="s">
        <x:v>1356</x:v>
      </x:c>
      <x:c r="U719" s="13"/>
      <x:c r="V719" s="13" t="s">
        <x:v>2030</x:v>
      </x:c>
    </x:row>
    <x:row r="720" spans="1:22" s="14" customFormat="1" ht="13.5" customHeight="1">
      <x:c r="A720" s="13"/>
      <x:c r="B720" s="25" t="str">
        <x:f>L720&amp;"-"&amp;TEXT(P720,"0000")</x:f>
        <x:v>20040421-0174</x:v>
      </x:c>
      <x:c r="C720" s="13" t="s">
        <x:v>1978</x:v>
      </x:c>
      <x:c r="D720" s="13" t="s">
        <x:v>1533</x:v>
      </x:c>
      <x:c r="E720" s="13" t="s">
        <x:v>1568</x:v>
      </x:c>
      <x:c r="F720" s="13" t="s">
        <x:v>2072</x:v>
      </x:c>
      <x:c r="G720" s="13" t="s">
        <x:v>1289</x:v>
      </x:c>
      <x:c r="H720" s="13" t="str">
        <x:f>IFERROR(VLOOKUP(O720,'정보화기기 명부'!A$2:B$187,2,FALSE),"")</x:f>
        <x:v/>
      </x:c>
      <x:c r="I720" s="13"/>
      <x:c r="J720" s="13" t="s">
        <x:v>1751</x:v>
      </x:c>
      <x:c r="K720" s="13"/>
      <x:c r="L720" s="13">
        <x:v>20040421</x:v>
      </x:c>
      <x:c r="M720" s="13" t="s">
        <x:v>2117</x:v>
      </x:c>
      <x:c r="N720" s="13" t="s">
        <x:v>2045</x:v>
      </x:c>
      <x:c r="O720" s="13" t="s">
        <x:v>3147</x:v>
      </x:c>
      <x:c r="P720" s="202">
        <x:v>174</x:v>
      </x:c>
      <x:c r="Q720" s="13" t="s">
        <x:v>572</x:v>
      </x:c>
      <x:c r="R720" s="13" t="s">
        <x:v>1704</x:v>
      </x:c>
      <x:c r="S720" s="13" t="s">
        <x:v>1354</x:v>
      </x:c>
      <x:c r="T720" s="13" t="s">
        <x:v>1356</x:v>
      </x:c>
      <x:c r="U720" s="13"/>
      <x:c r="V720" s="13" t="s">
        <x:v>2030</x:v>
      </x:c>
    </x:row>
    <x:row r="721" spans="1:22" s="14" customFormat="1" ht="13.5" customHeight="1">
      <x:c r="A721" s="13" t="str">
        <x:f>O721</x:f>
        <x:v>전용범</x:v>
      </x:c>
      <x:c r="B721" s="25" t="str">
        <x:f>L721&amp;"-"&amp;TEXT(P721,"0000")</x:f>
        <x:v>20040331-0225</x:v>
      </x:c>
      <x:c r="C721" s="13" t="s">
        <x:v>1978</x:v>
      </x:c>
      <x:c r="D721" s="13" t="s">
        <x:v>1533</x:v>
      </x:c>
      <x:c r="E721" s="13" t="s">
        <x:v>1543</x:v>
      </x:c>
      <x:c r="F721" s="13" t="s">
        <x:v>2187</x:v>
      </x:c>
      <x:c r="G721" s="13" t="s">
        <x:v>1266</x:v>
      </x:c>
      <x:c r="H721" s="13" t="str">
        <x:f>IFERROR(VLOOKUP(O721,'정보화기기 명부'!A$2:B$187,2,FALSE),"")</x:f>
        <x:v/>
      </x:c>
      <x:c r="I721" s="13"/>
      <x:c r="J721" s="13"/>
      <x:c r="K721" s="13"/>
      <x:c r="L721" s="13">
        <x:v>20040331</x:v>
      </x:c>
      <x:c r="M721" s="13" t="s">
        <x:v>520</x:v>
      </x:c>
      <x:c r="N721" s="13" t="s">
        <x:v>2034</x:v>
      </x:c>
      <x:c r="O721" s="13" t="s">
        <x:v>1313</x:v>
      </x:c>
      <x:c r="P721" s="202">
        <x:v>225</x:v>
      </x:c>
      <x:c r="Q721" s="13" t="s">
        <x:v>572</x:v>
      </x:c>
      <x:c r="R721" s="13" t="s">
        <x:v>1704</x:v>
      </x:c>
      <x:c r="S721" s="13" t="s">
        <x:v>1355</x:v>
      </x:c>
      <x:c r="T721" s="13" t="s">
        <x:v>2229</x:v>
      </x:c>
      <x:c r="U721" s="13"/>
      <x:c r="V721" s="13" t="s">
        <x:v>2030</x:v>
      </x:c>
    </x:row>
    <x:row r="722" spans="1:22" s="14" customFormat="1" ht="13.5" customHeight="1">
      <x:c r="A722" s="13" t="str">
        <x:f>O722</x:f>
        <x:v>전용범</x:v>
      </x:c>
      <x:c r="B722" s="25" t="str">
        <x:f>L722&amp;"-"&amp;TEXT(P722,"0000")</x:f>
        <x:v>20040326-0241</x:v>
      </x:c>
      <x:c r="C722" s="13" t="s">
        <x:v>1978</x:v>
      </x:c>
      <x:c r="D722" s="13" t="s">
        <x:v>1533</x:v>
      </x:c>
      <x:c r="E722" s="13" t="s">
        <x:v>1543</x:v>
      </x:c>
      <x:c r="F722" s="13" t="s">
        <x:v>3129</x:v>
      </x:c>
      <x:c r="G722" s="13" t="s">
        <x:v>1266</x:v>
      </x:c>
      <x:c r="H722" s="13" t="str">
        <x:f>IFERROR(VLOOKUP(O722,'정보화기기 명부'!A$2:B$187,2,FALSE),"")</x:f>
        <x:v/>
      </x:c>
      <x:c r="I722" s="13"/>
      <x:c r="J722" s="13"/>
      <x:c r="K722" s="13"/>
      <x:c r="L722" s="13">
        <x:v>20040326</x:v>
      </x:c>
      <x:c r="M722" s="13" t="s">
        <x:v>495</x:v>
      </x:c>
      <x:c r="N722" s="13" t="s">
        <x:v>2034</x:v>
      </x:c>
      <x:c r="O722" s="13" t="s">
        <x:v>1313</x:v>
      </x:c>
      <x:c r="P722" s="202">
        <x:v>241</x:v>
      </x:c>
      <x:c r="Q722" s="13" t="s">
        <x:v>572</x:v>
      </x:c>
      <x:c r="R722" s="13" t="s">
        <x:v>2070</x:v>
      </x:c>
      <x:c r="S722" s="13" t="s">
        <x:v>1355</x:v>
      </x:c>
      <x:c r="T722" s="13" t="s">
        <x:v>2023</x:v>
      </x:c>
      <x:c r="U722" s="13"/>
      <x:c r="V722" s="13" t="s">
        <x:v>2030</x:v>
      </x:c>
    </x:row>
    <x:row r="723" spans="1:22" s="14" customFormat="1" ht="13.5" customHeight="1">
      <x:c r="A723" s="13" t="str">
        <x:f>O723</x:f>
        <x:v>이재관</x:v>
      </x:c>
      <x:c r="B723" s="25" t="str">
        <x:f>L723&amp;"-"&amp;TEXT(P723,"0000")</x:f>
        <x:v>20040313-0056</x:v>
      </x:c>
      <x:c r="C723" s="13" t="s">
        <x:v>1564</x:v>
      </x:c>
      <x:c r="D723" s="13" t="s">
        <x:v>1533</x:v>
      </x:c>
      <x:c r="E723" s="13" t="s">
        <x:v>1251</x:v>
      </x:c>
      <x:c r="F723" s="13" t="s">
        <x:v>498</x:v>
      </x:c>
      <x:c r="G723" s="13" t="s">
        <x:v>1537</x:v>
      </x:c>
      <x:c r="H723" s="13" t="str">
        <x:f>IFERROR(VLOOKUP(O723,'정보화기기 명부'!A$2:B$187,2,FALSE),"")</x:f>
        <x:v/>
      </x:c>
      <x:c r="I723" s="13"/>
      <x:c r="J723" s="13"/>
      <x:c r="K723" s="13"/>
      <x:c r="L723" s="13">
        <x:v>20040313</x:v>
      </x:c>
      <x:c r="M723" s="13" t="s">
        <x:v>17</x:v>
      </x:c>
      <x:c r="N723" s="13" t="s">
        <x:v>1965</x:v>
      </x:c>
      <x:c r="O723" s="13" t="s">
        <x:v>1329</x:v>
      </x:c>
      <x:c r="P723" s="202">
        <x:v>56</x:v>
      </x:c>
      <x:c r="Q723" s="13" t="s">
        <x:v>572</x:v>
      </x:c>
      <x:c r="R723" s="13" t="s">
        <x:v>1733</x:v>
      </x:c>
      <x:c r="S723" s="13" t="s">
        <x:v>1354</x:v>
      </x:c>
      <x:c r="T723" s="13" t="s">
        <x:v>1320</x:v>
      </x:c>
      <x:c r="U723" s="13"/>
      <x:c r="V723" s="13" t="s">
        <x:v>797</x:v>
      </x:c>
    </x:row>
    <x:row r="724" spans="1:22" s="14" customFormat="1" ht="13.5" customHeight="1">
      <x:c r="A724" s="13" t="str">
        <x:f>O724</x:f>
        <x:v>김형열</x:v>
      </x:c>
      <x:c r="B724" s="25" t="str">
        <x:f>L724&amp;"-"&amp;TEXT(P724,"0000")</x:f>
        <x:v>20040302-0096</x:v>
      </x:c>
      <x:c r="C724" s="13" t="s">
        <x:v>1564</x:v>
      </x:c>
      <x:c r="D724" s="13" t="s">
        <x:v>1533</x:v>
      </x:c>
      <x:c r="E724" s="13" t="s">
        <x:v>1251</x:v>
      </x:c>
      <x:c r="F724" s="13" t="s">
        <x:v>1826</x:v>
      </x:c>
      <x:c r="G724" s="13" t="s">
        <x:v>1289</x:v>
      </x:c>
      <x:c r="H724" s="13" t="str">
        <x:f>IFERROR(VLOOKUP(O724,'정보화기기 명부'!A$2:B$187,2,FALSE),"")</x:f>
        <x:v/>
      </x:c>
      <x:c r="I724" s="13"/>
      <x:c r="J724" s="13"/>
      <x:c r="K724" s="13"/>
      <x:c r="L724" s="13">
        <x:v>20040302</x:v>
      </x:c>
      <x:c r="M724" s="13" t="s">
        <x:v>471</x:v>
      </x:c>
      <x:c r="N724" s="13" t="s">
        <x:v>2034</x:v>
      </x:c>
      <x:c r="O724" s="13" t="s">
        <x:v>1241</x:v>
      </x:c>
      <x:c r="P724" s="202">
        <x:v>96</x:v>
      </x:c>
      <x:c r="Q724" s="13" t="s">
        <x:v>572</x:v>
      </x:c>
      <x:c r="R724" s="13" t="s">
        <x:v>1736</x:v>
      </x:c>
      <x:c r="S724" s="13" t="s">
        <x:v>1354</x:v>
      </x:c>
      <x:c r="T724" s="13" t="s">
        <x:v>3150</x:v>
      </x:c>
      <x:c r="U724" s="13"/>
      <x:c r="V724" s="13" t="s">
        <x:v>797</x:v>
      </x:c>
    </x:row>
    <x:row r="725" spans="1:22" s="14" customFormat="1" ht="13.5" customHeight="1">
      <x:c r="A725" s="13" t="str">
        <x:f>O725</x:f>
        <x:v>행정실</x:v>
      </x:c>
      <x:c r="B725" s="25" t="str">
        <x:f>L725&amp;"-"&amp;TEXT(P725,"0000")</x:f>
        <x:v>20040226-0005</x:v>
      </x:c>
      <x:c r="C725" s="13" t="s">
        <x:v>1564</x:v>
      </x:c>
      <x:c r="D725" s="13" t="s">
        <x:v>1533</x:v>
      </x:c>
      <x:c r="E725" s="13" t="s">
        <x:v>1543</x:v>
      </x:c>
      <x:c r="F725" s="13" t="s">
        <x:v>1806</x:v>
      </x:c>
      <x:c r="G725" s="13" t="s">
        <x:v>1289</x:v>
      </x:c>
      <x:c r="H725" s="13" t="str">
        <x:f>IFERROR(VLOOKUP(O725,'정보화기기 명부'!A$2:B$187,2,FALSE),"")</x:f>
        <x:v/>
      </x:c>
      <x:c r="I725" s="13"/>
      <x:c r="J725" s="13"/>
      <x:c r="K725" s="13"/>
      <x:c r="L725" s="13">
        <x:v>20040226</x:v>
      </x:c>
      <x:c r="M725" s="13" t="s">
        <x:v>504</x:v>
      </x:c>
      <x:c r="N725" s="13" t="s">
        <x:v>2034</x:v>
      </x:c>
      <x:c r="O725" s="13" t="s">
        <x:v>1348</x:v>
      </x:c>
      <x:c r="P725" s="202">
        <x:v>5</x:v>
      </x:c>
      <x:c r="Q725" s="13" t="s">
        <x:v>572</x:v>
      </x:c>
      <x:c r="R725" s="13" t="s">
        <x:v>1733</x:v>
      </x:c>
      <x:c r="S725" s="13" t="s">
        <x:v>1301</x:v>
      </x:c>
      <x:c r="T725" s="13" t="s">
        <x:v>3150</x:v>
      </x:c>
      <x:c r="U725" s="13"/>
      <x:c r="V725" s="13" t="s">
        <x:v>2030</x:v>
      </x:c>
    </x:row>
    <x:row r="726" spans="1:22" s="14" customFormat="1" ht="13.5" customHeight="1">
      <x:c r="A726" s="13" t="str">
        <x:f>O726</x:f>
        <x:v>김선희</x:v>
      </x:c>
      <x:c r="B726" s="25" t="str">
        <x:f>L726&amp;"-"&amp;TEXT(P726,"0000")</x:f>
        <x:v>20040226-0004</x:v>
      </x:c>
      <x:c r="C726" s="13" t="s">
        <x:v>1978</x:v>
      </x:c>
      <x:c r="D726" s="13" t="s">
        <x:v>1533</x:v>
      </x:c>
      <x:c r="E726" s="13" t="s">
        <x:v>1543</x:v>
      </x:c>
      <x:c r="F726" s="13" t="s">
        <x:v>2072</x:v>
      </x:c>
      <x:c r="G726" s="13" t="s">
        <x:v>1289</x:v>
      </x:c>
      <x:c r="H726" s="13" t="str">
        <x:f>IFERROR(VLOOKUP(O726,'정보화기기 명부'!A$2:B$187,2,FALSE),"")</x:f>
        <x:v/>
      </x:c>
      <x:c r="I726" s="13"/>
      <x:c r="J726" s="13"/>
      <x:c r="K726" s="13"/>
      <x:c r="L726" s="13">
        <x:v>20040226</x:v>
      </x:c>
      <x:c r="M726" s="13" t="s">
        <x:v>500</x:v>
      </x:c>
      <x:c r="N726" s="13" t="s">
        <x:v>2034</x:v>
      </x:c>
      <x:c r="O726" s="13" t="s">
        <x:v>1349</x:v>
      </x:c>
      <x:c r="P726" s="202">
        <x:v>4</x:v>
      </x:c>
      <x:c r="Q726" s="13" t="s">
        <x:v>572</x:v>
      </x:c>
      <x:c r="R726" s="13" t="s">
        <x:v>1704</x:v>
      </x:c>
      <x:c r="S726" s="13" t="s">
        <x:v>1354</x:v>
      </x:c>
      <x:c r="T726" s="13" t="s">
        <x:v>1356</x:v>
      </x:c>
      <x:c r="U726" s="13"/>
      <x:c r="V726" s="13" t="s">
        <x:v>2030</x:v>
      </x:c>
    </x:row>
    <x:row r="727" spans="1:22" s="14" customFormat="1" ht="13.5" customHeight="1">
      <x:c r="A727" s="13" t="str">
        <x:f>O727</x:f>
        <x:v>교육실습생(프린터)</x:v>
      </x:c>
      <x:c r="B727" s="25" t="str">
        <x:f>L727&amp;"-"&amp;TEXT(P727,"0000")</x:f>
        <x:v>20040119-0199</x:v>
      </x:c>
      <x:c r="C727" s="13" t="s">
        <x:v>1564</x:v>
      </x:c>
      <x:c r="D727" s="13" t="s">
        <x:v>1533</x:v>
      </x:c>
      <x:c r="E727" s="13" t="s">
        <x:v>1543</x:v>
      </x:c>
      <x:c r="F727" s="13" t="s">
        <x:v>1806</x:v>
      </x:c>
      <x:c r="G727" s="13" t="s">
        <x:v>1289</x:v>
      </x:c>
      <x:c r="H727" s="13" t="str">
        <x:f>IFERROR(VLOOKUP(O727,'정보화기기 명부'!A$2:B$187,2,FALSE),"")</x:f>
        <x:v/>
      </x:c>
      <x:c r="I727" s="13"/>
      <x:c r="J727" s="13"/>
      <x:c r="K727" s="13"/>
      <x:c r="L727" s="13">
        <x:v>20040119</x:v>
      </x:c>
      <x:c r="M727" s="13" t="s">
        <x:v>472</x:v>
      </x:c>
      <x:c r="N727" s="13" t="s">
        <x:v>1965</x:v>
      </x:c>
      <x:c r="O727" s="13" t="s">
        <x:v>492</x:v>
      </x:c>
      <x:c r="P727" s="202">
        <x:v>199</x:v>
      </x:c>
      <x:c r="Q727" s="13" t="s">
        <x:v>572</x:v>
      </x:c>
      <x:c r="R727" s="13" t="s">
        <x:v>1733</x:v>
      </x:c>
      <x:c r="S727" s="13" t="s">
        <x:v>1301</x:v>
      </x:c>
      <x:c r="T727" s="13" t="s">
        <x:v>3150</x:v>
      </x:c>
      <x:c r="U727" s="13"/>
      <x:c r="V727" s="13" t="s">
        <x:v>2030</x:v>
      </x:c>
    </x:row>
    <x:row r="728" spans="1:22" s="14" customFormat="1" ht="13.5" customHeight="1">
      <x:c r="A728" s="13"/>
      <x:c r="B728" s="25" t="str">
        <x:f>L728&amp;"-"&amp;TEXT(P728,"0000")</x:f>
        <x:v>20031230-0185</x:v>
      </x:c>
      <x:c r="C728" s="13" t="s">
        <x:v>1978</x:v>
      </x:c>
      <x:c r="D728" s="13" t="s">
        <x:v>1533</x:v>
      </x:c>
      <x:c r="E728" s="13" t="s">
        <x:v>1568</x:v>
      </x:c>
      <x:c r="F728" s="13" t="s">
        <x:v>1353</x:v>
      </x:c>
      <x:c r="G728" s="13" t="s">
        <x:v>1537</x:v>
      </x:c>
      <x:c r="H728" s="13" t="str">
        <x:f>IFERROR(VLOOKUP(O728,'정보화기기 명부'!A$2:B$187,2,FALSE),"")</x:f>
        <x:v/>
      </x:c>
      <x:c r="I728" s="13"/>
      <x:c r="J728" s="13" t="s">
        <x:v>1751</x:v>
      </x:c>
      <x:c r="K728" s="13"/>
      <x:c r="L728" s="13">
        <x:v>20031230</x:v>
      </x:c>
      <x:c r="M728" s="13" t="s">
        <x:v>505</x:v>
      </x:c>
      <x:c r="N728" s="13" t="s">
        <x:v>2045</x:v>
      </x:c>
      <x:c r="O728" s="13" t="s">
        <x:v>1313</x:v>
      </x:c>
      <x:c r="P728" s="202">
        <x:v>185</x:v>
      </x:c>
      <x:c r="Q728" s="13" t="s">
        <x:v>572</x:v>
      </x:c>
      <x:c r="R728" s="13" t="s">
        <x:v>1752</x:v>
      </x:c>
      <x:c r="S728" s="13" t="s">
        <x:v>1354</x:v>
      </x:c>
      <x:c r="T728" s="13" t="s">
        <x:v>1356</x:v>
      </x:c>
      <x:c r="U728" s="13"/>
      <x:c r="V728" s="13" t="s">
        <x:v>2030</x:v>
      </x:c>
    </x:row>
    <x:row r="729" spans="1:22" s="14" customFormat="1" ht="13.5" customHeight="1">
      <x:c r="A729" s="13"/>
      <x:c r="B729" s="25" t="str">
        <x:f>L729&amp;"-"&amp;TEXT(P729,"0000")</x:f>
        <x:v>20031230-0184</x:v>
      </x:c>
      <x:c r="C729" s="13" t="s">
        <x:v>1978</x:v>
      </x:c>
      <x:c r="D729" s="13" t="s">
        <x:v>1533</x:v>
      </x:c>
      <x:c r="E729" s="13" t="s">
        <x:v>1568</x:v>
      </x:c>
      <x:c r="F729" s="13" t="s">
        <x:v>1353</x:v>
      </x:c>
      <x:c r="G729" s="13" t="s">
        <x:v>1537</x:v>
      </x:c>
      <x:c r="H729" s="13" t="str">
        <x:f>IFERROR(VLOOKUP(O729,'정보화기기 명부'!A$2:B$187,2,FALSE),"")</x:f>
        <x:v/>
      </x:c>
      <x:c r="I729" s="13"/>
      <x:c r="J729" s="13" t="s">
        <x:v>1751</x:v>
      </x:c>
      <x:c r="K729" s="13"/>
      <x:c r="L729" s="13">
        <x:v>20031230</x:v>
      </x:c>
      <x:c r="M729" s="13" t="s">
        <x:v>505</x:v>
      </x:c>
      <x:c r="N729" s="13" t="s">
        <x:v>2045</x:v>
      </x:c>
      <x:c r="O729" s="13" t="s">
        <x:v>1313</x:v>
      </x:c>
      <x:c r="P729" s="202">
        <x:v>184</x:v>
      </x:c>
      <x:c r="Q729" s="13" t="s">
        <x:v>572</x:v>
      </x:c>
      <x:c r="R729" s="13" t="s">
        <x:v>1752</x:v>
      </x:c>
      <x:c r="S729" s="13" t="s">
        <x:v>1354</x:v>
      </x:c>
      <x:c r="T729" s="13" t="s">
        <x:v>1356</x:v>
      </x:c>
      <x:c r="U729" s="13"/>
      <x:c r="V729" s="13" t="s">
        <x:v>2030</x:v>
      </x:c>
    </x:row>
    <x:row r="730" spans="1:22" s="14" customFormat="1" ht="13.5" customHeight="1">
      <x:c r="A730" s="13"/>
      <x:c r="B730" s="25" t="str">
        <x:f>L730&amp;"-"&amp;TEXT(P730,"0000")</x:f>
        <x:v>20031230-0183</x:v>
      </x:c>
      <x:c r="C730" s="13" t="s">
        <x:v>1978</x:v>
      </x:c>
      <x:c r="D730" s="13" t="s">
        <x:v>1533</x:v>
      </x:c>
      <x:c r="E730" s="13" t="s">
        <x:v>1568</x:v>
      </x:c>
      <x:c r="F730" s="13" t="s">
        <x:v>1353</x:v>
      </x:c>
      <x:c r="G730" s="13" t="s">
        <x:v>1537</x:v>
      </x:c>
      <x:c r="H730" s="13" t="str">
        <x:f>IFERROR(VLOOKUP(O730,'정보화기기 명부'!A$2:B$187,2,FALSE),"")</x:f>
        <x:v/>
      </x:c>
      <x:c r="I730" s="13"/>
      <x:c r="J730" s="13" t="s">
        <x:v>1751</x:v>
      </x:c>
      <x:c r="K730" s="13"/>
      <x:c r="L730" s="13">
        <x:v>20031230</x:v>
      </x:c>
      <x:c r="M730" s="13" t="s">
        <x:v>505</x:v>
      </x:c>
      <x:c r="N730" s="13" t="s">
        <x:v>2045</x:v>
      </x:c>
      <x:c r="O730" s="13" t="s">
        <x:v>1313</x:v>
      </x:c>
      <x:c r="P730" s="202">
        <x:v>183</x:v>
      </x:c>
      <x:c r="Q730" s="13" t="s">
        <x:v>572</x:v>
      </x:c>
      <x:c r="R730" s="13" t="s">
        <x:v>1752</x:v>
      </x:c>
      <x:c r="S730" s="13" t="s">
        <x:v>1354</x:v>
      </x:c>
      <x:c r="T730" s="13" t="s">
        <x:v>1356</x:v>
      </x:c>
      <x:c r="U730" s="13"/>
      <x:c r="V730" s="13" t="s">
        <x:v>2030</x:v>
      </x:c>
    </x:row>
    <x:row r="731" spans="1:22" s="14" customFormat="1" ht="13.5" customHeight="1">
      <x:c r="A731" s="13"/>
      <x:c r="B731" s="25" t="str">
        <x:f>L731&amp;"-"&amp;TEXT(P731,"0000")</x:f>
        <x:v>20031230-0182</x:v>
      </x:c>
      <x:c r="C731" s="13" t="s">
        <x:v>1978</x:v>
      </x:c>
      <x:c r="D731" s="13" t="s">
        <x:v>1533</x:v>
      </x:c>
      <x:c r="E731" s="13" t="s">
        <x:v>1568</x:v>
      </x:c>
      <x:c r="F731" s="13" t="s">
        <x:v>1353</x:v>
      </x:c>
      <x:c r="G731" s="13" t="s">
        <x:v>1537</x:v>
      </x:c>
      <x:c r="H731" s="13" t="str">
        <x:f>IFERROR(VLOOKUP(O731,'정보화기기 명부'!A$2:B$187,2,FALSE),"")</x:f>
        <x:v/>
      </x:c>
      <x:c r="I731" s="13"/>
      <x:c r="J731" s="13" t="s">
        <x:v>1751</x:v>
      </x:c>
      <x:c r="K731" s="13"/>
      <x:c r="L731" s="13">
        <x:v>20031230</x:v>
      </x:c>
      <x:c r="M731" s="13" t="s">
        <x:v>505</x:v>
      </x:c>
      <x:c r="N731" s="13" t="s">
        <x:v>2045</x:v>
      </x:c>
      <x:c r="O731" s="13" t="s">
        <x:v>1313</x:v>
      </x:c>
      <x:c r="P731" s="202">
        <x:v>182</x:v>
      </x:c>
      <x:c r="Q731" s="13" t="s">
        <x:v>572</x:v>
      </x:c>
      <x:c r="R731" s="13" t="s">
        <x:v>1752</x:v>
      </x:c>
      <x:c r="S731" s="13" t="s">
        <x:v>1354</x:v>
      </x:c>
      <x:c r="T731" s="13" t="s">
        <x:v>1356</x:v>
      </x:c>
      <x:c r="U731" s="13"/>
      <x:c r="V731" s="13" t="s">
        <x:v>2030</x:v>
      </x:c>
    </x:row>
    <x:row r="732" spans="1:22" s="14" customFormat="1" ht="13.5" customHeight="1">
      <x:c r="A732" s="13"/>
      <x:c r="B732" s="25" t="str">
        <x:f>L732&amp;"-"&amp;TEXT(P732,"0000")</x:f>
        <x:v>20031230-0146</x:v>
      </x:c>
      <x:c r="C732" s="13" t="s">
        <x:v>1978</x:v>
      </x:c>
      <x:c r="D732" s="13" t="s">
        <x:v>1533</x:v>
      </x:c>
      <x:c r="E732" s="13" t="s">
        <x:v>1568</x:v>
      </x:c>
      <x:c r="F732" s="13" t="s">
        <x:v>1353</x:v>
      </x:c>
      <x:c r="G732" s="13" t="s">
        <x:v>1537</x:v>
      </x:c>
      <x:c r="H732" s="13" t="str">
        <x:f>IFERROR(VLOOKUP(O732,'정보화기기 명부'!A$2:B$187,2,FALSE),"")</x:f>
        <x:v/>
      </x:c>
      <x:c r="I732" s="13"/>
      <x:c r="J732" s="13" t="s">
        <x:v>1751</x:v>
      </x:c>
      <x:c r="K732" s="13"/>
      <x:c r="L732" s="13">
        <x:v>20031230</x:v>
      </x:c>
      <x:c r="M732" s="13" t="s">
        <x:v>505</x:v>
      </x:c>
      <x:c r="N732" s="13" t="s">
        <x:v>2045</x:v>
      </x:c>
      <x:c r="O732" s="13" t="s">
        <x:v>1313</x:v>
      </x:c>
      <x:c r="P732" s="202">
        <x:v>146</x:v>
      </x:c>
      <x:c r="Q732" s="13" t="s">
        <x:v>466</x:v>
      </x:c>
      <x:c r="R732" s="13" t="s">
        <x:v>1752</x:v>
      </x:c>
      <x:c r="S732" s="13" t="s">
        <x:v>1354</x:v>
      </x:c>
      <x:c r="T732" s="13" t="s">
        <x:v>1356</x:v>
      </x:c>
      <x:c r="U732" s="13"/>
      <x:c r="V732" s="13" t="s">
        <x:v>2030</x:v>
      </x:c>
    </x:row>
    <x:row r="733" spans="1:22" s="14" customFormat="1" ht="13.5" customHeight="1">
      <x:c r="A733" s="13"/>
      <x:c r="B733" s="25" t="str">
        <x:f>L733&amp;"-"&amp;TEXT(P733,"0000")</x:f>
        <x:v>20031230-0145</x:v>
      </x:c>
      <x:c r="C733" s="13" t="s">
        <x:v>1978</x:v>
      </x:c>
      <x:c r="D733" s="13" t="s">
        <x:v>1533</x:v>
      </x:c>
      <x:c r="E733" s="13" t="s">
        <x:v>1568</x:v>
      </x:c>
      <x:c r="F733" s="13" t="s">
        <x:v>1353</x:v>
      </x:c>
      <x:c r="G733" s="13" t="s">
        <x:v>1537</x:v>
      </x:c>
      <x:c r="H733" s="13" t="str">
        <x:f>IFERROR(VLOOKUP(O733,'정보화기기 명부'!A$2:B$187,2,FALSE),"")</x:f>
        <x:v/>
      </x:c>
      <x:c r="I733" s="13"/>
      <x:c r="J733" s="13" t="s">
        <x:v>1751</x:v>
      </x:c>
      <x:c r="K733" s="13"/>
      <x:c r="L733" s="13">
        <x:v>20031230</x:v>
      </x:c>
      <x:c r="M733" s="13" t="s">
        <x:v>505</x:v>
      </x:c>
      <x:c r="N733" s="13" t="s">
        <x:v>2045</x:v>
      </x:c>
      <x:c r="O733" s="13" t="s">
        <x:v>1313</x:v>
      </x:c>
      <x:c r="P733" s="202">
        <x:v>145</x:v>
      </x:c>
      <x:c r="Q733" s="13" t="s">
        <x:v>466</x:v>
      </x:c>
      <x:c r="R733" s="13" t="s">
        <x:v>1752</x:v>
      </x:c>
      <x:c r="S733" s="13" t="s">
        <x:v>1354</x:v>
      </x:c>
      <x:c r="T733" s="13" t="s">
        <x:v>1356</x:v>
      </x:c>
      <x:c r="U733" s="13"/>
      <x:c r="V733" s="13" t="s">
        <x:v>2030</x:v>
      </x:c>
    </x:row>
    <x:row r="734" spans="1:22" s="14" customFormat="1" ht="13.5" customHeight="1">
      <x:c r="A734" s="13"/>
      <x:c r="B734" s="25" t="str">
        <x:f>L734&amp;"-"&amp;TEXT(P734,"0000")</x:f>
        <x:v>20031230-0144</x:v>
      </x:c>
      <x:c r="C734" s="13" t="s">
        <x:v>1978</x:v>
      </x:c>
      <x:c r="D734" s="13" t="s">
        <x:v>1533</x:v>
      </x:c>
      <x:c r="E734" s="13" t="s">
        <x:v>1568</x:v>
      </x:c>
      <x:c r="F734" s="13" t="s">
        <x:v>1353</x:v>
      </x:c>
      <x:c r="G734" s="13" t="s">
        <x:v>1537</x:v>
      </x:c>
      <x:c r="H734" s="13" t="str">
        <x:f>IFERROR(VLOOKUP(O734,'정보화기기 명부'!A$2:B$187,2,FALSE),"")</x:f>
        <x:v/>
      </x:c>
      <x:c r="I734" s="13"/>
      <x:c r="J734" s="13" t="s">
        <x:v>1751</x:v>
      </x:c>
      <x:c r="K734" s="13"/>
      <x:c r="L734" s="13">
        <x:v>20031230</x:v>
      </x:c>
      <x:c r="M734" s="13" t="s">
        <x:v>505</x:v>
      </x:c>
      <x:c r="N734" s="13" t="s">
        <x:v>2045</x:v>
      </x:c>
      <x:c r="O734" s="13" t="s">
        <x:v>1313</x:v>
      </x:c>
      <x:c r="P734" s="202">
        <x:v>144</x:v>
      </x:c>
      <x:c r="Q734" s="13" t="s">
        <x:v>466</x:v>
      </x:c>
      <x:c r="R734" s="13" t="s">
        <x:v>1752</x:v>
      </x:c>
      <x:c r="S734" s="13" t="s">
        <x:v>1354</x:v>
      </x:c>
      <x:c r="T734" s="13" t="s">
        <x:v>1356</x:v>
      </x:c>
      <x:c r="U734" s="13"/>
      <x:c r="V734" s="13" t="s">
        <x:v>2030</x:v>
      </x:c>
    </x:row>
    <x:row r="735" spans="1:22" s="14" customFormat="1" ht="13.5" customHeight="1">
      <x:c r="A735" s="13"/>
      <x:c r="B735" s="25" t="str">
        <x:f>L735&amp;"-"&amp;TEXT(P735,"0000")</x:f>
        <x:v>20031230-0143</x:v>
      </x:c>
      <x:c r="C735" s="13" t="s">
        <x:v>1978</x:v>
      </x:c>
      <x:c r="D735" s="13" t="s">
        <x:v>1533</x:v>
      </x:c>
      <x:c r="E735" s="13" t="s">
        <x:v>1568</x:v>
      </x:c>
      <x:c r="F735" s="13" t="s">
        <x:v>1353</x:v>
      </x:c>
      <x:c r="G735" s="13" t="s">
        <x:v>1537</x:v>
      </x:c>
      <x:c r="H735" s="13" t="str">
        <x:f>IFERROR(VLOOKUP(O735,'정보화기기 명부'!A$2:B$187,2,FALSE),"")</x:f>
        <x:v/>
      </x:c>
      <x:c r="I735" s="13"/>
      <x:c r="J735" s="13" t="s">
        <x:v>1751</x:v>
      </x:c>
      <x:c r="K735" s="13"/>
      <x:c r="L735" s="13">
        <x:v>20031230</x:v>
      </x:c>
      <x:c r="M735" s="13" t="s">
        <x:v>505</x:v>
      </x:c>
      <x:c r="N735" s="13" t="s">
        <x:v>2045</x:v>
      </x:c>
      <x:c r="O735" s="13" t="s">
        <x:v>1313</x:v>
      </x:c>
      <x:c r="P735" s="202">
        <x:v>143</x:v>
      </x:c>
      <x:c r="Q735" s="13" t="s">
        <x:v>466</x:v>
      </x:c>
      <x:c r="R735" s="13" t="s">
        <x:v>1752</x:v>
      </x:c>
      <x:c r="S735" s="13" t="s">
        <x:v>1354</x:v>
      </x:c>
      <x:c r="T735" s="13" t="s">
        <x:v>1356</x:v>
      </x:c>
      <x:c r="U735" s="13"/>
      <x:c r="V735" s="13" t="s">
        <x:v>2030</x:v>
      </x:c>
    </x:row>
    <x:row r="736" spans="1:22" s="14" customFormat="1" ht="13.5" customHeight="1">
      <x:c r="A736" s="13" t="str">
        <x:f>O736</x:f>
        <x:v>이봉아</x:v>
      </x:c>
      <x:c r="B736" s="25" t="str">
        <x:f>L736&amp;"-"&amp;TEXT(P736,"0000")</x:f>
        <x:v>20030827-0001</x:v>
      </x:c>
      <x:c r="C736" s="13" t="s">
        <x:v>1564</x:v>
      </x:c>
      <x:c r="D736" s="13" t="s">
        <x:v>1533</x:v>
      </x:c>
      <x:c r="E736" s="13" t="s">
        <x:v>1251</x:v>
      </x:c>
      <x:c r="F736" s="13" t="s">
        <x:v>1837</x:v>
      </x:c>
      <x:c r="G736" s="13" t="s">
        <x:v>1289</x:v>
      </x:c>
      <x:c r="H736" s="13" t="str">
        <x:f>IFERROR(VLOOKUP(O736,'정보화기기 명부'!A$2:B$187,2,FALSE),"")</x:f>
        <x:v/>
      </x:c>
      <x:c r="I736" s="13"/>
      <x:c r="J736" s="13"/>
      <x:c r="K736" s="13"/>
      <x:c r="L736" s="13">
        <x:v>20030827</x:v>
      </x:c>
      <x:c r="M736" s="13" t="s">
        <x:v>503</x:v>
      </x:c>
      <x:c r="N736" s="13" t="s">
        <x:v>1965</x:v>
      </x:c>
      <x:c r="O736" s="13" t="s">
        <x:v>1400</x:v>
      </x:c>
      <x:c r="P736" s="202">
        <x:v>1</x:v>
      </x:c>
      <x:c r="Q736" s="13" t="s">
        <x:v>572</x:v>
      </x:c>
      <x:c r="R736" s="13" t="s">
        <x:v>1736</x:v>
      </x:c>
      <x:c r="S736" s="13" t="s">
        <x:v>1354</x:v>
      </x:c>
      <x:c r="T736" s="13" t="s">
        <x:v>3150</x:v>
      </x:c>
      <x:c r="U736" s="13"/>
      <x:c r="V736" s="13" t="s">
        <x:v>797</x:v>
      </x:c>
    </x:row>
    <x:row r="737" spans="1:22" s="14" customFormat="1" ht="13.5" customHeight="1">
      <x:c r="A737" s="13" t="str">
        <x:f>O737</x:f>
        <x:v>유진주</x:v>
      </x:c>
      <x:c r="B737" s="25" t="str">
        <x:f>L737&amp;"-"&amp;TEXT(P737,"0000")</x:f>
        <x:v>20030827-0012</x:v>
      </x:c>
      <x:c r="C737" s="13" t="s">
        <x:v>1564</x:v>
      </x:c>
      <x:c r="D737" s="13" t="s">
        <x:v>1533</x:v>
      </x:c>
      <x:c r="E737" s="13" t="s">
        <x:v>1251</x:v>
      </x:c>
      <x:c r="F737" s="13" t="s">
        <x:v>1837</x:v>
      </x:c>
      <x:c r="G737" s="13" t="s">
        <x:v>1289</x:v>
      </x:c>
      <x:c r="H737" s="13" t="str">
        <x:f>IFERROR(VLOOKUP(O737,'정보화기기 명부'!A$2:B$187,2,FALSE),"")</x:f>
        <x:v/>
      </x:c>
      <x:c r="I737" s="13"/>
      <x:c r="J737" s="13"/>
      <x:c r="K737" s="13"/>
      <x:c r="L737" s="13">
        <x:v>20030827</x:v>
      </x:c>
      <x:c r="M737" s="13" t="s">
        <x:v>503</x:v>
      </x:c>
      <x:c r="N737" s="13" t="s">
        <x:v>1965</x:v>
      </x:c>
      <x:c r="O737" s="13" t="s">
        <x:v>1377</x:v>
      </x:c>
      <x:c r="P737" s="202">
        <x:v>12</x:v>
      </x:c>
      <x:c r="Q737" s="13" t="s">
        <x:v>572</x:v>
      </x:c>
      <x:c r="R737" s="13" t="s">
        <x:v>1736</x:v>
      </x:c>
      <x:c r="S737" s="13" t="s">
        <x:v>1354</x:v>
      </x:c>
      <x:c r="T737" s="13" t="s">
        <x:v>3150</x:v>
      </x:c>
      <x:c r="U737" s="13"/>
      <x:c r="V737" s="13" t="s">
        <x:v>797</x:v>
      </x:c>
    </x:row>
    <x:row r="738" spans="1:22" s="14" customFormat="1" ht="13.5" customHeight="1">
      <x:c r="A738" s="13" t="str">
        <x:f>O738</x:f>
        <x:v>신선영</x:v>
      </x:c>
      <x:c r="B738" s="25" t="str">
        <x:f>L738&amp;"-"&amp;TEXT(P738,"0000")</x:f>
        <x:v>20030827-0037</x:v>
      </x:c>
      <x:c r="C738" s="13" t="s">
        <x:v>1564</x:v>
      </x:c>
      <x:c r="D738" s="13" t="s">
        <x:v>1533</x:v>
      </x:c>
      <x:c r="E738" s="13" t="s">
        <x:v>1251</x:v>
      </x:c>
      <x:c r="F738" s="13" t="s">
        <x:v>1837</x:v>
      </x:c>
      <x:c r="G738" s="13" t="s">
        <x:v>1289</x:v>
      </x:c>
      <x:c r="H738" s="13" t="str">
        <x:f>IFERROR(VLOOKUP(O738,'정보화기기 명부'!A$2:B$187,2,FALSE),"")</x:f>
        <x:v/>
      </x:c>
      <x:c r="I738" s="13"/>
      <x:c r="J738" s="13"/>
      <x:c r="K738" s="13"/>
      <x:c r="L738" s="13">
        <x:v>20030827</x:v>
      </x:c>
      <x:c r="M738" s="13" t="s">
        <x:v>503</x:v>
      </x:c>
      <x:c r="N738" s="13" t="s">
        <x:v>1965</x:v>
      </x:c>
      <x:c r="O738" s="13" t="s">
        <x:v>1366</x:v>
      </x:c>
      <x:c r="P738" s="202">
        <x:v>37</x:v>
      </x:c>
      <x:c r="Q738" s="13" t="s">
        <x:v>572</x:v>
      </x:c>
      <x:c r="R738" s="13" t="s">
        <x:v>1736</x:v>
      </x:c>
      <x:c r="S738" s="13" t="s">
        <x:v>1354</x:v>
      </x:c>
      <x:c r="T738" s="13" t="s">
        <x:v>3150</x:v>
      </x:c>
      <x:c r="U738" s="13"/>
      <x:c r="V738" s="13" t="s">
        <x:v>797</x:v>
      </x:c>
    </x:row>
    <x:row r="739" spans="1:22" s="14" customFormat="1" ht="13.5" customHeight="1">
      <x:c r="A739" s="13" t="str">
        <x:f>O739</x:f>
        <x:v>정은경</x:v>
      </x:c>
      <x:c r="B739" s="25" t="str">
        <x:f>L739&amp;"-"&amp;TEXT(P739,"0000")</x:f>
        <x:v>20030827-0038</x:v>
      </x:c>
      <x:c r="C739" s="13" t="s">
        <x:v>1564</x:v>
      </x:c>
      <x:c r="D739" s="13" t="s">
        <x:v>1533</x:v>
      </x:c>
      <x:c r="E739" s="13" t="s">
        <x:v>1251</x:v>
      </x:c>
      <x:c r="F739" s="13" t="s">
        <x:v>1837</x:v>
      </x:c>
      <x:c r="G739" s="13" t="s">
        <x:v>1289</x:v>
      </x:c>
      <x:c r="H739" s="13" t="str">
        <x:f>IFERROR(VLOOKUP(O739,'정보화기기 명부'!A$2:B$187,2,FALSE),"")</x:f>
        <x:v/>
      </x:c>
      <x:c r="I739" s="13"/>
      <x:c r="J739" s="13"/>
      <x:c r="K739" s="13"/>
      <x:c r="L739" s="13">
        <x:v>20030827</x:v>
      </x:c>
      <x:c r="M739" s="13" t="s">
        <x:v>503</x:v>
      </x:c>
      <x:c r="N739" s="13" t="s">
        <x:v>1965</x:v>
      </x:c>
      <x:c r="O739" s="13" t="s">
        <x:v>1538</x:v>
      </x:c>
      <x:c r="P739" s="202">
        <x:v>38</x:v>
      </x:c>
      <x:c r="Q739" s="13" t="s">
        <x:v>572</x:v>
      </x:c>
      <x:c r="R739" s="13" t="s">
        <x:v>1736</x:v>
      </x:c>
      <x:c r="S739" s="13" t="s">
        <x:v>1354</x:v>
      </x:c>
      <x:c r="T739" s="13" t="s">
        <x:v>3150</x:v>
      </x:c>
      <x:c r="U739" s="13"/>
      <x:c r="V739" s="13" t="s">
        <x:v>797</x:v>
      </x:c>
    </x:row>
    <x:row r="740" spans="1:22" s="14" customFormat="1" ht="13.5" customHeight="1">
      <x:c r="A740" s="13" t="str">
        <x:f>O740</x:f>
        <x:v>이격주</x:v>
      </x:c>
      <x:c r="B740" s="25" t="str">
        <x:f>L740&amp;"-"&amp;TEXT(P740,"0000")</x:f>
        <x:v>20030827-0039</x:v>
      </x:c>
      <x:c r="C740" s="13" t="s">
        <x:v>1564</x:v>
      </x:c>
      <x:c r="D740" s="13" t="s">
        <x:v>1533</x:v>
      </x:c>
      <x:c r="E740" s="13" t="s">
        <x:v>1251</x:v>
      </x:c>
      <x:c r="F740" s="13" t="s">
        <x:v>1837</x:v>
      </x:c>
      <x:c r="G740" s="13" t="s">
        <x:v>1289</x:v>
      </x:c>
      <x:c r="H740" s="13" t="str">
        <x:f>IFERROR(VLOOKUP(O740,'정보화기기 명부'!A$2:B$187,2,FALSE),"")</x:f>
        <x:v/>
      </x:c>
      <x:c r="I740" s="13"/>
      <x:c r="J740" s="13"/>
      <x:c r="K740" s="13"/>
      <x:c r="L740" s="13">
        <x:v>20030827</x:v>
      </x:c>
      <x:c r="M740" s="13" t="s">
        <x:v>503</x:v>
      </x:c>
      <x:c r="N740" s="13" t="s">
        <x:v>1965</x:v>
      </x:c>
      <x:c r="O740" s="13" t="s">
        <x:v>1407</x:v>
      </x:c>
      <x:c r="P740" s="202">
        <x:v>39</x:v>
      </x:c>
      <x:c r="Q740" s="13" t="s">
        <x:v>572</x:v>
      </x:c>
      <x:c r="R740" s="13" t="s">
        <x:v>1736</x:v>
      </x:c>
      <x:c r="S740" s="13" t="s">
        <x:v>1354</x:v>
      </x:c>
      <x:c r="T740" s="13" t="s">
        <x:v>3150</x:v>
      </x:c>
      <x:c r="U740" s="13"/>
      <x:c r="V740" s="13" t="s">
        <x:v>797</x:v>
      </x:c>
    </x:row>
    <x:row r="741" spans="1:22" s="14" customFormat="1" ht="13.5" customHeight="1">
      <x:c r="A741" s="13" t="str">
        <x:f>O741</x:f>
        <x:v>김혜욱</x:v>
      </x:c>
      <x:c r="B741" s="25" t="str">
        <x:f>L741&amp;"-"&amp;TEXT(P741,"0000")</x:f>
        <x:v>20030827-0040</x:v>
      </x:c>
      <x:c r="C741" s="13" t="s">
        <x:v>1564</x:v>
      </x:c>
      <x:c r="D741" s="13" t="s">
        <x:v>1533</x:v>
      </x:c>
      <x:c r="E741" s="13" t="s">
        <x:v>1251</x:v>
      </x:c>
      <x:c r="F741" s="13" t="s">
        <x:v>1837</x:v>
      </x:c>
      <x:c r="G741" s="13" t="s">
        <x:v>1289</x:v>
      </x:c>
      <x:c r="H741" s="13" t="str">
        <x:f>IFERROR(VLOOKUP(O741,'정보화기기 명부'!A$2:B$187,2,FALSE),"")</x:f>
        <x:v/>
      </x:c>
      <x:c r="I741" s="13"/>
      <x:c r="J741" s="13"/>
      <x:c r="K741" s="13"/>
      <x:c r="L741" s="13">
        <x:v>20030827</x:v>
      </x:c>
      <x:c r="M741" s="13" t="s">
        <x:v>503</x:v>
      </x:c>
      <x:c r="N741" s="13" t="s">
        <x:v>1965</x:v>
      </x:c>
      <x:c r="O741" s="13" t="s">
        <x:v>1396</x:v>
      </x:c>
      <x:c r="P741" s="202">
        <x:v>40</x:v>
      </x:c>
      <x:c r="Q741" s="13" t="s">
        <x:v>572</x:v>
      </x:c>
      <x:c r="R741" s="13" t="s">
        <x:v>1736</x:v>
      </x:c>
      <x:c r="S741" s="13" t="s">
        <x:v>1354</x:v>
      </x:c>
      <x:c r="T741" s="13" t="s">
        <x:v>3150</x:v>
      </x:c>
      <x:c r="U741" s="13"/>
      <x:c r="V741" s="13" t="s">
        <x:v>797</x:v>
      </x:c>
    </x:row>
    <x:row r="742" spans="1:22" s="14" customFormat="1" ht="13.5" customHeight="1">
      <x:c r="A742" s="13" t="str">
        <x:f>O742</x:f>
        <x:v>노창희</x:v>
      </x:c>
      <x:c r="B742" s="25" t="str">
        <x:f>L742&amp;"-"&amp;TEXT(P742,"0000")</x:f>
        <x:v>20030827-0041</x:v>
      </x:c>
      <x:c r="C742" s="13" t="s">
        <x:v>1564</x:v>
      </x:c>
      <x:c r="D742" s="13" t="s">
        <x:v>1533</x:v>
      </x:c>
      <x:c r="E742" s="13" t="s">
        <x:v>1251</x:v>
      </x:c>
      <x:c r="F742" s="13" t="s">
        <x:v>1837</x:v>
      </x:c>
      <x:c r="G742" s="13" t="s">
        <x:v>1289</x:v>
      </x:c>
      <x:c r="H742" s="13" t="str">
        <x:f>IFERROR(VLOOKUP(O742,'정보화기기 명부'!A$2:B$187,2,FALSE),"")</x:f>
        <x:v/>
      </x:c>
      <x:c r="I742" s="13"/>
      <x:c r="J742" s="13"/>
      <x:c r="K742" s="13"/>
      <x:c r="L742" s="13">
        <x:v>20030827</x:v>
      </x:c>
      <x:c r="M742" s="13" t="s">
        <x:v>503</x:v>
      </x:c>
      <x:c r="N742" s="13" t="s">
        <x:v>1965</x:v>
      </x:c>
      <x:c r="O742" s="13" t="s">
        <x:v>1406</x:v>
      </x:c>
      <x:c r="P742" s="202">
        <x:v>41</x:v>
      </x:c>
      <x:c r="Q742" s="13" t="s">
        <x:v>572</x:v>
      </x:c>
      <x:c r="R742" s="13" t="s">
        <x:v>1736</x:v>
      </x:c>
      <x:c r="S742" s="13" t="s">
        <x:v>1354</x:v>
      </x:c>
      <x:c r="T742" s="13" t="s">
        <x:v>3150</x:v>
      </x:c>
      <x:c r="U742" s="13"/>
      <x:c r="V742" s="13" t="s">
        <x:v>797</x:v>
      </x:c>
    </x:row>
    <x:row r="743" spans="1:22" s="14" customFormat="1" ht="13.5" customHeight="1">
      <x:c r="A743" s="13" t="str">
        <x:f>O743</x:f>
        <x:v>김재경</x:v>
      </x:c>
      <x:c r="B743" s="25" t="str">
        <x:f>L743&amp;"-"&amp;TEXT(P743,"0000")</x:f>
        <x:v>20030827-0042</x:v>
      </x:c>
      <x:c r="C743" s="13" t="s">
        <x:v>1564</x:v>
      </x:c>
      <x:c r="D743" s="13" t="s">
        <x:v>1533</x:v>
      </x:c>
      <x:c r="E743" s="13" t="s">
        <x:v>1251</x:v>
      </x:c>
      <x:c r="F743" s="13" t="s">
        <x:v>1837</x:v>
      </x:c>
      <x:c r="G743" s="13" t="s">
        <x:v>1289</x:v>
      </x:c>
      <x:c r="H743" s="13" t="str">
        <x:f>IFERROR(VLOOKUP(O743,'정보화기기 명부'!A$2:B$187,2,FALSE),"")</x:f>
        <x:v/>
      </x:c>
      <x:c r="I743" s="13"/>
      <x:c r="J743" s="13"/>
      <x:c r="K743" s="13"/>
      <x:c r="L743" s="13">
        <x:v>20030827</x:v>
      </x:c>
      <x:c r="M743" s="13" t="s">
        <x:v>503</x:v>
      </x:c>
      <x:c r="N743" s="13" t="s">
        <x:v>1965</x:v>
      </x:c>
      <x:c r="O743" s="13" t="s">
        <x:v>1405</x:v>
      </x:c>
      <x:c r="P743" s="202">
        <x:v>42</x:v>
      </x:c>
      <x:c r="Q743" s="13" t="s">
        <x:v>572</x:v>
      </x:c>
      <x:c r="R743" s="13" t="s">
        <x:v>1736</x:v>
      </x:c>
      <x:c r="S743" s="13" t="s">
        <x:v>1404</x:v>
      </x:c>
      <x:c r="T743" s="13" t="s">
        <x:v>3150</x:v>
      </x:c>
      <x:c r="U743" s="13"/>
      <x:c r="V743" s="13" t="s">
        <x:v>797</x:v>
      </x:c>
    </x:row>
    <x:row r="744" spans="1:22" s="14" customFormat="1" ht="13.5" customHeight="1">
      <x:c r="A744" s="13" t="str">
        <x:f>O744</x:f>
        <x:v>김경란</x:v>
      </x:c>
      <x:c r="B744" s="25" t="str">
        <x:f>L744&amp;"-"&amp;TEXT(P744,"0000")</x:f>
        <x:v>20030827-0043</x:v>
      </x:c>
      <x:c r="C744" s="13" t="s">
        <x:v>1564</x:v>
      </x:c>
      <x:c r="D744" s="13" t="s">
        <x:v>1533</x:v>
      </x:c>
      <x:c r="E744" s="13" t="s">
        <x:v>1251</x:v>
      </x:c>
      <x:c r="F744" s="13" t="s">
        <x:v>1837</x:v>
      </x:c>
      <x:c r="G744" s="13" t="s">
        <x:v>1289</x:v>
      </x:c>
      <x:c r="H744" s="13" t="str">
        <x:f>IFERROR(VLOOKUP(O744,'정보화기기 명부'!A$2:B$187,2,FALSE),"")</x:f>
        <x:v/>
      </x:c>
      <x:c r="I744" s="13"/>
      <x:c r="J744" s="13"/>
      <x:c r="K744" s="13"/>
      <x:c r="L744" s="13">
        <x:v>20030827</x:v>
      </x:c>
      <x:c r="M744" s="13" t="s">
        <x:v>503</x:v>
      </x:c>
      <x:c r="N744" s="13" t="s">
        <x:v>1965</x:v>
      </x:c>
      <x:c r="O744" s="13" t="s">
        <x:v>1330</x:v>
      </x:c>
      <x:c r="P744" s="202">
        <x:v>43</x:v>
      </x:c>
      <x:c r="Q744" s="13" t="s">
        <x:v>572</x:v>
      </x:c>
      <x:c r="R744" s="13" t="s">
        <x:v>1736</x:v>
      </x:c>
      <x:c r="S744" s="13" t="s">
        <x:v>1354</x:v>
      </x:c>
      <x:c r="T744" s="13" t="s">
        <x:v>3150</x:v>
      </x:c>
      <x:c r="U744" s="13"/>
      <x:c r="V744" s="13" t="s">
        <x:v>797</x:v>
      </x:c>
    </x:row>
    <x:row r="745" spans="1:22" s="14" customFormat="1" ht="13.5" customHeight="1">
      <x:c r="A745" s="13" t="str">
        <x:f>O745</x:f>
        <x:v>정세희</x:v>
      </x:c>
      <x:c r="B745" s="25" t="str">
        <x:f>L745&amp;"-"&amp;TEXT(P745,"0000")</x:f>
        <x:v>20030827-0044</x:v>
      </x:c>
      <x:c r="C745" s="13" t="s">
        <x:v>1564</x:v>
      </x:c>
      <x:c r="D745" s="13" t="s">
        <x:v>1533</x:v>
      </x:c>
      <x:c r="E745" s="13" t="s">
        <x:v>1251</x:v>
      </x:c>
      <x:c r="F745" s="13" t="s">
        <x:v>1837</x:v>
      </x:c>
      <x:c r="G745" s="13" t="s">
        <x:v>1289</x:v>
      </x:c>
      <x:c r="H745" s="13" t="str">
        <x:f>IFERROR(VLOOKUP(O745,'정보화기기 명부'!A$2:B$187,2,FALSE),"")</x:f>
        <x:v/>
      </x:c>
      <x:c r="I745" s="13"/>
      <x:c r="J745" s="13"/>
      <x:c r="K745" s="13"/>
      <x:c r="L745" s="13">
        <x:v>20030827</x:v>
      </x:c>
      <x:c r="M745" s="13" t="s">
        <x:v>503</x:v>
      </x:c>
      <x:c r="N745" s="13" t="s">
        <x:v>1965</x:v>
      </x:c>
      <x:c r="O745" s="13" t="s">
        <x:v>1283</x:v>
      </x:c>
      <x:c r="P745" s="202">
        <x:v>44</x:v>
      </x:c>
      <x:c r="Q745" s="13" t="s">
        <x:v>572</x:v>
      </x:c>
      <x:c r="R745" s="13" t="s">
        <x:v>1736</x:v>
      </x:c>
      <x:c r="S745" s="13" t="s">
        <x:v>1354</x:v>
      </x:c>
      <x:c r="T745" s="13" t="s">
        <x:v>3150</x:v>
      </x:c>
      <x:c r="U745" s="13"/>
      <x:c r="V745" s="13" t="s">
        <x:v>797</x:v>
      </x:c>
    </x:row>
    <x:row r="746" spans="1:22" s="14" customFormat="1" ht="13.5" customHeight="1">
      <x:c r="A746" s="13" t="str">
        <x:f>O746</x:f>
        <x:v>이성두</x:v>
      </x:c>
      <x:c r="B746" s="25" t="str">
        <x:f>L746&amp;"-"&amp;TEXT(P746,"0000")</x:f>
        <x:v>20030827-0045</x:v>
      </x:c>
      <x:c r="C746" s="13" t="s">
        <x:v>1564</x:v>
      </x:c>
      <x:c r="D746" s="13" t="s">
        <x:v>1533</x:v>
      </x:c>
      <x:c r="E746" s="13" t="s">
        <x:v>1251</x:v>
      </x:c>
      <x:c r="F746" s="13" t="s">
        <x:v>1837</x:v>
      </x:c>
      <x:c r="G746" s="13" t="s">
        <x:v>1289</x:v>
      </x:c>
      <x:c r="H746" s="13" t="str">
        <x:f>IFERROR(VLOOKUP(O746,'정보화기기 명부'!A$2:B$187,2,FALSE),"")</x:f>
        <x:v/>
      </x:c>
      <x:c r="I746" s="13"/>
      <x:c r="J746" s="13"/>
      <x:c r="K746" s="13"/>
      <x:c r="L746" s="13">
        <x:v>20030827</x:v>
      </x:c>
      <x:c r="M746" s="13" t="s">
        <x:v>503</x:v>
      </x:c>
      <x:c r="N746" s="13" t="s">
        <x:v>1965</x:v>
      </x:c>
      <x:c r="O746" s="13" t="s">
        <x:v>1412</x:v>
      </x:c>
      <x:c r="P746" s="202">
        <x:v>45</x:v>
      </x:c>
      <x:c r="Q746" s="13" t="s">
        <x:v>572</x:v>
      </x:c>
      <x:c r="R746" s="13" t="s">
        <x:v>1736</x:v>
      </x:c>
      <x:c r="S746" s="13" t="s">
        <x:v>1354</x:v>
      </x:c>
      <x:c r="T746" s="13" t="s">
        <x:v>3150</x:v>
      </x:c>
      <x:c r="U746" s="13"/>
      <x:c r="V746" s="13" t="s">
        <x:v>797</x:v>
      </x:c>
    </x:row>
    <x:row r="747" spans="1:22" s="14" customFormat="1" ht="13.5" customHeight="1">
      <x:c r="A747" s="13" t="str">
        <x:f>O747</x:f>
        <x:v>윤점옥</x:v>
      </x:c>
      <x:c r="B747" s="25" t="str">
        <x:f>L747&amp;"-"&amp;TEXT(P747,"0000")</x:f>
        <x:v>20030827-0046</x:v>
      </x:c>
      <x:c r="C747" s="13" t="s">
        <x:v>1564</x:v>
      </x:c>
      <x:c r="D747" s="13" t="s">
        <x:v>1533</x:v>
      </x:c>
      <x:c r="E747" s="13" t="s">
        <x:v>1251</x:v>
      </x:c>
      <x:c r="F747" s="13" t="s">
        <x:v>1837</x:v>
      </x:c>
      <x:c r="G747" s="13" t="s">
        <x:v>1289</x:v>
      </x:c>
      <x:c r="H747" s="13" t="str">
        <x:f>IFERROR(VLOOKUP(O747,'정보화기기 명부'!A$2:B$187,2,FALSE),"")</x:f>
        <x:v/>
      </x:c>
      <x:c r="I747" s="13"/>
      <x:c r="J747" s="13"/>
      <x:c r="K747" s="13"/>
      <x:c r="L747" s="13">
        <x:v>20030827</x:v>
      </x:c>
      <x:c r="M747" s="13" t="s">
        <x:v>503</x:v>
      </x:c>
      <x:c r="N747" s="13" t="s">
        <x:v>1965</x:v>
      </x:c>
      <x:c r="O747" s="13" t="s">
        <x:v>1390</x:v>
      </x:c>
      <x:c r="P747" s="202">
        <x:v>46</x:v>
      </x:c>
      <x:c r="Q747" s="13" t="s">
        <x:v>572</x:v>
      </x:c>
      <x:c r="R747" s="13" t="s">
        <x:v>1736</x:v>
      </x:c>
      <x:c r="S747" s="13" t="s">
        <x:v>1354</x:v>
      </x:c>
      <x:c r="T747" s="13" t="s">
        <x:v>3150</x:v>
      </x:c>
      <x:c r="U747" s="13"/>
      <x:c r="V747" s="13" t="s">
        <x:v>797</x:v>
      </x:c>
    </x:row>
    <x:row r="748" spans="1:22" s="14" customFormat="1" ht="13.5" customHeight="1">
      <x:c r="A748" s="13" t="str">
        <x:f>O748</x:f>
        <x:v>류재현</x:v>
      </x:c>
      <x:c r="B748" s="25" t="str">
        <x:f>L748&amp;"-"&amp;TEXT(P748,"0000")</x:f>
        <x:v>20030827-0047</x:v>
      </x:c>
      <x:c r="C748" s="13" t="s">
        <x:v>1564</x:v>
      </x:c>
      <x:c r="D748" s="13" t="s">
        <x:v>1533</x:v>
      </x:c>
      <x:c r="E748" s="13" t="s">
        <x:v>1251</x:v>
      </x:c>
      <x:c r="F748" s="13" t="s">
        <x:v>1837</x:v>
      </x:c>
      <x:c r="G748" s="13" t="s">
        <x:v>1289</x:v>
      </x:c>
      <x:c r="H748" s="13" t="str">
        <x:f>IFERROR(VLOOKUP(O748,'정보화기기 명부'!A$2:B$187,2,FALSE),"")</x:f>
        <x:v/>
      </x:c>
      <x:c r="I748" s="13"/>
      <x:c r="J748" s="13"/>
      <x:c r="K748" s="13"/>
      <x:c r="L748" s="13">
        <x:v>20030827</x:v>
      </x:c>
      <x:c r="M748" s="13" t="s">
        <x:v>503</x:v>
      </x:c>
      <x:c r="N748" s="13" t="s">
        <x:v>1965</x:v>
      </x:c>
      <x:c r="O748" s="13" t="s">
        <x:v>1399</x:v>
      </x:c>
      <x:c r="P748" s="202">
        <x:v>47</x:v>
      </x:c>
      <x:c r="Q748" s="13" t="s">
        <x:v>572</x:v>
      </x:c>
      <x:c r="R748" s="13" t="s">
        <x:v>1736</x:v>
      </x:c>
      <x:c r="S748" s="13" t="s">
        <x:v>1354</x:v>
      </x:c>
      <x:c r="T748" s="13" t="s">
        <x:v>3150</x:v>
      </x:c>
      <x:c r="U748" s="13"/>
      <x:c r="V748" s="13" t="s">
        <x:v>797</x:v>
      </x:c>
    </x:row>
    <x:row r="749" spans="1:22" s="14" customFormat="1" ht="13.5" customHeight="1">
      <x:c r="A749" s="13" t="str">
        <x:f>O749</x:f>
        <x:v>박정희</x:v>
      </x:c>
      <x:c r="B749" s="25" t="str">
        <x:f>L749&amp;"-"&amp;TEXT(P749,"0000")</x:f>
        <x:v>20030827-0048</x:v>
      </x:c>
      <x:c r="C749" s="13" t="s">
        <x:v>1564</x:v>
      </x:c>
      <x:c r="D749" s="13" t="s">
        <x:v>1533</x:v>
      </x:c>
      <x:c r="E749" s="13" t="s">
        <x:v>1251</x:v>
      </x:c>
      <x:c r="F749" s="13" t="s">
        <x:v>1837</x:v>
      </x:c>
      <x:c r="G749" s="13" t="s">
        <x:v>1289</x:v>
      </x:c>
      <x:c r="H749" s="13" t="str">
        <x:f>IFERROR(VLOOKUP(O749,'정보화기기 명부'!A$2:B$187,2,FALSE),"")</x:f>
        <x:v/>
      </x:c>
      <x:c r="I749" s="13"/>
      <x:c r="J749" s="13"/>
      <x:c r="K749" s="13"/>
      <x:c r="L749" s="13">
        <x:v>20030827</x:v>
      </x:c>
      <x:c r="M749" s="13" t="s">
        <x:v>503</x:v>
      </x:c>
      <x:c r="N749" s="13" t="s">
        <x:v>1965</x:v>
      </x:c>
      <x:c r="O749" s="13" t="s">
        <x:v>1361</x:v>
      </x:c>
      <x:c r="P749" s="202">
        <x:v>48</x:v>
      </x:c>
      <x:c r="Q749" s="13" t="s">
        <x:v>572</x:v>
      </x:c>
      <x:c r="R749" s="13" t="s">
        <x:v>1736</x:v>
      </x:c>
      <x:c r="S749" s="13" t="s">
        <x:v>1354</x:v>
      </x:c>
      <x:c r="T749" s="13" t="s">
        <x:v>3150</x:v>
      </x:c>
      <x:c r="U749" s="13"/>
      <x:c r="V749" s="13" t="s">
        <x:v>797</x:v>
      </x:c>
    </x:row>
    <x:row r="750" spans="1:22" s="14" customFormat="1" ht="13.5" customHeight="1">
      <x:c r="A750" s="13" t="str">
        <x:f>O750</x:f>
        <x:v>김종미</x:v>
      </x:c>
      <x:c r="B750" s="25" t="str">
        <x:f>L750&amp;"-"&amp;TEXT(P750,"0000")</x:f>
        <x:v>20030827-0049</x:v>
      </x:c>
      <x:c r="C750" s="13" t="s">
        <x:v>1564</x:v>
      </x:c>
      <x:c r="D750" s="13" t="s">
        <x:v>1533</x:v>
      </x:c>
      <x:c r="E750" s="13" t="s">
        <x:v>1251</x:v>
      </x:c>
      <x:c r="F750" s="13" t="s">
        <x:v>1837</x:v>
      </x:c>
      <x:c r="G750" s="13" t="s">
        <x:v>1289</x:v>
      </x:c>
      <x:c r="H750" s="13" t="str">
        <x:f>IFERROR(VLOOKUP(O750,'정보화기기 명부'!A$2:B$187,2,FALSE),"")</x:f>
        <x:v/>
      </x:c>
      <x:c r="I750" s="13"/>
      <x:c r="J750" s="13"/>
      <x:c r="K750" s="13"/>
      <x:c r="L750" s="13">
        <x:v>20030827</x:v>
      </x:c>
      <x:c r="M750" s="13" t="s">
        <x:v>503</x:v>
      </x:c>
      <x:c r="N750" s="13" t="s">
        <x:v>1965</x:v>
      </x:c>
      <x:c r="O750" s="13" t="s">
        <x:v>1365</x:v>
      </x:c>
      <x:c r="P750" s="202">
        <x:v>49</x:v>
      </x:c>
      <x:c r="Q750" s="13" t="s">
        <x:v>572</x:v>
      </x:c>
      <x:c r="R750" s="13" t="s">
        <x:v>1736</x:v>
      </x:c>
      <x:c r="S750" s="13" t="s">
        <x:v>1354</x:v>
      </x:c>
      <x:c r="T750" s="13" t="s">
        <x:v>3150</x:v>
      </x:c>
      <x:c r="U750" s="13"/>
      <x:c r="V750" s="13" t="s">
        <x:v>797</x:v>
      </x:c>
    </x:row>
    <x:row r="751" spans="1:22" s="14" customFormat="1" ht="13.5" customHeight="1">
      <x:c r="A751" s="13" t="str">
        <x:f>O751</x:f>
        <x:v>지연희</x:v>
      </x:c>
      <x:c r="B751" s="25" t="str">
        <x:f>L751&amp;"-"&amp;TEXT(P751,"0000")</x:f>
        <x:v>20030827-0050</x:v>
      </x:c>
      <x:c r="C751" s="13" t="s">
        <x:v>1564</x:v>
      </x:c>
      <x:c r="D751" s="13" t="s">
        <x:v>1533</x:v>
      </x:c>
      <x:c r="E751" s="13" t="s">
        <x:v>1251</x:v>
      </x:c>
      <x:c r="F751" s="13" t="s">
        <x:v>1837</x:v>
      </x:c>
      <x:c r="G751" s="13" t="s">
        <x:v>1289</x:v>
      </x:c>
      <x:c r="H751" s="13" t="str">
        <x:f>IFERROR(VLOOKUP(O751,'정보화기기 명부'!A$2:B$187,2,FALSE),"")</x:f>
        <x:v/>
      </x:c>
      <x:c r="I751" s="13"/>
      <x:c r="J751" s="13"/>
      <x:c r="K751" s="13"/>
      <x:c r="L751" s="13">
        <x:v>20030827</x:v>
      </x:c>
      <x:c r="M751" s="13" t="s">
        <x:v>503</x:v>
      </x:c>
      <x:c r="N751" s="13" t="s">
        <x:v>1965</x:v>
      </x:c>
      <x:c r="O751" s="13" t="s">
        <x:v>1333</x:v>
      </x:c>
      <x:c r="P751" s="202">
        <x:v>50</x:v>
      </x:c>
      <x:c r="Q751" s="13" t="s">
        <x:v>572</x:v>
      </x:c>
      <x:c r="R751" s="13" t="s">
        <x:v>1736</x:v>
      </x:c>
      <x:c r="S751" s="13" t="s">
        <x:v>1354</x:v>
      </x:c>
      <x:c r="T751" s="13" t="s">
        <x:v>3150</x:v>
      </x:c>
      <x:c r="U751" s="13"/>
      <x:c r="V751" s="13" t="s">
        <x:v>797</x:v>
      </x:c>
    </x:row>
    <x:row r="752" spans="1:22" s="14" customFormat="1" ht="13.5" customHeight="1">
      <x:c r="A752" s="13" t="str">
        <x:f>O752</x:f>
        <x:v>황윤경</x:v>
      </x:c>
      <x:c r="B752" s="25" t="str">
        <x:f>L752&amp;"-"&amp;TEXT(P752,"0000")</x:f>
        <x:v>20030827-0051</x:v>
      </x:c>
      <x:c r="C752" s="13" t="s">
        <x:v>1564</x:v>
      </x:c>
      <x:c r="D752" s="13" t="s">
        <x:v>1533</x:v>
      </x:c>
      <x:c r="E752" s="13" t="s">
        <x:v>1251</x:v>
      </x:c>
      <x:c r="F752" s="13" t="s">
        <x:v>1837</x:v>
      </x:c>
      <x:c r="G752" s="13" t="s">
        <x:v>1289</x:v>
      </x:c>
      <x:c r="H752" s="13" t="str">
        <x:f>IFERROR(VLOOKUP(O752,'정보화기기 명부'!A$2:B$187,2,FALSE),"")</x:f>
        <x:v/>
      </x:c>
      <x:c r="I752" s="13"/>
      <x:c r="J752" s="13"/>
      <x:c r="K752" s="13"/>
      <x:c r="L752" s="13">
        <x:v>20030827</x:v>
      </x:c>
      <x:c r="M752" s="13" t="s">
        <x:v>503</x:v>
      </x:c>
      <x:c r="N752" s="13" t="s">
        <x:v>1965</x:v>
      </x:c>
      <x:c r="O752" s="13" t="s">
        <x:v>1358</x:v>
      </x:c>
      <x:c r="P752" s="202">
        <x:v>51</x:v>
      </x:c>
      <x:c r="Q752" s="13" t="s">
        <x:v>572</x:v>
      </x:c>
      <x:c r="R752" s="13" t="s">
        <x:v>1736</x:v>
      </x:c>
      <x:c r="S752" s="13" t="s">
        <x:v>1354</x:v>
      </x:c>
      <x:c r="T752" s="13" t="s">
        <x:v>3150</x:v>
      </x:c>
      <x:c r="U752" s="13"/>
      <x:c r="V752" s="13" t="s">
        <x:v>797</x:v>
      </x:c>
    </x:row>
    <x:row r="753" spans="1:22" s="14" customFormat="1" ht="13.5" customHeight="1">
      <x:c r="A753" s="13" t="str">
        <x:f>O753</x:f>
        <x:v>조연정(임운혁)</x:v>
      </x:c>
      <x:c r="B753" s="25" t="str">
        <x:f>L753&amp;"-"&amp;TEXT(P753,"0000")</x:f>
        <x:v>20030827-0062</x:v>
      </x:c>
      <x:c r="C753" s="13" t="s">
        <x:v>1564</x:v>
      </x:c>
      <x:c r="D753" s="13" t="s">
        <x:v>1533</x:v>
      </x:c>
      <x:c r="E753" s="13" t="s">
        <x:v>1251</x:v>
      </x:c>
      <x:c r="F753" s="13" t="s">
        <x:v>1837</x:v>
      </x:c>
      <x:c r="G753" s="13" t="s">
        <x:v>1289</x:v>
      </x:c>
      <x:c r="H753" s="13" t="str">
        <x:f>IFERROR(VLOOKUP(O753,'정보화기기 명부'!A$2:B$187,2,FALSE),"")</x:f>
        <x:v/>
      </x:c>
      <x:c r="I753" s="13"/>
      <x:c r="J753" s="13"/>
      <x:c r="K753" s="13"/>
      <x:c r="L753" s="13">
        <x:v>20030827</x:v>
      </x:c>
      <x:c r="M753" s="13" t="s">
        <x:v>503</x:v>
      </x:c>
      <x:c r="N753" s="13" t="s">
        <x:v>1965</x:v>
      </x:c>
      <x:c r="O753" s="13" t="s">
        <x:v>10</x:v>
      </x:c>
      <x:c r="P753" s="202">
        <x:v>62</x:v>
      </x:c>
      <x:c r="Q753" s="13" t="s">
        <x:v>572</x:v>
      </x:c>
      <x:c r="R753" s="13" t="s">
        <x:v>1736</x:v>
      </x:c>
      <x:c r="S753" s="13" t="s">
        <x:v>1354</x:v>
      </x:c>
      <x:c r="T753" s="13" t="s">
        <x:v>3150</x:v>
      </x:c>
      <x:c r="U753" s="13"/>
      <x:c r="V753" s="13" t="s">
        <x:v>797</x:v>
      </x:c>
    </x:row>
    <x:row r="754" spans="1:22" s="14" customFormat="1" ht="13.5" customHeight="1">
      <x:c r="A754" s="13" t="str">
        <x:f>O754</x:f>
        <x:v>심흥남</x:v>
      </x:c>
      <x:c r="B754" s="25" t="str">
        <x:f>L754&amp;"-"&amp;TEXT(P754,"0000")</x:f>
        <x:v>20030827-0063</x:v>
      </x:c>
      <x:c r="C754" s="13" t="s">
        <x:v>1564</x:v>
      </x:c>
      <x:c r="D754" s="13" t="s">
        <x:v>1533</x:v>
      </x:c>
      <x:c r="E754" s="13" t="s">
        <x:v>1251</x:v>
      </x:c>
      <x:c r="F754" s="13" t="s">
        <x:v>1837</x:v>
      </x:c>
      <x:c r="G754" s="13" t="s">
        <x:v>1289</x:v>
      </x:c>
      <x:c r="H754" s="13" t="str">
        <x:f>IFERROR(VLOOKUP(O754,'정보화기기 명부'!A$2:B$187,2,FALSE),"")</x:f>
        <x:v/>
      </x:c>
      <x:c r="I754" s="13"/>
      <x:c r="J754" s="13"/>
      <x:c r="K754" s="13"/>
      <x:c r="L754" s="13">
        <x:v>20030827</x:v>
      </x:c>
      <x:c r="M754" s="13" t="s">
        <x:v>503</x:v>
      </x:c>
      <x:c r="N754" s="13" t="s">
        <x:v>1965</x:v>
      </x:c>
      <x:c r="O754" s="13" t="s">
        <x:v>1350</x:v>
      </x:c>
      <x:c r="P754" s="202">
        <x:v>63</x:v>
      </x:c>
      <x:c r="Q754" s="13" t="s">
        <x:v>572</x:v>
      </x:c>
      <x:c r="R754" s="13" t="s">
        <x:v>1736</x:v>
      </x:c>
      <x:c r="S754" s="13" t="s">
        <x:v>1354</x:v>
      </x:c>
      <x:c r="T754" s="13" t="s">
        <x:v>3150</x:v>
      </x:c>
      <x:c r="U754" s="13"/>
      <x:c r="V754" s="13" t="s">
        <x:v>797</x:v>
      </x:c>
    </x:row>
    <x:row r="755" spans="1:22" s="14" customFormat="1" ht="13.5" customHeight="1">
      <x:c r="A755" s="13" t="str">
        <x:f>O755</x:f>
        <x:v>엄헌영</x:v>
      </x:c>
      <x:c r="B755" s="25" t="str">
        <x:f>L755&amp;"-"&amp;TEXT(P755,"0000")</x:f>
        <x:v>20030827-0064</x:v>
      </x:c>
      <x:c r="C755" s="13" t="s">
        <x:v>1564</x:v>
      </x:c>
      <x:c r="D755" s="13" t="s">
        <x:v>1533</x:v>
      </x:c>
      <x:c r="E755" s="13" t="s">
        <x:v>1251</x:v>
      </x:c>
      <x:c r="F755" s="13" t="s">
        <x:v>1837</x:v>
      </x:c>
      <x:c r="G755" s="13" t="s">
        <x:v>1289</x:v>
      </x:c>
      <x:c r="H755" s="13" t="str">
        <x:f>IFERROR(VLOOKUP(O755,'정보화기기 명부'!A$2:B$187,2,FALSE),"")</x:f>
        <x:v/>
      </x:c>
      <x:c r="I755" s="13"/>
      <x:c r="J755" s="13"/>
      <x:c r="K755" s="13"/>
      <x:c r="L755" s="13">
        <x:v>20030827</x:v>
      </x:c>
      <x:c r="M755" s="13" t="s">
        <x:v>503</x:v>
      </x:c>
      <x:c r="N755" s="13" t="s">
        <x:v>1965</x:v>
      </x:c>
      <x:c r="O755" s="13" t="s">
        <x:v>1411</x:v>
      </x:c>
      <x:c r="P755" s="202">
        <x:v>64</x:v>
      </x:c>
      <x:c r="Q755" s="13" t="s">
        <x:v>572</x:v>
      </x:c>
      <x:c r="R755" s="13" t="s">
        <x:v>1736</x:v>
      </x:c>
      <x:c r="S755" s="13" t="s">
        <x:v>1354</x:v>
      </x:c>
      <x:c r="T755" s="13" t="s">
        <x:v>3150</x:v>
      </x:c>
      <x:c r="U755" s="13"/>
      <x:c r="V755" s="13" t="s">
        <x:v>797</x:v>
      </x:c>
    </x:row>
    <x:row r="756" spans="1:22" s="14" customFormat="1" ht="13.5" customHeight="1">
      <x:c r="A756" s="13" t="str">
        <x:f>O756</x:f>
        <x:v>김효진</x:v>
      </x:c>
      <x:c r="B756" s="25" t="str">
        <x:f>L756&amp;"-"&amp;TEXT(P756,"0000")</x:f>
        <x:v>20030827-0065</x:v>
      </x:c>
      <x:c r="C756" s="13" t="s">
        <x:v>1564</x:v>
      </x:c>
      <x:c r="D756" s="13" t="s">
        <x:v>1533</x:v>
      </x:c>
      <x:c r="E756" s="13" t="s">
        <x:v>1251</x:v>
      </x:c>
      <x:c r="F756" s="13" t="s">
        <x:v>1837</x:v>
      </x:c>
      <x:c r="G756" s="13" t="s">
        <x:v>1289</x:v>
      </x:c>
      <x:c r="H756" s="13" t="str">
        <x:f>IFERROR(VLOOKUP(O756,'정보화기기 명부'!A$2:B$187,2,FALSE),"")</x:f>
        <x:v/>
      </x:c>
      <x:c r="I756" s="13"/>
      <x:c r="J756" s="13"/>
      <x:c r="K756" s="13"/>
      <x:c r="L756" s="13">
        <x:v>20030827</x:v>
      </x:c>
      <x:c r="M756" s="13" t="s">
        <x:v>503</x:v>
      </x:c>
      <x:c r="N756" s="13" t="s">
        <x:v>1965</x:v>
      </x:c>
      <x:c r="O756" s="13" t="s">
        <x:v>1378</x:v>
      </x:c>
      <x:c r="P756" s="202">
        <x:v>65</x:v>
      </x:c>
      <x:c r="Q756" s="13" t="s">
        <x:v>572</x:v>
      </x:c>
      <x:c r="R756" s="13" t="s">
        <x:v>1736</x:v>
      </x:c>
      <x:c r="S756" s="13" t="s">
        <x:v>1354</x:v>
      </x:c>
      <x:c r="T756" s="13" t="s">
        <x:v>3150</x:v>
      </x:c>
      <x:c r="U756" s="13"/>
      <x:c r="V756" s="13" t="s">
        <x:v>797</x:v>
      </x:c>
    </x:row>
    <x:row r="757" spans="1:22" s="14" customFormat="1" ht="13.5" customHeight="1">
      <x:c r="A757" s="13" t="str">
        <x:f>O757</x:f>
        <x:v>김미숙</x:v>
      </x:c>
      <x:c r="B757" s="25" t="str">
        <x:f>L757&amp;"-"&amp;TEXT(P757,"0000")</x:f>
        <x:v>20030827-0066</x:v>
      </x:c>
      <x:c r="C757" s="13" t="s">
        <x:v>1564</x:v>
      </x:c>
      <x:c r="D757" s="13" t="s">
        <x:v>1533</x:v>
      </x:c>
      <x:c r="E757" s="13" t="s">
        <x:v>1251</x:v>
      </x:c>
      <x:c r="F757" s="13" t="s">
        <x:v>1837</x:v>
      </x:c>
      <x:c r="G757" s="13" t="s">
        <x:v>1289</x:v>
      </x:c>
      <x:c r="H757" s="13" t="str">
        <x:f>IFERROR(VLOOKUP(O757,'정보화기기 명부'!A$2:B$187,2,FALSE),"")</x:f>
        <x:v/>
      </x:c>
      <x:c r="I757" s="13"/>
      <x:c r="J757" s="13"/>
      <x:c r="K757" s="13"/>
      <x:c r="L757" s="13">
        <x:v>20030827</x:v>
      </x:c>
      <x:c r="M757" s="13" t="s">
        <x:v>503</x:v>
      </x:c>
      <x:c r="N757" s="13" t="s">
        <x:v>1965</x:v>
      </x:c>
      <x:c r="O757" s="13" t="s">
        <x:v>1414</x:v>
      </x:c>
      <x:c r="P757" s="202">
        <x:v>66</x:v>
      </x:c>
      <x:c r="Q757" s="13" t="s">
        <x:v>572</x:v>
      </x:c>
      <x:c r="R757" s="13" t="s">
        <x:v>1736</x:v>
      </x:c>
      <x:c r="S757" s="13" t="s">
        <x:v>1354</x:v>
      </x:c>
      <x:c r="T757" s="13" t="s">
        <x:v>3150</x:v>
      </x:c>
      <x:c r="U757" s="13"/>
      <x:c r="V757" s="13" t="s">
        <x:v>797</x:v>
      </x:c>
    </x:row>
    <x:row r="758" spans="1:22" s="14" customFormat="1" ht="13.5" customHeight="1">
      <x:c r="A758" s="13" t="str">
        <x:f>O758</x:f>
        <x:v>조아영</x:v>
      </x:c>
      <x:c r="B758" s="25" t="str">
        <x:f>L758&amp;"-"&amp;TEXT(P758,"0000")</x:f>
        <x:v>20030827-0067</x:v>
      </x:c>
      <x:c r="C758" s="13" t="s">
        <x:v>1564</x:v>
      </x:c>
      <x:c r="D758" s="13" t="s">
        <x:v>1533</x:v>
      </x:c>
      <x:c r="E758" s="13" t="s">
        <x:v>1251</x:v>
      </x:c>
      <x:c r="F758" s="13" t="s">
        <x:v>1837</x:v>
      </x:c>
      <x:c r="G758" s="13" t="s">
        <x:v>1289</x:v>
      </x:c>
      <x:c r="H758" s="13" t="str">
        <x:f>IFERROR(VLOOKUP(O758,'정보화기기 명부'!A$2:B$187,2,FALSE),"")</x:f>
        <x:v/>
      </x:c>
      <x:c r="I758" s="13"/>
      <x:c r="J758" s="13"/>
      <x:c r="K758" s="13"/>
      <x:c r="L758" s="13">
        <x:v>20030827</x:v>
      </x:c>
      <x:c r="M758" s="13" t="s">
        <x:v>503</x:v>
      </x:c>
      <x:c r="N758" s="13" t="s">
        <x:v>1965</x:v>
      </x:c>
      <x:c r="O758" s="13" t="s">
        <x:v>1370</x:v>
      </x:c>
      <x:c r="P758" s="202">
        <x:v>67</x:v>
      </x:c>
      <x:c r="Q758" s="13" t="s">
        <x:v>572</x:v>
      </x:c>
      <x:c r="R758" s="13" t="s">
        <x:v>1736</x:v>
      </x:c>
      <x:c r="S758" s="13" t="s">
        <x:v>1354</x:v>
      </x:c>
      <x:c r="T758" s="13" t="s">
        <x:v>3150</x:v>
      </x:c>
      <x:c r="U758" s="13"/>
      <x:c r="V758" s="13" t="s">
        <x:v>797</x:v>
      </x:c>
    </x:row>
    <x:row r="759" spans="1:22" s="14" customFormat="1" ht="13.5" customHeight="1">
      <x:c r="A759" s="13" t="str">
        <x:f>O759</x:f>
        <x:v>김진홍</x:v>
      </x:c>
      <x:c r="B759" s="25" t="str">
        <x:f>L759&amp;"-"&amp;TEXT(P759,"0000")</x:f>
        <x:v>20030827-0068</x:v>
      </x:c>
      <x:c r="C759" s="13" t="s">
        <x:v>1564</x:v>
      </x:c>
      <x:c r="D759" s="13" t="s">
        <x:v>1533</x:v>
      </x:c>
      <x:c r="E759" s="13" t="s">
        <x:v>1251</x:v>
      </x:c>
      <x:c r="F759" s="13" t="s">
        <x:v>1837</x:v>
      </x:c>
      <x:c r="G759" s="13" t="s">
        <x:v>1289</x:v>
      </x:c>
      <x:c r="H759" s="13" t="str">
        <x:f>IFERROR(VLOOKUP(O759,'정보화기기 명부'!A$2:B$187,2,FALSE),"")</x:f>
        <x:v/>
      </x:c>
      <x:c r="I759" s="13"/>
      <x:c r="J759" s="13"/>
      <x:c r="K759" s="13"/>
      <x:c r="L759" s="13">
        <x:v>20030827</x:v>
      </x:c>
      <x:c r="M759" s="13" t="s">
        <x:v>503</x:v>
      </x:c>
      <x:c r="N759" s="13" t="s">
        <x:v>1965</x:v>
      </x:c>
      <x:c r="O759" s="13" t="s">
        <x:v>1381</x:v>
      </x:c>
      <x:c r="P759" s="202">
        <x:v>68</x:v>
      </x:c>
      <x:c r="Q759" s="13" t="s">
        <x:v>572</x:v>
      </x:c>
      <x:c r="R759" s="13" t="s">
        <x:v>1736</x:v>
      </x:c>
      <x:c r="S759" s="13" t="s">
        <x:v>1354</x:v>
      </x:c>
      <x:c r="T759" s="13" t="s">
        <x:v>3150</x:v>
      </x:c>
      <x:c r="U759" s="13"/>
      <x:c r="V759" s="13" t="s">
        <x:v>797</x:v>
      </x:c>
    </x:row>
    <x:row r="760" spans="1:22" s="14" customFormat="1" ht="13.5" customHeight="1">
      <x:c r="A760" s="13" t="str">
        <x:f>O760</x:f>
        <x:v>이응상</x:v>
      </x:c>
      <x:c r="B760" s="25" t="str">
        <x:f>L760&amp;"-"&amp;TEXT(P760,"0000")</x:f>
        <x:v>20030827-0069</x:v>
      </x:c>
      <x:c r="C760" s="13" t="s">
        <x:v>1564</x:v>
      </x:c>
      <x:c r="D760" s="13" t="s">
        <x:v>1533</x:v>
      </x:c>
      <x:c r="E760" s="13" t="s">
        <x:v>1251</x:v>
      </x:c>
      <x:c r="F760" s="13" t="s">
        <x:v>1837</x:v>
      </x:c>
      <x:c r="G760" s="13" t="s">
        <x:v>1289</x:v>
      </x:c>
      <x:c r="H760" s="13" t="str">
        <x:f>IFERROR(VLOOKUP(O760,'정보화기기 명부'!A$2:B$187,2,FALSE),"")</x:f>
        <x:v/>
      </x:c>
      <x:c r="I760" s="13"/>
      <x:c r="J760" s="13"/>
      <x:c r="K760" s="13"/>
      <x:c r="L760" s="13">
        <x:v>20030827</x:v>
      </x:c>
      <x:c r="M760" s="13" t="s">
        <x:v>503</x:v>
      </x:c>
      <x:c r="N760" s="13" t="s">
        <x:v>1965</x:v>
      </x:c>
      <x:c r="O760" s="13" t="s">
        <x:v>1359</x:v>
      </x:c>
      <x:c r="P760" s="202">
        <x:v>69</x:v>
      </x:c>
      <x:c r="Q760" s="13" t="s">
        <x:v>572</x:v>
      </x:c>
      <x:c r="R760" s="13" t="s">
        <x:v>1736</x:v>
      </x:c>
      <x:c r="S760" s="13" t="s">
        <x:v>1354</x:v>
      </x:c>
      <x:c r="T760" s="13" t="s">
        <x:v>3150</x:v>
      </x:c>
      <x:c r="U760" s="13"/>
      <x:c r="V760" s="13" t="s">
        <x:v>797</x:v>
      </x:c>
    </x:row>
    <x:row r="761" spans="1:22" s="14" customFormat="1" ht="13.5" customHeight="1">
      <x:c r="A761" s="13" t="str">
        <x:f>O761</x:f>
        <x:v>김인섭</x:v>
      </x:c>
      <x:c r="B761" s="25" t="str">
        <x:f>L761&amp;"-"&amp;TEXT(P761,"0000")</x:f>
        <x:v>20030827-0070</x:v>
      </x:c>
      <x:c r="C761" s="13" t="s">
        <x:v>1564</x:v>
      </x:c>
      <x:c r="D761" s="13" t="s">
        <x:v>1533</x:v>
      </x:c>
      <x:c r="E761" s="13" t="s">
        <x:v>1251</x:v>
      </x:c>
      <x:c r="F761" s="13" t="s">
        <x:v>1837</x:v>
      </x:c>
      <x:c r="G761" s="13" t="s">
        <x:v>1289</x:v>
      </x:c>
      <x:c r="H761" s="13" t="str">
        <x:f>IFERROR(VLOOKUP(O761,'정보화기기 명부'!A$2:B$187,2,FALSE),"")</x:f>
        <x:v/>
      </x:c>
      <x:c r="I761" s="13"/>
      <x:c r="J761" s="13"/>
      <x:c r="K761" s="13"/>
      <x:c r="L761" s="13">
        <x:v>20030827</x:v>
      </x:c>
      <x:c r="M761" s="13" t="s">
        <x:v>503</x:v>
      </x:c>
      <x:c r="N761" s="13" t="s">
        <x:v>1965</x:v>
      </x:c>
      <x:c r="O761" s="13" t="s">
        <x:v>1325</x:v>
      </x:c>
      <x:c r="P761" s="202">
        <x:v>70</x:v>
      </x:c>
      <x:c r="Q761" s="13" t="s">
        <x:v>572</x:v>
      </x:c>
      <x:c r="R761" s="13" t="s">
        <x:v>1736</x:v>
      </x:c>
      <x:c r="S761" s="13" t="s">
        <x:v>1354</x:v>
      </x:c>
      <x:c r="T761" s="13" t="s">
        <x:v>3150</x:v>
      </x:c>
      <x:c r="U761" s="13"/>
      <x:c r="V761" s="13" t="s">
        <x:v>797</x:v>
      </x:c>
    </x:row>
    <x:row r="762" spans="1:22" s="14" customFormat="1" ht="13.5" customHeight="1">
      <x:c r="A762" s="13" t="str">
        <x:f>O762</x:f>
        <x:v>한세영</x:v>
      </x:c>
      <x:c r="B762" s="25" t="str">
        <x:f>L762&amp;"-"&amp;TEXT(P762,"0000")</x:f>
        <x:v>20030827-0071</x:v>
      </x:c>
      <x:c r="C762" s="13" t="s">
        <x:v>1564</x:v>
      </x:c>
      <x:c r="D762" s="13" t="s">
        <x:v>1533</x:v>
      </x:c>
      <x:c r="E762" s="13" t="s">
        <x:v>1251</x:v>
      </x:c>
      <x:c r="F762" s="13" t="s">
        <x:v>1837</x:v>
      </x:c>
      <x:c r="G762" s="13" t="s">
        <x:v>1289</x:v>
      </x:c>
      <x:c r="H762" s="13" t="str">
        <x:f>IFERROR(VLOOKUP(O762,'정보화기기 명부'!A$2:B$187,2,FALSE),"")</x:f>
        <x:v/>
      </x:c>
      <x:c r="I762" s="13"/>
      <x:c r="J762" s="13"/>
      <x:c r="K762" s="13"/>
      <x:c r="L762" s="13">
        <x:v>20030827</x:v>
      </x:c>
      <x:c r="M762" s="13" t="s">
        <x:v>503</x:v>
      </x:c>
      <x:c r="N762" s="13" t="s">
        <x:v>1965</x:v>
      </x:c>
      <x:c r="O762" s="13" t="s">
        <x:v>1415</x:v>
      </x:c>
      <x:c r="P762" s="202">
        <x:v>71</x:v>
      </x:c>
      <x:c r="Q762" s="13" t="s">
        <x:v>572</x:v>
      </x:c>
      <x:c r="R762" s="13" t="s">
        <x:v>1736</x:v>
      </x:c>
      <x:c r="S762" s="13" t="s">
        <x:v>1354</x:v>
      </x:c>
      <x:c r="T762" s="13" t="s">
        <x:v>3150</x:v>
      </x:c>
      <x:c r="U762" s="13"/>
      <x:c r="V762" s="13" t="s">
        <x:v>797</x:v>
      </x:c>
    </x:row>
    <x:row r="763" spans="1:22" s="14" customFormat="1" ht="13.5" customHeight="1">
      <x:c r="A763" s="13" t="str">
        <x:f>O763</x:f>
        <x:v>류명수</x:v>
      </x:c>
      <x:c r="B763" s="25" t="str">
        <x:f>L763&amp;"-"&amp;TEXT(P763,"0000")</x:f>
        <x:v>20030827-0078</x:v>
      </x:c>
      <x:c r="C763" s="13" t="s">
        <x:v>1564</x:v>
      </x:c>
      <x:c r="D763" s="13" t="s">
        <x:v>1533</x:v>
      </x:c>
      <x:c r="E763" s="13" t="s">
        <x:v>1251</x:v>
      </x:c>
      <x:c r="F763" s="13" t="s">
        <x:v>1837</x:v>
      </x:c>
      <x:c r="G763" s="13" t="s">
        <x:v>1289</x:v>
      </x:c>
      <x:c r="H763" s="13" t="str">
        <x:f>IFERROR(VLOOKUP(O763,'정보화기기 명부'!A$2:B$187,2,FALSE),"")</x:f>
        <x:v/>
      </x:c>
      <x:c r="I763" s="13"/>
      <x:c r="J763" s="13"/>
      <x:c r="K763" s="13"/>
      <x:c r="L763" s="13">
        <x:v>20030827</x:v>
      </x:c>
      <x:c r="M763" s="13" t="s">
        <x:v>503</x:v>
      </x:c>
      <x:c r="N763" s="13" t="s">
        <x:v>1965</x:v>
      </x:c>
      <x:c r="O763" s="13" t="s">
        <x:v>1435</x:v>
      </x:c>
      <x:c r="P763" s="202">
        <x:v>78</x:v>
      </x:c>
      <x:c r="Q763" s="13" t="s">
        <x:v>572</x:v>
      </x:c>
      <x:c r="R763" s="13" t="s">
        <x:v>1736</x:v>
      </x:c>
      <x:c r="S763" s="13" t="s">
        <x:v>1354</x:v>
      </x:c>
      <x:c r="T763" s="13" t="s">
        <x:v>3150</x:v>
      </x:c>
      <x:c r="U763" s="13"/>
      <x:c r="V763" s="13" t="s">
        <x:v>797</x:v>
      </x:c>
    </x:row>
    <x:row r="764" spans="1:22" s="14" customFormat="1" ht="13.5" customHeight="1">
      <x:c r="A764" s="13" t="str">
        <x:f>O764</x:f>
        <x:v>이윤희</x:v>
      </x:c>
      <x:c r="B764" s="25" t="str">
        <x:f>L764&amp;"-"&amp;TEXT(P764,"0000")</x:f>
        <x:v>20030827-0079</x:v>
      </x:c>
      <x:c r="C764" s="13" t="s">
        <x:v>1564</x:v>
      </x:c>
      <x:c r="D764" s="13" t="s">
        <x:v>1533</x:v>
      </x:c>
      <x:c r="E764" s="13" t="s">
        <x:v>1251</x:v>
      </x:c>
      <x:c r="F764" s="13" t="s">
        <x:v>1837</x:v>
      </x:c>
      <x:c r="G764" s="13" t="s">
        <x:v>1289</x:v>
      </x:c>
      <x:c r="H764" s="13" t="str">
        <x:f>IFERROR(VLOOKUP(O764,'정보화기기 명부'!A$2:B$187,2,FALSE),"")</x:f>
        <x:v/>
      </x:c>
      <x:c r="I764" s="13"/>
      <x:c r="J764" s="13"/>
      <x:c r="K764" s="13"/>
      <x:c r="L764" s="13">
        <x:v>20030827</x:v>
      </x:c>
      <x:c r="M764" s="13" t="s">
        <x:v>503</x:v>
      </x:c>
      <x:c r="N764" s="13" t="s">
        <x:v>1965</x:v>
      </x:c>
      <x:c r="O764" s="13" t="s">
        <x:v>1360</x:v>
      </x:c>
      <x:c r="P764" s="202">
        <x:v>79</x:v>
      </x:c>
      <x:c r="Q764" s="13" t="s">
        <x:v>572</x:v>
      </x:c>
      <x:c r="R764" s="13" t="s">
        <x:v>1736</x:v>
      </x:c>
      <x:c r="S764" s="13" t="s">
        <x:v>1354</x:v>
      </x:c>
      <x:c r="T764" s="13" t="s">
        <x:v>3150</x:v>
      </x:c>
      <x:c r="U764" s="13"/>
      <x:c r="V764" s="13" t="s">
        <x:v>797</x:v>
      </x:c>
    </x:row>
    <x:row r="765" spans="1:22" s="14" customFormat="1" ht="13.5" customHeight="1">
      <x:c r="A765" s="13" t="str">
        <x:f>O765</x:f>
        <x:v>주효숙</x:v>
      </x:c>
      <x:c r="B765" s="25" t="str">
        <x:f>L765&amp;"-"&amp;TEXT(P765,"0000")</x:f>
        <x:v>20030827-0080</x:v>
      </x:c>
      <x:c r="C765" s="13" t="s">
        <x:v>1564</x:v>
      </x:c>
      <x:c r="D765" s="13" t="s">
        <x:v>1533</x:v>
      </x:c>
      <x:c r="E765" s="13" t="s">
        <x:v>1251</x:v>
      </x:c>
      <x:c r="F765" s="13" t="s">
        <x:v>1837</x:v>
      </x:c>
      <x:c r="G765" s="13" t="s">
        <x:v>1289</x:v>
      </x:c>
      <x:c r="H765" s="13" t="str">
        <x:f>IFERROR(VLOOKUP(O765,'정보화기기 명부'!A$2:B$187,2,FALSE),"")</x:f>
        <x:v/>
      </x:c>
      <x:c r="I765" s="13"/>
      <x:c r="J765" s="13"/>
      <x:c r="K765" s="13"/>
      <x:c r="L765" s="13">
        <x:v>20030827</x:v>
      </x:c>
      <x:c r="M765" s="13" t="s">
        <x:v>503</x:v>
      </x:c>
      <x:c r="N765" s="13" t="s">
        <x:v>1965</x:v>
      </x:c>
      <x:c r="O765" s="13" t="s">
        <x:v>1343</x:v>
      </x:c>
      <x:c r="P765" s="202">
        <x:v>80</x:v>
      </x:c>
      <x:c r="Q765" s="13" t="s">
        <x:v>572</x:v>
      </x:c>
      <x:c r="R765" s="13" t="s">
        <x:v>1736</x:v>
      </x:c>
      <x:c r="S765" s="13" t="s">
        <x:v>1354</x:v>
      </x:c>
      <x:c r="T765" s="13" t="s">
        <x:v>3150</x:v>
      </x:c>
      <x:c r="U765" s="13"/>
      <x:c r="V765" s="13" t="s">
        <x:v>797</x:v>
      </x:c>
    </x:row>
    <x:row r="766" spans="1:22" s="14" customFormat="1" ht="13.5" customHeight="1">
      <x:c r="A766" s="13" t="str">
        <x:f>O766</x:f>
        <x:v>김주미(이성아)</x:v>
      </x:c>
      <x:c r="B766" s="25" t="str">
        <x:f>L766&amp;"-"&amp;TEXT(P766,"0000")</x:f>
        <x:v>20030827-0081</x:v>
      </x:c>
      <x:c r="C766" s="13" t="s">
        <x:v>1564</x:v>
      </x:c>
      <x:c r="D766" s="13" t="s">
        <x:v>1533</x:v>
      </x:c>
      <x:c r="E766" s="13" t="s">
        <x:v>1251</x:v>
      </x:c>
      <x:c r="F766" s="13" t="s">
        <x:v>1837</x:v>
      </x:c>
      <x:c r="G766" s="13" t="s">
        <x:v>1289</x:v>
      </x:c>
      <x:c r="H766" s="13" t="str">
        <x:f>IFERROR(VLOOKUP(O766,'정보화기기 명부'!A$2:B$187,2,FALSE),"")</x:f>
        <x:v/>
      </x:c>
      <x:c r="I766" s="13"/>
      <x:c r="J766" s="13"/>
      <x:c r="K766" s="13"/>
      <x:c r="L766" s="13">
        <x:v>20030827</x:v>
      </x:c>
      <x:c r="M766" s="13" t="s">
        <x:v>503</x:v>
      </x:c>
      <x:c r="N766" s="13" t="s">
        <x:v>1965</x:v>
      </x:c>
      <x:c r="O766" s="13" t="s">
        <x:v>621</x:v>
      </x:c>
      <x:c r="P766" s="202">
        <x:v>81</x:v>
      </x:c>
      <x:c r="Q766" s="13" t="s">
        <x:v>572</x:v>
      </x:c>
      <x:c r="R766" s="13" t="s">
        <x:v>1736</x:v>
      </x:c>
      <x:c r="S766" s="13" t="s">
        <x:v>1354</x:v>
      </x:c>
      <x:c r="T766" s="13" t="s">
        <x:v>3150</x:v>
      </x:c>
      <x:c r="U766" s="13"/>
      <x:c r="V766" s="13" t="s">
        <x:v>797</x:v>
      </x:c>
    </x:row>
    <x:row r="767" spans="1:22" s="14" customFormat="1" ht="13.5" customHeight="1">
      <x:c r="A767" s="13" t="str">
        <x:f>O767</x:f>
        <x:v>박찬경</x:v>
      </x:c>
      <x:c r="B767" s="25" t="str">
        <x:f>L767&amp;"-"&amp;TEXT(P767,"0000")</x:f>
        <x:v>20030827-0082</x:v>
      </x:c>
      <x:c r="C767" s="13" t="s">
        <x:v>1564</x:v>
      </x:c>
      <x:c r="D767" s="13" t="s">
        <x:v>1533</x:v>
      </x:c>
      <x:c r="E767" s="13" t="s">
        <x:v>1251</x:v>
      </x:c>
      <x:c r="F767" s="13" t="s">
        <x:v>1837</x:v>
      </x:c>
      <x:c r="G767" s="13" t="s">
        <x:v>1289</x:v>
      </x:c>
      <x:c r="H767" s="13" t="str">
        <x:f>IFERROR(VLOOKUP(O767,'정보화기기 명부'!A$2:B$187,2,FALSE),"")</x:f>
        <x:v/>
      </x:c>
      <x:c r="I767" s="13"/>
      <x:c r="J767" s="13"/>
      <x:c r="K767" s="13"/>
      <x:c r="L767" s="13">
        <x:v>20030827</x:v>
      </x:c>
      <x:c r="M767" s="13" t="s">
        <x:v>503</x:v>
      </x:c>
      <x:c r="N767" s="13" t="s">
        <x:v>1965</x:v>
      </x:c>
      <x:c r="O767" s="13" t="s">
        <x:v>1334</x:v>
      </x:c>
      <x:c r="P767" s="202">
        <x:v>82</x:v>
      </x:c>
      <x:c r="Q767" s="13" t="s">
        <x:v>572</x:v>
      </x:c>
      <x:c r="R767" s="13" t="s">
        <x:v>1736</x:v>
      </x:c>
      <x:c r="S767" s="13" t="s">
        <x:v>1354</x:v>
      </x:c>
      <x:c r="T767" s="13" t="s">
        <x:v>3150</x:v>
      </x:c>
      <x:c r="U767" s="13"/>
      <x:c r="V767" s="13" t="s">
        <x:v>797</x:v>
      </x:c>
    </x:row>
    <x:row r="768" spans="1:22" s="14" customFormat="1" ht="13.5" customHeight="1">
      <x:c r="A768" s="13" t="str">
        <x:f>O768</x:f>
        <x:v>하인자</x:v>
      </x:c>
      <x:c r="B768" s="25" t="str">
        <x:f>L768&amp;"-"&amp;TEXT(P768,"0000")</x:f>
        <x:v>20030827-0083</x:v>
      </x:c>
      <x:c r="C768" s="13" t="s">
        <x:v>1564</x:v>
      </x:c>
      <x:c r="D768" s="13" t="s">
        <x:v>1533</x:v>
      </x:c>
      <x:c r="E768" s="13" t="s">
        <x:v>1251</x:v>
      </x:c>
      <x:c r="F768" s="13" t="s">
        <x:v>1837</x:v>
      </x:c>
      <x:c r="G768" s="13" t="s">
        <x:v>1289</x:v>
      </x:c>
      <x:c r="H768" s="13" t="str">
        <x:f>IFERROR(VLOOKUP(O768,'정보화기기 명부'!A$2:B$187,2,FALSE),"")</x:f>
        <x:v/>
      </x:c>
      <x:c r="I768" s="13"/>
      <x:c r="J768" s="13"/>
      <x:c r="K768" s="13"/>
      <x:c r="L768" s="13">
        <x:v>20030827</x:v>
      </x:c>
      <x:c r="M768" s="13" t="s">
        <x:v>503</x:v>
      </x:c>
      <x:c r="N768" s="13" t="s">
        <x:v>1965</x:v>
      </x:c>
      <x:c r="O768" s="13" t="s">
        <x:v>1417</x:v>
      </x:c>
      <x:c r="P768" s="202">
        <x:v>83</x:v>
      </x:c>
      <x:c r="Q768" s="13" t="s">
        <x:v>572</x:v>
      </x:c>
      <x:c r="R768" s="13" t="s">
        <x:v>1736</x:v>
      </x:c>
      <x:c r="S768" s="13" t="s">
        <x:v>1354</x:v>
      </x:c>
      <x:c r="T768" s="13" t="s">
        <x:v>3150</x:v>
      </x:c>
      <x:c r="U768" s="13"/>
      <x:c r="V768" s="13" t="s">
        <x:v>797</x:v>
      </x:c>
    </x:row>
    <x:row r="769" spans="1:22" s="14" customFormat="1" ht="13.5" customHeight="1">
      <x:c r="A769" s="13" t="str">
        <x:f>O769</x:f>
        <x:v>유미라</x:v>
      </x:c>
      <x:c r="B769" s="25" t="str">
        <x:f>L769&amp;"-"&amp;TEXT(P769,"0000")</x:f>
        <x:v>20030827-0084</x:v>
      </x:c>
      <x:c r="C769" s="13" t="s">
        <x:v>1564</x:v>
      </x:c>
      <x:c r="D769" s="13" t="s">
        <x:v>1533</x:v>
      </x:c>
      <x:c r="E769" s="13" t="s">
        <x:v>1251</x:v>
      </x:c>
      <x:c r="F769" s="13" t="s">
        <x:v>1837</x:v>
      </x:c>
      <x:c r="G769" s="13" t="s">
        <x:v>1289</x:v>
      </x:c>
      <x:c r="H769" s="13" t="str">
        <x:f>IFERROR(VLOOKUP(O769,'정보화기기 명부'!A$2:B$187,2,FALSE),"")</x:f>
        <x:v>진로진학상담부</x:v>
      </x:c>
      <x:c r="I769" s="13"/>
      <x:c r="J769" s="13"/>
      <x:c r="K769" s="13"/>
      <x:c r="L769" s="13">
        <x:v>20030827</x:v>
      </x:c>
      <x:c r="M769" s="13" t="s">
        <x:v>503</x:v>
      </x:c>
      <x:c r="N769" s="13" t="s">
        <x:v>1965</x:v>
      </x:c>
      <x:c r="O769" s="13" t="s">
        <x:v>1201</x:v>
      </x:c>
      <x:c r="P769" s="202">
        <x:v>84</x:v>
      </x:c>
      <x:c r="Q769" s="13" t="s">
        <x:v>572</x:v>
      </x:c>
      <x:c r="R769" s="13" t="s">
        <x:v>1736</x:v>
      </x:c>
      <x:c r="S769" s="13" t="s">
        <x:v>1354</x:v>
      </x:c>
      <x:c r="T769" s="13" t="s">
        <x:v>3150</x:v>
      </x:c>
      <x:c r="U769" s="13"/>
      <x:c r="V769" s="13" t="s">
        <x:v>797</x:v>
      </x:c>
    </x:row>
    <x:row r="770" spans="1:22" s="14" customFormat="1" ht="13.5" customHeight="1">
      <x:c r="A770" s="13" t="str">
        <x:f>O770</x:f>
        <x:v>권은주</x:v>
      </x:c>
      <x:c r="B770" s="25" t="str">
        <x:f>L770&amp;"-"&amp;TEXT(P770,"0000")</x:f>
        <x:v>20030827-0085</x:v>
      </x:c>
      <x:c r="C770" s="13" t="s">
        <x:v>1564</x:v>
      </x:c>
      <x:c r="D770" s="13" t="s">
        <x:v>1533</x:v>
      </x:c>
      <x:c r="E770" s="13" t="s">
        <x:v>1251</x:v>
      </x:c>
      <x:c r="F770" s="13" t="s">
        <x:v>1837</x:v>
      </x:c>
      <x:c r="G770" s="13" t="s">
        <x:v>1289</x:v>
      </x:c>
      <x:c r="H770" s="13" t="str">
        <x:f>IFERROR(VLOOKUP(O770,'정보화기기 명부'!A$2:B$187,2,FALSE),"")</x:f>
        <x:v/>
      </x:c>
      <x:c r="I770" s="13"/>
      <x:c r="J770" s="13"/>
      <x:c r="K770" s="13"/>
      <x:c r="L770" s="13">
        <x:v>20030827</x:v>
      </x:c>
      <x:c r="M770" s="13" t="s">
        <x:v>503</x:v>
      </x:c>
      <x:c r="N770" s="13" t="s">
        <x:v>1965</x:v>
      </x:c>
      <x:c r="O770" s="13" t="s">
        <x:v>1519</x:v>
      </x:c>
      <x:c r="P770" s="202">
        <x:v>85</x:v>
      </x:c>
      <x:c r="Q770" s="13" t="s">
        <x:v>572</x:v>
      </x:c>
      <x:c r="R770" s="13" t="s">
        <x:v>1736</x:v>
      </x:c>
      <x:c r="S770" s="13" t="s">
        <x:v>1354</x:v>
      </x:c>
      <x:c r="T770" s="13" t="s">
        <x:v>3150</x:v>
      </x:c>
      <x:c r="U770" s="13"/>
      <x:c r="V770" s="13" t="s">
        <x:v>797</x:v>
      </x:c>
    </x:row>
    <x:row r="771" spans="1:22" s="14" customFormat="1" ht="13.5" customHeight="1">
      <x:c r="A771" s="13" t="str">
        <x:f>O771</x:f>
        <x:v>전민기</x:v>
      </x:c>
      <x:c r="B771" s="25" t="str">
        <x:f>L771&amp;"-"&amp;TEXT(P771,"0000")</x:f>
        <x:v>20030827-0086</x:v>
      </x:c>
      <x:c r="C771" s="13" t="s">
        <x:v>1564</x:v>
      </x:c>
      <x:c r="D771" s="13" t="s">
        <x:v>1533</x:v>
      </x:c>
      <x:c r="E771" s="13" t="s">
        <x:v>1251</x:v>
      </x:c>
      <x:c r="F771" s="13" t="s">
        <x:v>1837</x:v>
      </x:c>
      <x:c r="G771" s="13" t="s">
        <x:v>1289</x:v>
      </x:c>
      <x:c r="H771" s="13" t="str">
        <x:f>IFERROR(VLOOKUP(O771,'정보화기기 명부'!A$2:B$187,2,FALSE),"")</x:f>
        <x:v/>
      </x:c>
      <x:c r="I771" s="13"/>
      <x:c r="J771" s="13"/>
      <x:c r="K771" s="13"/>
      <x:c r="L771" s="13">
        <x:v>20030827</x:v>
      </x:c>
      <x:c r="M771" s="13" t="s">
        <x:v>503</x:v>
      </x:c>
      <x:c r="N771" s="13" t="s">
        <x:v>1965</x:v>
      </x:c>
      <x:c r="O771" s="13" t="s">
        <x:v>1341</x:v>
      </x:c>
      <x:c r="P771" s="202">
        <x:v>86</x:v>
      </x:c>
      <x:c r="Q771" s="13" t="s">
        <x:v>572</x:v>
      </x:c>
      <x:c r="R771" s="13" t="s">
        <x:v>1736</x:v>
      </x:c>
      <x:c r="S771" s="13" t="s">
        <x:v>1354</x:v>
      </x:c>
      <x:c r="T771" s="13" t="s">
        <x:v>3150</x:v>
      </x:c>
      <x:c r="U771" s="13"/>
      <x:c r="V771" s="13" t="s">
        <x:v>797</x:v>
      </x:c>
    </x:row>
    <x:row r="772" spans="1:22" s="14" customFormat="1" ht="13.5" customHeight="1">
      <x:c r="A772" s="13" t="str">
        <x:f>O772</x:f>
        <x:v>이기영</x:v>
      </x:c>
      <x:c r="B772" s="25" t="str">
        <x:f>L772&amp;"-"&amp;TEXT(P772,"0000")</x:f>
        <x:v>20030827-0087</x:v>
      </x:c>
      <x:c r="C772" s="13" t="s">
        <x:v>1564</x:v>
      </x:c>
      <x:c r="D772" s="13" t="s">
        <x:v>1533</x:v>
      </x:c>
      <x:c r="E772" s="13" t="s">
        <x:v>1251</x:v>
      </x:c>
      <x:c r="F772" s="13" t="s">
        <x:v>1837</x:v>
      </x:c>
      <x:c r="G772" s="13" t="s">
        <x:v>1289</x:v>
      </x:c>
      <x:c r="H772" s="13" t="str">
        <x:f>IFERROR(VLOOKUP(O772,'정보화기기 명부'!A$2:B$187,2,FALSE),"")</x:f>
        <x:v/>
      </x:c>
      <x:c r="I772" s="13"/>
      <x:c r="J772" s="13"/>
      <x:c r="K772" s="13"/>
      <x:c r="L772" s="13">
        <x:v>20030827</x:v>
      </x:c>
      <x:c r="M772" s="13" t="s">
        <x:v>503</x:v>
      </x:c>
      <x:c r="N772" s="13" t="s">
        <x:v>1965</x:v>
      </x:c>
      <x:c r="O772" s="13" t="s">
        <x:v>1449</x:v>
      </x:c>
      <x:c r="P772" s="202">
        <x:v>87</x:v>
      </x:c>
      <x:c r="Q772" s="13" t="s">
        <x:v>572</x:v>
      </x:c>
      <x:c r="R772" s="13" t="s">
        <x:v>1736</x:v>
      </x:c>
      <x:c r="S772" s="13" t="s">
        <x:v>1354</x:v>
      </x:c>
      <x:c r="T772" s="13" t="s">
        <x:v>3150</x:v>
      </x:c>
      <x:c r="U772" s="13"/>
      <x:c r="V772" s="13" t="s">
        <x:v>797</x:v>
      </x:c>
    </x:row>
    <x:row r="773" spans="1:22" s="14" customFormat="1" ht="13.5" customHeight="1">
      <x:c r="A773" s="13" t="str">
        <x:f>O773</x:f>
        <x:v>권지란</x:v>
      </x:c>
      <x:c r="B773" s="25" t="str">
        <x:f>L773&amp;"-"&amp;TEXT(P773,"0000")</x:f>
        <x:v>20030827-0088</x:v>
      </x:c>
      <x:c r="C773" s="13" t="s">
        <x:v>1564</x:v>
      </x:c>
      <x:c r="D773" s="13" t="s">
        <x:v>1533</x:v>
      </x:c>
      <x:c r="E773" s="13" t="s">
        <x:v>1251</x:v>
      </x:c>
      <x:c r="F773" s="13" t="s">
        <x:v>1837</x:v>
      </x:c>
      <x:c r="G773" s="13" t="s">
        <x:v>1289</x:v>
      </x:c>
      <x:c r="H773" s="13" t="str">
        <x:f>IFERROR(VLOOKUP(O773,'정보화기기 명부'!A$2:B$187,2,FALSE),"")</x:f>
        <x:v/>
      </x:c>
      <x:c r="I773" s="13"/>
      <x:c r="J773" s="13"/>
      <x:c r="K773" s="13"/>
      <x:c r="L773" s="13">
        <x:v>20030827</x:v>
      </x:c>
      <x:c r="M773" s="13" t="s">
        <x:v>503</x:v>
      </x:c>
      <x:c r="N773" s="13" t="s">
        <x:v>1965</x:v>
      </x:c>
      <x:c r="O773" s="13" t="s">
        <x:v>1388</x:v>
      </x:c>
      <x:c r="P773" s="202">
        <x:v>88</x:v>
      </x:c>
      <x:c r="Q773" s="13" t="s">
        <x:v>572</x:v>
      </x:c>
      <x:c r="R773" s="13" t="s">
        <x:v>1736</x:v>
      </x:c>
      <x:c r="S773" s="13" t="s">
        <x:v>1354</x:v>
      </x:c>
      <x:c r="T773" s="13" t="s">
        <x:v>3150</x:v>
      </x:c>
      <x:c r="U773" s="13"/>
      <x:c r="V773" s="13" t="s">
        <x:v>797</x:v>
      </x:c>
    </x:row>
    <x:row r="774" spans="1:22" s="14" customFormat="1" ht="13.5" customHeight="1">
      <x:c r="A774" s="13" t="str">
        <x:f>O774</x:f>
        <x:v>최은희</x:v>
      </x:c>
      <x:c r="B774" s="25" t="str">
        <x:f>L774&amp;"-"&amp;TEXT(P774,"0000")</x:f>
        <x:v>20030827-0089</x:v>
      </x:c>
      <x:c r="C774" s="13" t="s">
        <x:v>1564</x:v>
      </x:c>
      <x:c r="D774" s="13" t="s">
        <x:v>1533</x:v>
      </x:c>
      <x:c r="E774" s="13" t="s">
        <x:v>1251</x:v>
      </x:c>
      <x:c r="F774" s="13" t="s">
        <x:v>1837</x:v>
      </x:c>
      <x:c r="G774" s="13" t="s">
        <x:v>1289</x:v>
      </x:c>
      <x:c r="H774" s="13" t="str">
        <x:f>IFERROR(VLOOKUP(O774,'정보화기기 명부'!A$2:B$187,2,FALSE),"")</x:f>
        <x:v/>
      </x:c>
      <x:c r="I774" s="13"/>
      <x:c r="J774" s="13"/>
      <x:c r="K774" s="13"/>
      <x:c r="L774" s="13">
        <x:v>20030827</x:v>
      </x:c>
      <x:c r="M774" s="13" t="s">
        <x:v>503</x:v>
      </x:c>
      <x:c r="N774" s="13" t="s">
        <x:v>1965</x:v>
      </x:c>
      <x:c r="O774" s="13" t="s">
        <x:v>1387</x:v>
      </x:c>
      <x:c r="P774" s="202">
        <x:v>89</x:v>
      </x:c>
      <x:c r="Q774" s="13" t="s">
        <x:v>572</x:v>
      </x:c>
      <x:c r="R774" s="13" t="s">
        <x:v>1736</x:v>
      </x:c>
      <x:c r="S774" s="13" t="s">
        <x:v>1354</x:v>
      </x:c>
      <x:c r="T774" s="13" t="s">
        <x:v>3150</x:v>
      </x:c>
      <x:c r="U774" s="13"/>
      <x:c r="V774" s="13" t="s">
        <x:v>797</x:v>
      </x:c>
    </x:row>
    <x:row r="775" spans="1:22" s="14" customFormat="1" ht="13.5" customHeight="1">
      <x:c r="A775" s="13" t="str">
        <x:f>O775</x:f>
        <x:v>전성범</x:v>
      </x:c>
      <x:c r="B775" s="25" t="str">
        <x:f>L775&amp;"-"&amp;TEXT(P775,"0000")</x:f>
        <x:v>20030827-0090</x:v>
      </x:c>
      <x:c r="C775" s="13" t="s">
        <x:v>1564</x:v>
      </x:c>
      <x:c r="D775" s="13" t="s">
        <x:v>1533</x:v>
      </x:c>
      <x:c r="E775" s="13" t="s">
        <x:v>1251</x:v>
      </x:c>
      <x:c r="F775" s="13" t="s">
        <x:v>1837</x:v>
      </x:c>
      <x:c r="G775" s="13" t="s">
        <x:v>1289</x:v>
      </x:c>
      <x:c r="H775" s="13" t="str">
        <x:f>IFERROR(VLOOKUP(O775,'정보화기기 명부'!A$2:B$187,2,FALSE),"")</x:f>
        <x:v/>
      </x:c>
      <x:c r="I775" s="13"/>
      <x:c r="J775" s="13"/>
      <x:c r="K775" s="13"/>
      <x:c r="L775" s="13">
        <x:v>20030827</x:v>
      </x:c>
      <x:c r="M775" s="13" t="s">
        <x:v>503</x:v>
      </x:c>
      <x:c r="N775" s="13" t="s">
        <x:v>1965</x:v>
      </x:c>
      <x:c r="O775" s="13" t="s">
        <x:v>1374</x:v>
      </x:c>
      <x:c r="P775" s="202">
        <x:v>90</x:v>
      </x:c>
      <x:c r="Q775" s="13" t="s">
        <x:v>572</x:v>
      </x:c>
      <x:c r="R775" s="13" t="s">
        <x:v>1736</x:v>
      </x:c>
      <x:c r="S775" s="13" t="s">
        <x:v>1354</x:v>
      </x:c>
      <x:c r="T775" s="13" t="s">
        <x:v>3150</x:v>
      </x:c>
      <x:c r="U775" s="13"/>
      <x:c r="V775" s="13" t="s">
        <x:v>797</x:v>
      </x:c>
    </x:row>
    <x:row r="776" spans="1:22" s="14" customFormat="1" ht="13.5" customHeight="1">
      <x:c r="A776" s="13" t="str">
        <x:f>O776</x:f>
        <x:v>이정희</x:v>
      </x:c>
      <x:c r="B776" s="25" t="str">
        <x:f>L776&amp;"-"&amp;TEXT(P776,"0000")</x:f>
        <x:v>20030827-0091</x:v>
      </x:c>
      <x:c r="C776" s="13" t="s">
        <x:v>1564</x:v>
      </x:c>
      <x:c r="D776" s="13" t="s">
        <x:v>1533</x:v>
      </x:c>
      <x:c r="E776" s="13" t="s">
        <x:v>1251</x:v>
      </x:c>
      <x:c r="F776" s="13" t="s">
        <x:v>1837</x:v>
      </x:c>
      <x:c r="G776" s="13" t="s">
        <x:v>1289</x:v>
      </x:c>
      <x:c r="H776" s="13" t="str">
        <x:f>IFERROR(VLOOKUP(O776,'정보화기기 명부'!A$2:B$187,2,FALSE),"")</x:f>
        <x:v/>
      </x:c>
      <x:c r="I776" s="13"/>
      <x:c r="J776" s="13"/>
      <x:c r="K776" s="13"/>
      <x:c r="L776" s="13">
        <x:v>20030827</x:v>
      </x:c>
      <x:c r="M776" s="13" t="s">
        <x:v>503</x:v>
      </x:c>
      <x:c r="N776" s="13" t="s">
        <x:v>1965</x:v>
      </x:c>
      <x:c r="O776" s="13" t="s">
        <x:v>1291</x:v>
      </x:c>
      <x:c r="P776" s="202">
        <x:v>91</x:v>
      </x:c>
      <x:c r="Q776" s="13" t="s">
        <x:v>572</x:v>
      </x:c>
      <x:c r="R776" s="13" t="s">
        <x:v>1736</x:v>
      </x:c>
      <x:c r="S776" s="13" t="s">
        <x:v>1354</x:v>
      </x:c>
      <x:c r="T776" s="13" t="s">
        <x:v>3150</x:v>
      </x:c>
      <x:c r="U776" s="13"/>
      <x:c r="V776" s="13" t="s">
        <x:v>797</x:v>
      </x:c>
    </x:row>
    <x:row r="777" spans="1:22" s="14" customFormat="1" ht="13.5" customHeight="1">
      <x:c r="A777" s="13" t="str">
        <x:f>O777</x:f>
        <x:v>이성호</x:v>
      </x:c>
      <x:c r="B777" s="25" t="str">
        <x:f>L777&amp;"-"&amp;TEXT(P777,"0000")</x:f>
        <x:v>20030827-0092</x:v>
      </x:c>
      <x:c r="C777" s="13" t="s">
        <x:v>1564</x:v>
      </x:c>
      <x:c r="D777" s="13" t="s">
        <x:v>1533</x:v>
      </x:c>
      <x:c r="E777" s="13" t="s">
        <x:v>1251</x:v>
      </x:c>
      <x:c r="F777" s="13" t="s">
        <x:v>1837</x:v>
      </x:c>
      <x:c r="G777" s="13" t="s">
        <x:v>1289</x:v>
      </x:c>
      <x:c r="H777" s="13" t="str">
        <x:f>IFERROR(VLOOKUP(O777,'정보화기기 명부'!A$2:B$187,2,FALSE),"")</x:f>
        <x:v/>
      </x:c>
      <x:c r="I777" s="13"/>
      <x:c r="J777" s="13"/>
      <x:c r="K777" s="13"/>
      <x:c r="L777" s="13">
        <x:v>20030827</x:v>
      </x:c>
      <x:c r="M777" s="13" t="s">
        <x:v>503</x:v>
      </x:c>
      <x:c r="N777" s="13" t="s">
        <x:v>1965</x:v>
      </x:c>
      <x:c r="O777" s="13" t="s">
        <x:v>1342</x:v>
      </x:c>
      <x:c r="P777" s="202">
        <x:v>92</x:v>
      </x:c>
      <x:c r="Q777" s="13" t="s">
        <x:v>572</x:v>
      </x:c>
      <x:c r="R777" s="13" t="s">
        <x:v>1736</x:v>
      </x:c>
      <x:c r="S777" s="13" t="s">
        <x:v>1354</x:v>
      </x:c>
      <x:c r="T777" s="13" t="s">
        <x:v>3150</x:v>
      </x:c>
      <x:c r="U777" s="13"/>
      <x:c r="V777" s="13" t="s">
        <x:v>797</x:v>
      </x:c>
    </x:row>
    <x:row r="778" spans="1:22" s="14" customFormat="1" ht="13.5" customHeight="1">
      <x:c r="A778" s="13" t="str">
        <x:f>O778</x:f>
        <x:v>박경숙</x:v>
      </x:c>
      <x:c r="B778" s="25" t="str">
        <x:f>L778&amp;"-"&amp;TEXT(P778,"0000")</x:f>
        <x:v>20030827-0100</x:v>
      </x:c>
      <x:c r="C778" s="13" t="s">
        <x:v>1564</x:v>
      </x:c>
      <x:c r="D778" s="13" t="s">
        <x:v>1533</x:v>
      </x:c>
      <x:c r="E778" s="13" t="s">
        <x:v>1251</x:v>
      </x:c>
      <x:c r="F778" s="13" t="s">
        <x:v>1837</x:v>
      </x:c>
      <x:c r="G778" s="13" t="s">
        <x:v>1289</x:v>
      </x:c>
      <x:c r="H778" s="13" t="str">
        <x:f>IFERROR(VLOOKUP(O778,'정보화기기 명부'!A$2:B$187,2,FALSE),"")</x:f>
        <x:v/>
      </x:c>
      <x:c r="I778" s="13"/>
      <x:c r="J778" s="13"/>
      <x:c r="K778" s="13"/>
      <x:c r="L778" s="13">
        <x:v>20030827</x:v>
      </x:c>
      <x:c r="M778" s="13" t="s">
        <x:v>503</x:v>
      </x:c>
      <x:c r="N778" s="13" t="s">
        <x:v>1965</x:v>
      </x:c>
      <x:c r="O778" s="13" t="s">
        <x:v>1340</x:v>
      </x:c>
      <x:c r="P778" s="202">
        <x:v>100</x:v>
      </x:c>
      <x:c r="Q778" s="13" t="s">
        <x:v>572</x:v>
      </x:c>
      <x:c r="R778" s="13" t="s">
        <x:v>1736</x:v>
      </x:c>
      <x:c r="S778" s="13" t="s">
        <x:v>1354</x:v>
      </x:c>
      <x:c r="T778" s="13" t="s">
        <x:v>3150</x:v>
      </x:c>
      <x:c r="U778" s="13"/>
      <x:c r="V778" s="13" t="s">
        <x:v>797</x:v>
      </x:c>
    </x:row>
    <x:row r="779" spans="1:22" s="14" customFormat="1" ht="13.5" customHeight="1">
      <x:c r="A779" s="13" t="str">
        <x:f>O779</x:f>
        <x:v>권현진</x:v>
      </x:c>
      <x:c r="B779" s="25" t="str">
        <x:f>L779&amp;"-"&amp;TEXT(P779,"0000")</x:f>
        <x:v>20030827-0102</x:v>
      </x:c>
      <x:c r="C779" s="13" t="s">
        <x:v>1564</x:v>
      </x:c>
      <x:c r="D779" s="13" t="s">
        <x:v>1533</x:v>
      </x:c>
      <x:c r="E779" s="13" t="s">
        <x:v>1251</x:v>
      </x:c>
      <x:c r="F779" s="13" t="s">
        <x:v>1837</x:v>
      </x:c>
      <x:c r="G779" s="13" t="s">
        <x:v>1289</x:v>
      </x:c>
      <x:c r="H779" s="13" t="str">
        <x:f>IFERROR(VLOOKUP(O779,'정보화기기 명부'!A$2:B$187,2,FALSE),"")</x:f>
        <x:v/>
      </x:c>
      <x:c r="I779" s="13"/>
      <x:c r="J779" s="13"/>
      <x:c r="K779" s="13"/>
      <x:c r="L779" s="13">
        <x:v>20030827</x:v>
      </x:c>
      <x:c r="M779" s="13" t="s">
        <x:v>503</x:v>
      </x:c>
      <x:c r="N779" s="13" t="s">
        <x:v>1965</x:v>
      </x:c>
      <x:c r="O779" s="13" t="s">
        <x:v>1367</x:v>
      </x:c>
      <x:c r="P779" s="202">
        <x:v>102</x:v>
      </x:c>
      <x:c r="Q779" s="13" t="s">
        <x:v>572</x:v>
      </x:c>
      <x:c r="R779" s="13" t="s">
        <x:v>1736</x:v>
      </x:c>
      <x:c r="S779" s="13" t="s">
        <x:v>1354</x:v>
      </x:c>
      <x:c r="T779" s="13" t="s">
        <x:v>3150</x:v>
      </x:c>
      <x:c r="U779" s="13"/>
      <x:c r="V779" s="13" t="s">
        <x:v>797</x:v>
      </x:c>
    </x:row>
    <x:row r="780" spans="1:22" s="14" customFormat="1" ht="13.5" customHeight="1">
      <x:c r="A780" s="13" t="str">
        <x:f>O780</x:f>
        <x:v>박성은</x:v>
      </x:c>
      <x:c r="B780" s="25" t="str">
        <x:f>L780&amp;"-"&amp;TEXT(P780,"0000")</x:f>
        <x:v>20030827-0192</x:v>
      </x:c>
      <x:c r="C780" s="13" t="s">
        <x:v>1564</x:v>
      </x:c>
      <x:c r="D780" s="13" t="s">
        <x:v>1533</x:v>
      </x:c>
      <x:c r="E780" s="13" t="s">
        <x:v>1251</x:v>
      </x:c>
      <x:c r="F780" s="13" t="s">
        <x:v>1837</x:v>
      </x:c>
      <x:c r="G780" s="13" t="s">
        <x:v>1289</x:v>
      </x:c>
      <x:c r="H780" s="13" t="str">
        <x:f>IFERROR(VLOOKUP(O780,'정보화기기 명부'!A$2:B$187,2,FALSE),"")</x:f>
        <x:v/>
      </x:c>
      <x:c r="I780" s="13"/>
      <x:c r="J780" s="13"/>
      <x:c r="K780" s="13"/>
      <x:c r="L780" s="13">
        <x:v>20030827</x:v>
      </x:c>
      <x:c r="M780" s="13" t="s">
        <x:v>503</x:v>
      </x:c>
      <x:c r="N780" s="13" t="s">
        <x:v>1965</x:v>
      </x:c>
      <x:c r="O780" s="13" t="s">
        <x:v>1362</x:v>
      </x:c>
      <x:c r="P780" s="202">
        <x:v>192</x:v>
      </x:c>
      <x:c r="Q780" s="13" t="s">
        <x:v>572</x:v>
      </x:c>
      <x:c r="R780" s="13" t="s">
        <x:v>1736</x:v>
      </x:c>
      <x:c r="S780" s="13" t="s">
        <x:v>1354</x:v>
      </x:c>
      <x:c r="T780" s="13" t="s">
        <x:v>3150</x:v>
      </x:c>
      <x:c r="U780" s="13"/>
      <x:c r="V780" s="13" t="s">
        <x:v>797</x:v>
      </x:c>
    </x:row>
    <x:row r="781" spans="1:22" s="14" customFormat="1" ht="13.5" customHeight="1">
      <x:c r="A781" s="13" t="str">
        <x:f>O781</x:f>
        <x:v>이지영</x:v>
      </x:c>
      <x:c r="B781" s="25" t="str">
        <x:f>L781&amp;"-"&amp;TEXT(P781,"0000")</x:f>
        <x:v>20030827-0197</x:v>
      </x:c>
      <x:c r="C781" s="13" t="s">
        <x:v>1564</x:v>
      </x:c>
      <x:c r="D781" s="13" t="s">
        <x:v>1533</x:v>
      </x:c>
      <x:c r="E781" s="13" t="s">
        <x:v>1251</x:v>
      </x:c>
      <x:c r="F781" s="13" t="s">
        <x:v>1837</x:v>
      </x:c>
      <x:c r="G781" s="13" t="s">
        <x:v>1289</x:v>
      </x:c>
      <x:c r="H781" s="13" t="str">
        <x:f>IFERROR(VLOOKUP(O781,'정보화기기 명부'!A$2:B$187,2,FALSE),"")</x:f>
        <x:v/>
      </x:c>
      <x:c r="I781" s="13"/>
      <x:c r="J781" s="13"/>
      <x:c r="K781" s="13"/>
      <x:c r="L781" s="13">
        <x:v>20030827</x:v>
      </x:c>
      <x:c r="M781" s="13" t="s">
        <x:v>503</x:v>
      </x:c>
      <x:c r="N781" s="13" t="s">
        <x:v>1965</x:v>
      </x:c>
      <x:c r="O781" s="13" t="s">
        <x:v>1385</x:v>
      </x:c>
      <x:c r="P781" s="202">
        <x:v>197</x:v>
      </x:c>
      <x:c r="Q781" s="13" t="s">
        <x:v>572</x:v>
      </x:c>
      <x:c r="R781" s="13" t="s">
        <x:v>1736</x:v>
      </x:c>
      <x:c r="S781" s="13" t="s">
        <x:v>1354</x:v>
      </x:c>
      <x:c r="T781" s="13" t="s">
        <x:v>3150</x:v>
      </x:c>
      <x:c r="U781" s="13"/>
      <x:c r="V781" s="13" t="s">
        <x:v>797</x:v>
      </x:c>
    </x:row>
    <x:row r="782" spans="1:22" s="14" customFormat="1" ht="13.5" customHeight="1">
      <x:c r="A782" s="13" t="str">
        <x:f>O782</x:f>
        <x:v>김현주</x:v>
      </x:c>
      <x:c r="B782" s="25" t="str">
        <x:f>L782&amp;"-"&amp;TEXT(P782,"0000")</x:f>
        <x:v>20030827-0198</x:v>
      </x:c>
      <x:c r="C782" s="13" t="s">
        <x:v>1564</x:v>
      </x:c>
      <x:c r="D782" s="13" t="s">
        <x:v>1533</x:v>
      </x:c>
      <x:c r="E782" s="13" t="s">
        <x:v>1251</x:v>
      </x:c>
      <x:c r="F782" s="13" t="s">
        <x:v>1837</x:v>
      </x:c>
      <x:c r="G782" s="13" t="s">
        <x:v>1289</x:v>
      </x:c>
      <x:c r="H782" s="13" t="str">
        <x:f>IFERROR(VLOOKUP(O782,'정보화기기 명부'!A$2:B$187,2,FALSE),"")</x:f>
        <x:v/>
      </x:c>
      <x:c r="I782" s="13"/>
      <x:c r="J782" s="13"/>
      <x:c r="K782" s="13"/>
      <x:c r="L782" s="13">
        <x:v>20030827</x:v>
      </x:c>
      <x:c r="M782" s="13" t="s">
        <x:v>503</x:v>
      </x:c>
      <x:c r="N782" s="13" t="s">
        <x:v>1965</x:v>
      </x:c>
      <x:c r="O782" s="13" t="s">
        <x:v>1327</x:v>
      </x:c>
      <x:c r="P782" s="202">
        <x:v>198</x:v>
      </x:c>
      <x:c r="Q782" s="13" t="s">
        <x:v>572</x:v>
      </x:c>
      <x:c r="R782" s="13" t="s">
        <x:v>1736</x:v>
      </x:c>
      <x:c r="S782" s="13" t="s">
        <x:v>1354</x:v>
      </x:c>
      <x:c r="T782" s="13" t="s">
        <x:v>3150</x:v>
      </x:c>
      <x:c r="U782" s="13"/>
      <x:c r="V782" s="13" t="s">
        <x:v>797</x:v>
      </x:c>
    </x:row>
    <x:row r="783" spans="1:22" s="14" customFormat="1" ht="13.5" customHeight="1">
      <x:c r="A783" s="13" t="str">
        <x:f>O783</x:f>
        <x:v>정경란</x:v>
      </x:c>
      <x:c r="B783" s="25" t="str">
        <x:f>L783&amp;"-"&amp;TEXT(P783,"0000")</x:f>
        <x:v>20030529-0191</x:v>
      </x:c>
      <x:c r="C783" s="13" t="s">
        <x:v>1978</x:v>
      </x:c>
      <x:c r="D783" s="13" t="s">
        <x:v>1533</x:v>
      </x:c>
      <x:c r="E783" s="13" t="s">
        <x:v>1543</x:v>
      </x:c>
      <x:c r="F783" s="13" t="s">
        <x:v>3263</x:v>
      </x:c>
      <x:c r="G783" s="13" t="s">
        <x:v>1289</x:v>
      </x:c>
      <x:c r="H783" s="13" t="str">
        <x:f>IFERROR(VLOOKUP(O783,'정보화기기 명부'!A$2:B$187,2,FALSE),"")</x:f>
        <x:v/>
      </x:c>
      <x:c r="I783" s="13"/>
      <x:c r="J783" s="13"/>
      <x:c r="K783" s="13"/>
      <x:c r="L783" s="13">
        <x:v>20030529</x:v>
      </x:c>
      <x:c r="M783" s="13" t="s">
        <x:v>636</x:v>
      </x:c>
      <x:c r="N783" s="13" t="s">
        <x:v>1965</x:v>
      </x:c>
      <x:c r="O783" s="13" t="s">
        <x:v>1397</x:v>
      </x:c>
      <x:c r="P783" s="202">
        <x:v>191</x:v>
      </x:c>
      <x:c r="Q783" s="13" t="s">
        <x:v>572</x:v>
      </x:c>
      <x:c r="R783" s="13" t="s">
        <x:v>1736</x:v>
      </x:c>
      <x:c r="S783" s="13" t="s">
        <x:v>1301</x:v>
      </x:c>
      <x:c r="T783" s="13" t="s">
        <x:v>3150</x:v>
      </x:c>
      <x:c r="U783" s="13"/>
      <x:c r="V783" s="13" t="s">
        <x:v>2030</x:v>
      </x:c>
    </x:row>
    <x:row r="784" spans="1:22" s="14" customFormat="1" ht="13.5" customHeight="1">
      <x:c r="A784" s="13" t="str">
        <x:f>O784</x:f>
        <x:v>스캐너연결</x:v>
      </x:c>
      <x:c r="B784" s="25" t="str">
        <x:f>L784&amp;"-"&amp;TEXT(P784,"0000")</x:f>
        <x:v>20030529-0190</x:v>
      </x:c>
      <x:c r="C784" s="13" t="s">
        <x:v>1978</x:v>
      </x:c>
      <x:c r="D784" s="13" t="s">
        <x:v>1533</x:v>
      </x:c>
      <x:c r="E784" s="13" t="s">
        <x:v>1543</x:v>
      </x:c>
      <x:c r="F784" s="13" t="s">
        <x:v>1998</x:v>
      </x:c>
      <x:c r="G784" s="13" t="s">
        <x:v>1289</x:v>
      </x:c>
      <x:c r="H784" s="13" t="str">
        <x:f>IFERROR(VLOOKUP(O784,'정보화기기 명부'!A$2:B$187,2,FALSE),"")</x:f>
        <x:v/>
      </x:c>
      <x:c r="I784" s="13"/>
      <x:c r="J784" s="13"/>
      <x:c r="K784" s="13"/>
      <x:c r="L784" s="13">
        <x:v>20030529</x:v>
      </x:c>
      <x:c r="M784" s="13" t="s">
        <x:v>636</x:v>
      </x:c>
      <x:c r="N784" s="13" t="s">
        <x:v>1965</x:v>
      </x:c>
      <x:c r="O784" s="13" t="s">
        <x:v>1997</x:v>
      </x:c>
      <x:c r="P784" s="202">
        <x:v>190</x:v>
      </x:c>
      <x:c r="Q784" s="13" t="s">
        <x:v>572</x:v>
      </x:c>
      <x:c r="R784" s="13" t="s">
        <x:v>1736</x:v>
      </x:c>
      <x:c r="S784" s="13" t="s">
        <x:v>1301</x:v>
      </x:c>
      <x:c r="T784" s="13" t="s">
        <x:v>3150</x:v>
      </x:c>
      <x:c r="U784" s="13"/>
      <x:c r="V784" s="13" t="s">
        <x:v>2030</x:v>
      </x:c>
    </x:row>
    <x:row r="785" spans="1:22" s="14" customFormat="1" ht="13.5" customHeight="1">
      <x:c r="A785" s="13" t="str">
        <x:f>O785</x:f>
        <x:v>한남숙</x:v>
      </x:c>
      <x:c r="B785" s="25" t="str">
        <x:f>L785&amp;"-"&amp;TEXT(P785,"0000")</x:f>
        <x:v>20030520-0224</x:v>
      </x:c>
      <x:c r="C785" s="13" t="s">
        <x:v>1978</x:v>
      </x:c>
      <x:c r="D785" s="13" t="s">
        <x:v>1533</x:v>
      </x:c>
      <x:c r="E785" s="13" t="s">
        <x:v>1543</x:v>
      </x:c>
      <x:c r="F785" s="13" t="s">
        <x:v>3129</x:v>
      </x:c>
      <x:c r="G785" s="13" t="s">
        <x:v>1266</x:v>
      </x:c>
      <x:c r="H785" s="13" t="str">
        <x:f>IFERROR(VLOOKUP(O785,'정보화기기 명부'!A$2:B$187,2,FALSE),"")</x:f>
        <x:v/>
      </x:c>
      <x:c r="I785" s="13"/>
      <x:c r="J785" s="13"/>
      <x:c r="K785" s="13"/>
      <x:c r="L785" s="13">
        <x:v>20030520</x:v>
      </x:c>
      <x:c r="M785" s="13" t="s">
        <x:v>629</x:v>
      </x:c>
      <x:c r="N785" s="13" t="s">
        <x:v>2034</x:v>
      </x:c>
      <x:c r="O785" s="13" t="s">
        <x:v>1371</x:v>
      </x:c>
      <x:c r="P785" s="202">
        <x:v>224</x:v>
      </x:c>
      <x:c r="Q785" s="13" t="s">
        <x:v>572</x:v>
      </x:c>
      <x:c r="R785" s="13" t="s">
        <x:v>2013</x:v>
      </x:c>
      <x:c r="S785" s="13" t="s">
        <x:v>1355</x:v>
      </x:c>
      <x:c r="T785" s="13" t="s">
        <x:v>1981</x:v>
      </x:c>
      <x:c r="U785" s="13"/>
      <x:c r="V785" s="13" t="s">
        <x:v>2030</x:v>
      </x:c>
    </x:row>
    <x:row r="786" spans="1:22" s="14" customFormat="1" ht="13.5" customHeight="1">
      <x:c r="A786" s="13" t="str">
        <x:f>O786</x:f>
        <x:v>김흥태</x:v>
      </x:c>
      <x:c r="B786" s="25" t="str">
        <x:f>L786&amp;"-"&amp;TEXT(P786,"0000")</x:f>
        <x:v>20030228-0014</x:v>
      </x:c>
      <x:c r="C786" s="13" t="s">
        <x:v>1564</x:v>
      </x:c>
      <x:c r="D786" s="13" t="s">
        <x:v>1533</x:v>
      </x:c>
      <x:c r="E786" s="13" t="s">
        <x:v>1251</x:v>
      </x:c>
      <x:c r="F786" s="13" t="s">
        <x:v>498</x:v>
      </x:c>
      <x:c r="G786" s="13" t="s">
        <x:v>1537</x:v>
      </x:c>
      <x:c r="H786" s="13" t="str">
        <x:f>IFERROR(VLOOKUP(O786,'정보화기기 명부'!A$2:B$187,2,FALSE),"")</x:f>
        <x:v/>
      </x:c>
      <x:c r="I786" s="13"/>
      <x:c r="J786" s="13"/>
      <x:c r="K786" s="13"/>
      <x:c r="L786" s="13">
        <x:v>20030228</x:v>
      </x:c>
      <x:c r="M786" s="13" t="s">
        <x:v>1</x:v>
      </x:c>
      <x:c r="N786" s="13" t="s">
        <x:v>1965</x:v>
      </x:c>
      <x:c r="O786" s="13" t="s">
        <x:v>1427</x:v>
      </x:c>
      <x:c r="P786" s="202">
        <x:v>14</x:v>
      </x:c>
      <x:c r="Q786" s="13" t="s">
        <x:v>572</x:v>
      </x:c>
      <x:c r="R786" s="13" t="s">
        <x:v>1709</x:v>
      </x:c>
      <x:c r="S786" s="13" t="s">
        <x:v>1301</x:v>
      </x:c>
      <x:c r="T786" s="13" t="s">
        <x:v>1320</x:v>
      </x:c>
      <x:c r="U786" s="13"/>
      <x:c r="V786" s="13" t="s">
        <x:v>797</x:v>
      </x:c>
    </x:row>
    <x:row r="787" spans="1:22" s="14" customFormat="1" ht="13.5" customHeight="1">
      <x:c r="A787" s="13" t="str">
        <x:f>O787</x:f>
        <x:v>천윤경</x:v>
      </x:c>
      <x:c r="B787" s="25" t="str">
        <x:f>L787&amp;"-"&amp;TEXT(P787,"0000")</x:f>
        <x:v>20030228-0095</x:v>
      </x:c>
      <x:c r="C787" s="13" t="s">
        <x:v>1564</x:v>
      </x:c>
      <x:c r="D787" s="13" t="s">
        <x:v>1533</x:v>
      </x:c>
      <x:c r="E787" s="13" t="s">
        <x:v>1251</x:v>
      </x:c>
      <x:c r="F787" s="13" t="s">
        <x:v>498</x:v>
      </x:c>
      <x:c r="G787" s="13" t="s">
        <x:v>1537</x:v>
      </x:c>
      <x:c r="H787" s="13" t="str">
        <x:f>IFERROR(VLOOKUP(O787,'정보화기기 명부'!A$2:B$187,2,FALSE),"")</x:f>
        <x:v/>
      </x:c>
      <x:c r="I787" s="13"/>
      <x:c r="J787" s="13"/>
      <x:c r="K787" s="13"/>
      <x:c r="L787" s="13">
        <x:v>20030228</x:v>
      </x:c>
      <x:c r="M787" s="13" t="s">
        <x:v>1</x:v>
      </x:c>
      <x:c r="N787" s="13" t="s">
        <x:v>1965</x:v>
      </x:c>
      <x:c r="O787" s="13" t="s">
        <x:v>1440</x:v>
      </x:c>
      <x:c r="P787" s="202">
        <x:v>95</x:v>
      </x:c>
      <x:c r="Q787" s="13" t="s">
        <x:v>572</x:v>
      </x:c>
      <x:c r="R787" s="13" t="s">
        <x:v>1709</x:v>
      </x:c>
      <x:c r="S787" s="13" t="s">
        <x:v>1301</x:v>
      </x:c>
      <x:c r="T787" s="13" t="s">
        <x:v>1320</x:v>
      </x:c>
      <x:c r="U787" s="13"/>
      <x:c r="V787" s="13" t="s">
        <x:v>797</x:v>
      </x:c>
    </x:row>
    <x:row r="788" spans="1:22" s="14" customFormat="1" ht="13.5" customHeight="1">
      <x:c r="A788" s="13" t="str">
        <x:f>O788</x:f>
        <x:v>오미영</x:v>
      </x:c>
      <x:c r="B788" s="25" t="str">
        <x:f>L788&amp;"-"&amp;TEXT(P788,"0000")</x:f>
        <x:v>20030228-0003</x:v>
      </x:c>
      <x:c r="C788" s="13" t="s">
        <x:v>1978</x:v>
      </x:c>
      <x:c r="D788" s="13" t="s">
        <x:v>1533</x:v>
      </x:c>
      <x:c r="E788" s="13" t="s">
        <x:v>1543</x:v>
      </x:c>
      <x:c r="F788" s="13" t="s">
        <x:v>1983</x:v>
      </x:c>
      <x:c r="G788" s="13" t="s">
        <x:v>1289</x:v>
      </x:c>
      <x:c r="H788" s="13" t="str">
        <x:f>IFERROR(VLOOKUP(O788,'정보화기기 명부'!A$2:B$187,2,FALSE),"")</x:f>
        <x:v/>
      </x:c>
      <x:c r="I788" s="13"/>
      <x:c r="J788" s="13"/>
      <x:c r="K788" s="13"/>
      <x:c r="L788" s="13">
        <x:v>20030228</x:v>
      </x:c>
      <x:c r="M788" s="13" t="s">
        <x:v>470</x:v>
      </x:c>
      <x:c r="N788" s="13" t="s">
        <x:v>2034</x:v>
      </x:c>
      <x:c r="O788" s="13" t="s">
        <x:v>1413</x:v>
      </x:c>
      <x:c r="P788" s="202">
        <x:v>3</x:v>
      </x:c>
      <x:c r="Q788" s="13" t="s">
        <x:v>466</x:v>
      </x:c>
      <x:c r="R788" s="13" t="s">
        <x:v>1736</x:v>
      </x:c>
      <x:c r="S788" s="13" t="s">
        <x:v>1354</x:v>
      </x:c>
      <x:c r="T788" s="13" t="s">
        <x:v>1379</x:v>
      </x:c>
      <x:c r="U788" s="13"/>
      <x:c r="V788" s="13" t="s">
        <x:v>2030</x:v>
      </x:c>
    </x:row>
    <x:row r="789" spans="1:22" s="14" customFormat="1" ht="13.5" customHeight="1">
      <x:c r="A789" s="13" t="str">
        <x:f>O789</x:f>
        <x:v>강민선</x:v>
      </x:c>
      <x:c r="B789" s="25" t="str">
        <x:f>L789&amp;"-"&amp;TEXT(P789,"0000")</x:f>
        <x:v>20030228-0002</x:v>
      </x:c>
      <x:c r="C789" s="13" t="s">
        <x:v>1978</x:v>
      </x:c>
      <x:c r="D789" s="13" t="s">
        <x:v>1533</x:v>
      </x:c>
      <x:c r="E789" s="13" t="s">
        <x:v>1543</x:v>
      </x:c>
      <x:c r="F789" s="13" t="s">
        <x:v>1983</x:v>
      </x:c>
      <x:c r="G789" s="13" t="s">
        <x:v>1289</x:v>
      </x:c>
      <x:c r="H789" s="13" t="str">
        <x:f>IFERROR(VLOOKUP(O789,'정보화기기 명부'!A$2:B$187,2,FALSE),"")</x:f>
        <x:v/>
      </x:c>
      <x:c r="I789" s="13"/>
      <x:c r="J789" s="13"/>
      <x:c r="K789" s="13"/>
      <x:c r="L789" s="13">
        <x:v>20030228</x:v>
      </x:c>
      <x:c r="M789" s="13" t="s">
        <x:v>470</x:v>
      </x:c>
      <x:c r="N789" s="13" t="s">
        <x:v>2034</x:v>
      </x:c>
      <x:c r="O789" s="13" t="s">
        <x:v>1384</x:v>
      </x:c>
      <x:c r="P789" s="202">
        <x:v>2</x:v>
      </x:c>
      <x:c r="Q789" s="13" t="s">
        <x:v>466</x:v>
      </x:c>
      <x:c r="R789" s="13" t="s">
        <x:v>1736</x:v>
      </x:c>
      <x:c r="S789" s="13" t="s">
        <x:v>1354</x:v>
      </x:c>
      <x:c r="T789" s="13" t="s">
        <x:v>1379</x:v>
      </x:c>
      <x:c r="U789" s="13"/>
      <x:c r="V789" s="13" t="s">
        <x:v>2030</x:v>
      </x:c>
    </x:row>
    <x:row r="790" spans="1:22" s="14" customFormat="1" ht="13.5" customHeight="1">
      <x:c r="A790" s="13" t="str">
        <x:f>O790</x:f>
        <x:v>조문숙</x:v>
      </x:c>
      <x:c r="B790" s="25" t="str">
        <x:f>L790&amp;"-"&amp;TEXT(P790,"0000")</x:f>
        <x:v>20021231-0013</x:v>
      </x:c>
      <x:c r="C790" s="13" t="s">
        <x:v>1564</x:v>
      </x:c>
      <x:c r="D790" s="13" t="s">
        <x:v>1533</x:v>
      </x:c>
      <x:c r="E790" s="13" t="s">
        <x:v>1251</x:v>
      </x:c>
      <x:c r="F790" s="13" t="s">
        <x:v>626</x:v>
      </x:c>
      <x:c r="G790" s="13" t="s">
        <x:v>1537</x:v>
      </x:c>
      <x:c r="H790" s="13" t="str">
        <x:f>IFERROR(VLOOKUP(O790,'정보화기기 명부'!A$2:B$187,2,FALSE),"")</x:f>
        <x:v/>
      </x:c>
      <x:c r="I790" s="13"/>
      <x:c r="J790" s="13"/>
      <x:c r="K790" s="13"/>
      <x:c r="L790" s="13">
        <x:v>20021231</x:v>
      </x:c>
      <x:c r="M790" s="13" t="s">
        <x:v>467</x:v>
      </x:c>
      <x:c r="N790" s="13" t="s">
        <x:v>1965</x:v>
      </x:c>
      <x:c r="O790" s="13" t="s">
        <x:v>1444</x:v>
      </x:c>
      <x:c r="P790" s="202">
        <x:v>13</x:v>
      </x:c>
      <x:c r="Q790" s="13" t="s">
        <x:v>572</x:v>
      </x:c>
      <x:c r="R790" s="13" t="s">
        <x:v>1774</x:v>
      </x:c>
      <x:c r="S790" s="13" t="s">
        <x:v>1301</x:v>
      </x:c>
      <x:c r="T790" s="13" t="s">
        <x:v>3154</x:v>
      </x:c>
      <x:c r="U790" s="13"/>
      <x:c r="V790" s="13" t="s">
        <x:v>797</x:v>
      </x:c>
    </x:row>
    <x:row r="791" spans="1:22" s="14" customFormat="1" ht="13.5" customHeight="1">
      <x:c r="A791" s="13" t="str">
        <x:f>O791</x:f>
        <x:v>유혜영</x:v>
      </x:c>
      <x:c r="B791" s="25" t="str">
        <x:f>L791&amp;"-"&amp;TEXT(P791,"0000")</x:f>
        <x:v>20021231-0052</x:v>
      </x:c>
      <x:c r="C791" s="13" t="s">
        <x:v>1564</x:v>
      </x:c>
      <x:c r="D791" s="13" t="s">
        <x:v>1533</x:v>
      </x:c>
      <x:c r="E791" s="13" t="s">
        <x:v>1251</x:v>
      </x:c>
      <x:c r="F791" s="13" t="s">
        <x:v>626</x:v>
      </x:c>
      <x:c r="G791" s="13" t="s">
        <x:v>1537</x:v>
      </x:c>
      <x:c r="H791" s="13" t="str">
        <x:f>IFERROR(VLOOKUP(O791,'정보화기기 명부'!A$2:B$187,2,FALSE),"")</x:f>
        <x:v/>
      </x:c>
      <x:c r="I791" s="13"/>
      <x:c r="J791" s="13"/>
      <x:c r="K791" s="13"/>
      <x:c r="L791" s="13">
        <x:v>20021231</x:v>
      </x:c>
      <x:c r="M791" s="13" t="s">
        <x:v>467</x:v>
      </x:c>
      <x:c r="N791" s="13" t="s">
        <x:v>1965</x:v>
      </x:c>
      <x:c r="O791" s="13" t="s">
        <x:v>1393</x:v>
      </x:c>
      <x:c r="P791" s="202">
        <x:v>52</x:v>
      </x:c>
      <x:c r="Q791" s="13" t="s">
        <x:v>572</x:v>
      </x:c>
      <x:c r="R791" s="13" t="s">
        <x:v>1774</x:v>
      </x:c>
      <x:c r="S791" s="13" t="s">
        <x:v>1301</x:v>
      </x:c>
      <x:c r="T791" s="13" t="s">
        <x:v>3154</x:v>
      </x:c>
      <x:c r="U791" s="13"/>
      <x:c r="V791" s="13" t="s">
        <x:v>797</x:v>
      </x:c>
    </x:row>
    <x:row r="792" spans="1:22" s="14" customFormat="1" ht="13.5" customHeight="1">
      <x:c r="A792" s="13" t="str">
        <x:f>O792</x:f>
        <x:v>최해원</x:v>
      </x:c>
      <x:c r="B792" s="25" t="str">
        <x:f>L792&amp;"-"&amp;TEXT(P792,"0000")</x:f>
        <x:v>20021231-0053</x:v>
      </x:c>
      <x:c r="C792" s="13" t="s">
        <x:v>1564</x:v>
      </x:c>
      <x:c r="D792" s="13" t="s">
        <x:v>1533</x:v>
      </x:c>
      <x:c r="E792" s="13" t="s">
        <x:v>1251</x:v>
      </x:c>
      <x:c r="F792" s="13" t="s">
        <x:v>626</x:v>
      </x:c>
      <x:c r="G792" s="13" t="s">
        <x:v>1537</x:v>
      </x:c>
      <x:c r="H792" s="13" t="str">
        <x:f>IFERROR(VLOOKUP(O792,'정보화기기 명부'!A$2:B$187,2,FALSE),"")</x:f>
        <x:v/>
      </x:c>
      <x:c r="I792" s="13"/>
      <x:c r="J792" s="13"/>
      <x:c r="K792" s="13"/>
      <x:c r="L792" s="13">
        <x:v>20021231</x:v>
      </x:c>
      <x:c r="M792" s="13" t="s">
        <x:v>467</x:v>
      </x:c>
      <x:c r="N792" s="13" t="s">
        <x:v>1965</x:v>
      </x:c>
      <x:c r="O792" s="13" t="s">
        <x:v>1431</x:v>
      </x:c>
      <x:c r="P792" s="202">
        <x:v>53</x:v>
      </x:c>
      <x:c r="Q792" s="13" t="s">
        <x:v>572</x:v>
      </x:c>
      <x:c r="R792" s="13" t="s">
        <x:v>1774</x:v>
      </x:c>
      <x:c r="S792" s="13" t="s">
        <x:v>1301</x:v>
      </x:c>
      <x:c r="T792" s="13" t="s">
        <x:v>3154</x:v>
      </x:c>
      <x:c r="U792" s="13"/>
      <x:c r="V792" s="13" t="s">
        <x:v>797</x:v>
      </x:c>
    </x:row>
    <x:row r="793" spans="1:22" s="14" customFormat="1" ht="13.5" customHeight="1">
      <x:c r="A793" s="13" t="str">
        <x:f>O793</x:f>
        <x:v>최은희</x:v>
      </x:c>
      <x:c r="B793" s="25" t="str">
        <x:f>L793&amp;"-"&amp;TEXT(P793,"0000")</x:f>
        <x:v>20021231-0054</x:v>
      </x:c>
      <x:c r="C793" s="13" t="s">
        <x:v>1564</x:v>
      </x:c>
      <x:c r="D793" s="13" t="s">
        <x:v>1533</x:v>
      </x:c>
      <x:c r="E793" s="13" t="s">
        <x:v>1251</x:v>
      </x:c>
      <x:c r="F793" s="13" t="s">
        <x:v>626</x:v>
      </x:c>
      <x:c r="G793" s="13" t="s">
        <x:v>1537</x:v>
      </x:c>
      <x:c r="H793" s="13" t="str">
        <x:f>IFERROR(VLOOKUP(O793,'정보화기기 명부'!A$2:B$187,2,FALSE),"")</x:f>
        <x:v/>
      </x:c>
      <x:c r="I793" s="13"/>
      <x:c r="J793" s="13"/>
      <x:c r="K793" s="13"/>
      <x:c r="L793" s="13">
        <x:v>20021231</x:v>
      </x:c>
      <x:c r="M793" s="13" t="s">
        <x:v>467</x:v>
      </x:c>
      <x:c r="N793" s="13" t="s">
        <x:v>1965</x:v>
      </x:c>
      <x:c r="O793" s="13" t="s">
        <x:v>1387</x:v>
      </x:c>
      <x:c r="P793" s="202">
        <x:v>54</x:v>
      </x:c>
      <x:c r="Q793" s="13" t="s">
        <x:v>572</x:v>
      </x:c>
      <x:c r="R793" s="13" t="s">
        <x:v>1774</x:v>
      </x:c>
      <x:c r="S793" s="13" t="s">
        <x:v>1301</x:v>
      </x:c>
      <x:c r="T793" s="13" t="s">
        <x:v>3154</x:v>
      </x:c>
      <x:c r="U793" s="13"/>
      <x:c r="V793" s="13" t="s">
        <x:v>797</x:v>
      </x:c>
    </x:row>
    <x:row r="794" spans="1:22" s="14" customFormat="1" ht="13.5" customHeight="1">
      <x:c r="A794" s="13" t="str">
        <x:f>O794</x:f>
        <x:v>차명희</x:v>
      </x:c>
      <x:c r="B794" s="25" t="str">
        <x:f>L794&amp;"-"&amp;TEXT(P794,"0000")</x:f>
        <x:v>20021231-0055</x:v>
      </x:c>
      <x:c r="C794" s="13" t="s">
        <x:v>1564</x:v>
      </x:c>
      <x:c r="D794" s="13" t="s">
        <x:v>1533</x:v>
      </x:c>
      <x:c r="E794" s="13" t="s">
        <x:v>1251</x:v>
      </x:c>
      <x:c r="F794" s="13" t="s">
        <x:v>626</x:v>
      </x:c>
      <x:c r="G794" s="13" t="s">
        <x:v>1537</x:v>
      </x:c>
      <x:c r="H794" s="13" t="str">
        <x:f>IFERROR(VLOOKUP(O794,'정보화기기 명부'!A$2:B$187,2,FALSE),"")</x:f>
        <x:v/>
      </x:c>
      <x:c r="I794" s="13"/>
      <x:c r="J794" s="13"/>
      <x:c r="K794" s="13"/>
      <x:c r="L794" s="13">
        <x:v>20021231</x:v>
      </x:c>
      <x:c r="M794" s="13" t="s">
        <x:v>467</x:v>
      </x:c>
      <x:c r="N794" s="13" t="s">
        <x:v>1965</x:v>
      </x:c>
      <x:c r="O794" s="13" t="s">
        <x:v>1389</x:v>
      </x:c>
      <x:c r="P794" s="202">
        <x:v>55</x:v>
      </x:c>
      <x:c r="Q794" s="13" t="s">
        <x:v>572</x:v>
      </x:c>
      <x:c r="R794" s="13" t="s">
        <x:v>1774</x:v>
      </x:c>
      <x:c r="S794" s="13" t="s">
        <x:v>1301</x:v>
      </x:c>
      <x:c r="T794" s="13" t="s">
        <x:v>3154</x:v>
      </x:c>
      <x:c r="U794" s="13"/>
      <x:c r="V794" s="13" t="s">
        <x:v>797</x:v>
      </x:c>
    </x:row>
    <x:row r="795" spans="1:22" s="14" customFormat="1" ht="13.5" customHeight="1">
      <x:c r="A795" s="13" t="str">
        <x:f>O795</x:f>
        <x:v>김선희</x:v>
      </x:c>
      <x:c r="B795" s="25" t="str">
        <x:f>L795&amp;"-"&amp;TEXT(P795,"0000")</x:f>
        <x:v>20021231-0072</x:v>
      </x:c>
      <x:c r="C795" s="13" t="s">
        <x:v>1564</x:v>
      </x:c>
      <x:c r="D795" s="13" t="s">
        <x:v>1533</x:v>
      </x:c>
      <x:c r="E795" s="13" t="s">
        <x:v>1251</x:v>
      </x:c>
      <x:c r="F795" s="13" t="s">
        <x:v>626</x:v>
      </x:c>
      <x:c r="G795" s="13" t="s">
        <x:v>1537</x:v>
      </x:c>
      <x:c r="H795" s="13" t="str">
        <x:f>IFERROR(VLOOKUP(O795,'정보화기기 명부'!A$2:B$187,2,FALSE),"")</x:f>
        <x:v/>
      </x:c>
      <x:c r="I795" s="13"/>
      <x:c r="J795" s="13"/>
      <x:c r="K795" s="13"/>
      <x:c r="L795" s="13">
        <x:v>20021231</x:v>
      </x:c>
      <x:c r="M795" s="13" t="s">
        <x:v>467</x:v>
      </x:c>
      <x:c r="N795" s="13" t="s">
        <x:v>1965</x:v>
      </x:c>
      <x:c r="O795" s="13" t="s">
        <x:v>1349</x:v>
      </x:c>
      <x:c r="P795" s="202">
        <x:v>72</x:v>
      </x:c>
      <x:c r="Q795" s="13" t="s">
        <x:v>572</x:v>
      </x:c>
      <x:c r="R795" s="13" t="s">
        <x:v>1774</x:v>
      </x:c>
      <x:c r="S795" s="13" t="s">
        <x:v>1301</x:v>
      </x:c>
      <x:c r="T795" s="13" t="s">
        <x:v>3154</x:v>
      </x:c>
      <x:c r="U795" s="13"/>
      <x:c r="V795" s="13" t="s">
        <x:v>797</x:v>
      </x:c>
    </x:row>
    <x:row r="796" spans="1:22" s="14" customFormat="1" ht="13.5" customHeight="1">
      <x:c r="A796" s="13" t="str">
        <x:f>O796</x:f>
        <x:v>김효열</x:v>
      </x:c>
      <x:c r="B796" s="25" t="str">
        <x:f>L796&amp;"-"&amp;TEXT(P796,"0000")</x:f>
        <x:v>20021231-0073</x:v>
      </x:c>
      <x:c r="C796" s="13" t="s">
        <x:v>1564</x:v>
      </x:c>
      <x:c r="D796" s="13" t="s">
        <x:v>1533</x:v>
      </x:c>
      <x:c r="E796" s="13" t="s">
        <x:v>1251</x:v>
      </x:c>
      <x:c r="F796" s="13" t="s">
        <x:v>626</x:v>
      </x:c>
      <x:c r="G796" s="13" t="s">
        <x:v>1537</x:v>
      </x:c>
      <x:c r="H796" s="13" t="str">
        <x:f>IFERROR(VLOOKUP(O796,'정보화기기 명부'!A$2:B$187,2,FALSE),"")</x:f>
        <x:v/>
      </x:c>
      <x:c r="I796" s="13"/>
      <x:c r="J796" s="13"/>
      <x:c r="K796" s="13"/>
      <x:c r="L796" s="13">
        <x:v>20021231</x:v>
      </x:c>
      <x:c r="M796" s="13" t="s">
        <x:v>467</x:v>
      </x:c>
      <x:c r="N796" s="13" t="s">
        <x:v>1965</x:v>
      </x:c>
      <x:c r="O796" s="13" t="s">
        <x:v>1421</x:v>
      </x:c>
      <x:c r="P796" s="202">
        <x:v>73</x:v>
      </x:c>
      <x:c r="Q796" s="13" t="s">
        <x:v>572</x:v>
      </x:c>
      <x:c r="R796" s="13" t="s">
        <x:v>1774</x:v>
      </x:c>
      <x:c r="S796" s="13" t="s">
        <x:v>1301</x:v>
      </x:c>
      <x:c r="T796" s="13" t="s">
        <x:v>3154</x:v>
      </x:c>
      <x:c r="U796" s="13"/>
      <x:c r="V796" s="13" t="s">
        <x:v>797</x:v>
      </x:c>
    </x:row>
    <x:row r="797" spans="1:22" s="14" customFormat="1" ht="13.5" customHeight="1">
      <x:c r="A797" s="13" t="str">
        <x:f>O797</x:f>
        <x:v>임숙진</x:v>
      </x:c>
      <x:c r="B797" s="25" t="str">
        <x:f>L797&amp;"-"&amp;TEXT(P797,"0000")</x:f>
        <x:v>20021231-0093</x:v>
      </x:c>
      <x:c r="C797" s="13" t="s">
        <x:v>1564</x:v>
      </x:c>
      <x:c r="D797" s="13" t="s">
        <x:v>1533</x:v>
      </x:c>
      <x:c r="E797" s="13" t="s">
        <x:v>1251</x:v>
      </x:c>
      <x:c r="F797" s="13" t="s">
        <x:v>626</x:v>
      </x:c>
      <x:c r="G797" s="13" t="s">
        <x:v>1537</x:v>
      </x:c>
      <x:c r="H797" s="13" t="str">
        <x:f>IFERROR(VLOOKUP(O797,'정보화기기 명부'!A$2:B$187,2,FALSE),"")</x:f>
        <x:v>혁신교육부</x:v>
      </x:c>
      <x:c r="I797" s="13"/>
      <x:c r="J797" s="13"/>
      <x:c r="K797" s="13"/>
      <x:c r="L797" s="13">
        <x:v>20021231</x:v>
      </x:c>
      <x:c r="M797" s="13" t="s">
        <x:v>467</x:v>
      </x:c>
      <x:c r="N797" s="13" t="s">
        <x:v>1965</x:v>
      </x:c>
      <x:c r="O797" s="13" t="s">
        <x:v>1574</x:v>
      </x:c>
      <x:c r="P797" s="202">
        <x:v>93</x:v>
      </x:c>
      <x:c r="Q797" s="13" t="s">
        <x:v>572</x:v>
      </x:c>
      <x:c r="R797" s="13" t="s">
        <x:v>1774</x:v>
      </x:c>
      <x:c r="S797" s="13" t="s">
        <x:v>1301</x:v>
      </x:c>
      <x:c r="T797" s="13" t="s">
        <x:v>3154</x:v>
      </x:c>
      <x:c r="U797" s="13"/>
      <x:c r="V797" s="13" t="s">
        <x:v>797</x:v>
      </x:c>
    </x:row>
    <x:row r="798" spans="1:22" s="14" customFormat="1" ht="13.5" customHeight="1">
      <x:c r="A798" s="13" t="str">
        <x:f>O798</x:f>
        <x:v>권찬호</x:v>
      </x:c>
      <x:c r="B798" s="25" t="str">
        <x:f>L798&amp;"-"&amp;TEXT(P798,"0000")</x:f>
        <x:v>20021231-0094</x:v>
      </x:c>
      <x:c r="C798" s="13" t="s">
        <x:v>1564</x:v>
      </x:c>
      <x:c r="D798" s="13" t="s">
        <x:v>1533</x:v>
      </x:c>
      <x:c r="E798" s="13" t="s">
        <x:v>1251</x:v>
      </x:c>
      <x:c r="F798" s="13" t="s">
        <x:v>626</x:v>
      </x:c>
      <x:c r="G798" s="13" t="s">
        <x:v>1537</x:v>
      </x:c>
      <x:c r="H798" s="13" t="str">
        <x:f>IFERROR(VLOOKUP(O798,'정보화기기 명부'!A$2:B$187,2,FALSE),"")</x:f>
        <x:v/>
      </x:c>
      <x:c r="I798" s="13"/>
      <x:c r="J798" s="13"/>
      <x:c r="K798" s="13"/>
      <x:c r="L798" s="13">
        <x:v>20021231</x:v>
      </x:c>
      <x:c r="M798" s="13" t="s">
        <x:v>467</x:v>
      </x:c>
      <x:c r="N798" s="13" t="s">
        <x:v>1965</x:v>
      </x:c>
      <x:c r="O798" s="13" t="s">
        <x:v>1363</x:v>
      </x:c>
      <x:c r="P798" s="202">
        <x:v>94</x:v>
      </x:c>
      <x:c r="Q798" s="13" t="s">
        <x:v>572</x:v>
      </x:c>
      <x:c r="R798" s="13" t="s">
        <x:v>1774</x:v>
      </x:c>
      <x:c r="S798" s="13" t="s">
        <x:v>1301</x:v>
      </x:c>
      <x:c r="T798" s="13" t="s">
        <x:v>3154</x:v>
      </x:c>
      <x:c r="U798" s="13"/>
      <x:c r="V798" s="13" t="s">
        <x:v>797</x:v>
      </x:c>
    </x:row>
    <x:row r="799" spans="1:22" s="14" customFormat="1" ht="13.5" customHeight="1">
      <x:c r="A799" s="13" t="str">
        <x:f>O799</x:f>
        <x:v>오경은</x:v>
      </x:c>
      <x:c r="B799" s="25" t="str">
        <x:f>L799&amp;"-"&amp;TEXT(P799,"0000")</x:f>
        <x:v>20021231-0200</x:v>
      </x:c>
      <x:c r="C799" s="13" t="s">
        <x:v>1564</x:v>
      </x:c>
      <x:c r="D799" s="13" t="s">
        <x:v>1533</x:v>
      </x:c>
      <x:c r="E799" s="13" t="s">
        <x:v>1251</x:v>
      </x:c>
      <x:c r="F799" s="13" t="s">
        <x:v>626</x:v>
      </x:c>
      <x:c r="G799" s="13" t="s">
        <x:v>1537</x:v>
      </x:c>
      <x:c r="H799" s="13" t="str">
        <x:f>IFERROR(VLOOKUP(O799,'정보화기기 명부'!A$2:B$187,2,FALSE),"")</x:f>
        <x:v/>
      </x:c>
      <x:c r="I799" s="13"/>
      <x:c r="J799" s="13"/>
      <x:c r="K799" s="13"/>
      <x:c r="L799" s="13">
        <x:v>20021231</x:v>
      </x:c>
      <x:c r="M799" s="13" t="s">
        <x:v>467</x:v>
      </x:c>
      <x:c r="N799" s="13" t="s">
        <x:v>1965</x:v>
      </x:c>
      <x:c r="O799" s="13" t="s">
        <x:v>1394</x:v>
      </x:c>
      <x:c r="P799" s="202">
        <x:v>200</x:v>
      </x:c>
      <x:c r="Q799" s="13" t="s">
        <x:v>572</x:v>
      </x:c>
      <x:c r="R799" s="13" t="s">
        <x:v>1774</x:v>
      </x:c>
      <x:c r="S799" s="13" t="s">
        <x:v>1301</x:v>
      </x:c>
      <x:c r="T799" s="13" t="s">
        <x:v>3154</x:v>
      </x:c>
      <x:c r="U799" s="13"/>
      <x:c r="V799" s="13" t="s">
        <x:v>797</x:v>
      </x:c>
    </x:row>
    <x:row r="800" spans="1:22" s="14" customFormat="1" ht="13.5" customHeight="1">
      <x:c r="A800" s="13" t="str">
        <x:f>O800</x:f>
        <x:v>김지연</x:v>
      </x:c>
      <x:c r="B800" s="25" t="str">
        <x:f>L800&amp;"-"&amp;TEXT(P800,"0000")</x:f>
        <x:v>20021001-0173</x:v>
      </x:c>
      <x:c r="C800" s="13" t="s">
        <x:v>1439</x:v>
      </x:c>
      <x:c r="D800" s="13" t="s">
        <x:v>1533</x:v>
      </x:c>
      <x:c r="E800" s="13" t="s">
        <x:v>1568</x:v>
      </x:c>
      <x:c r="F800" s="13" t="s">
        <x:v>2000</x:v>
      </x:c>
      <x:c r="G800" s="13" t="s">
        <x:v>2021</x:v>
      </x:c>
      <x:c r="H800" s="13" t="str">
        <x:f>IFERROR(VLOOKUP(O800,'정보화기기 명부'!A$2:B$187,2,FALSE),"")</x:f>
        <x:v/>
      </x:c>
      <x:c r="I800" s="13"/>
      <x:c r="J800" s="13"/>
      <x:c r="K800" s="13"/>
      <x:c r="L800" s="13">
        <x:v>20021001</x:v>
      </x:c>
      <x:c r="M800" s="13" t="s">
        <x:v>1966</x:v>
      </x:c>
      <x:c r="N800" s="13" t="s">
        <x:v>2045</x:v>
      </x:c>
      <x:c r="O800" s="13" t="s">
        <x:v>1401</x:v>
      </x:c>
      <x:c r="P800" s="202">
        <x:v>173</x:v>
      </x:c>
      <x:c r="Q800" s="13" t="s">
        <x:v>457</x:v>
      </x:c>
      <x:c r="R800" s="13" t="s">
        <x:v>2017</x:v>
      </x:c>
      <x:c r="S800" s="13" t="s">
        <x:v>1448</x:v>
      </x:c>
      <x:c r="T800" s="13" t="s">
        <x:v>1974</x:v>
      </x:c>
      <x:c r="U800" s="13"/>
      <x:c r="V800" s="13" t="s">
        <x:v>1974</x:v>
      </x:c>
    </x:row>
    <x:row r="801" spans="1:22" s="14" customFormat="1" ht="13.5" customHeight="1">
      <x:c r="A801" s="13" t="str">
        <x:f>O801</x:f>
        <x:v>김지연</x:v>
      </x:c>
      <x:c r="B801" s="25" t="str">
        <x:f>L801&amp;"-"&amp;TEXT(P801,"0000")</x:f>
        <x:v>20021001-0172</x:v>
      </x:c>
      <x:c r="C801" s="13" t="s">
        <x:v>1439</x:v>
      </x:c>
      <x:c r="D801" s="13" t="s">
        <x:v>1533</x:v>
      </x:c>
      <x:c r="E801" s="13" t="s">
        <x:v>1568</x:v>
      </x:c>
      <x:c r="F801" s="13" t="s">
        <x:v>2000</x:v>
      </x:c>
      <x:c r="G801" s="13" t="s">
        <x:v>2021</x:v>
      </x:c>
      <x:c r="H801" s="13" t="str">
        <x:f>IFERROR(VLOOKUP(O801,'정보화기기 명부'!A$2:B$187,2,FALSE),"")</x:f>
        <x:v/>
      </x:c>
      <x:c r="I801" s="13"/>
      <x:c r="J801" s="13"/>
      <x:c r="K801" s="13"/>
      <x:c r="L801" s="13">
        <x:v>20021001</x:v>
      </x:c>
      <x:c r="M801" s="13" t="s">
        <x:v>1966</x:v>
      </x:c>
      <x:c r="N801" s="13" t="s">
        <x:v>2045</x:v>
      </x:c>
      <x:c r="O801" s="13" t="s">
        <x:v>1401</x:v>
      </x:c>
      <x:c r="P801" s="202">
        <x:v>172</x:v>
      </x:c>
      <x:c r="Q801" s="13" t="s">
        <x:v>457</x:v>
      </x:c>
      <x:c r="R801" s="13" t="s">
        <x:v>2017</x:v>
      </x:c>
      <x:c r="S801" s="13" t="s">
        <x:v>1448</x:v>
      </x:c>
      <x:c r="T801" s="13" t="s">
        <x:v>1974</x:v>
      </x:c>
      <x:c r="U801" s="13"/>
      <x:c r="V801" s="13" t="s">
        <x:v>1974</x:v>
      </x:c>
    </x:row>
    <x:row r="802" spans="1:22" s="14" customFormat="1" ht="13.5" customHeight="1">
      <x:c r="A802" s="13" t="str">
        <x:f>O802</x:f>
        <x:v>김지연</x:v>
      </x:c>
      <x:c r="B802" s="25" t="str">
        <x:f>L802&amp;"-"&amp;TEXT(P802,"0000")</x:f>
        <x:v>20021001-0171</x:v>
      </x:c>
      <x:c r="C802" s="13" t="s">
        <x:v>1439</x:v>
      </x:c>
      <x:c r="D802" s="13" t="s">
        <x:v>1533</x:v>
      </x:c>
      <x:c r="E802" s="13" t="s">
        <x:v>1568</x:v>
      </x:c>
      <x:c r="F802" s="13" t="s">
        <x:v>2000</x:v>
      </x:c>
      <x:c r="G802" s="13" t="s">
        <x:v>2021</x:v>
      </x:c>
      <x:c r="H802" s="13" t="str">
        <x:f>IFERROR(VLOOKUP(O802,'정보화기기 명부'!A$2:B$187,2,FALSE),"")</x:f>
        <x:v/>
      </x:c>
      <x:c r="I802" s="13"/>
      <x:c r="J802" s="13"/>
      <x:c r="K802" s="13"/>
      <x:c r="L802" s="13">
        <x:v>20021001</x:v>
      </x:c>
      <x:c r="M802" s="13" t="s">
        <x:v>1966</x:v>
      </x:c>
      <x:c r="N802" s="13" t="s">
        <x:v>2045</x:v>
      </x:c>
      <x:c r="O802" s="13" t="s">
        <x:v>1401</x:v>
      </x:c>
      <x:c r="P802" s="202">
        <x:v>171</x:v>
      </x:c>
      <x:c r="Q802" s="13" t="s">
        <x:v>457</x:v>
      </x:c>
      <x:c r="R802" s="13" t="s">
        <x:v>2017</x:v>
      </x:c>
      <x:c r="S802" s="13" t="s">
        <x:v>1448</x:v>
      </x:c>
      <x:c r="T802" s="13" t="s">
        <x:v>1974</x:v>
      </x:c>
      <x:c r="U802" s="13"/>
      <x:c r="V802" s="13" t="s">
        <x:v>1974</x:v>
      </x:c>
    </x:row>
    <x:row r="803" spans="1:22" s="14" customFormat="1" ht="13.5" customHeight="1">
      <x:c r="A803" s="13" t="str">
        <x:f>O803</x:f>
        <x:v>김지연</x:v>
      </x:c>
      <x:c r="B803" s="25" t="str">
        <x:f>L803&amp;"-"&amp;TEXT(P803,"0000")</x:f>
        <x:v>20021001-0170</x:v>
      </x:c>
      <x:c r="C803" s="13" t="s">
        <x:v>1439</x:v>
      </x:c>
      <x:c r="D803" s="13" t="s">
        <x:v>1533</x:v>
      </x:c>
      <x:c r="E803" s="13" t="s">
        <x:v>1568</x:v>
      </x:c>
      <x:c r="F803" s="13" t="s">
        <x:v>2000</x:v>
      </x:c>
      <x:c r="G803" s="13" t="s">
        <x:v>2021</x:v>
      </x:c>
      <x:c r="H803" s="13" t="str">
        <x:f>IFERROR(VLOOKUP(O803,'정보화기기 명부'!A$2:B$187,2,FALSE),"")</x:f>
        <x:v/>
      </x:c>
      <x:c r="I803" s="13"/>
      <x:c r="J803" s="13"/>
      <x:c r="K803" s="13"/>
      <x:c r="L803" s="13">
        <x:v>20021001</x:v>
      </x:c>
      <x:c r="M803" s="13" t="s">
        <x:v>1966</x:v>
      </x:c>
      <x:c r="N803" s="13" t="s">
        <x:v>2045</x:v>
      </x:c>
      <x:c r="O803" s="13" t="s">
        <x:v>1401</x:v>
      </x:c>
      <x:c r="P803" s="202">
        <x:v>170</x:v>
      </x:c>
      <x:c r="Q803" s="13" t="s">
        <x:v>457</x:v>
      </x:c>
      <x:c r="R803" s="13" t="s">
        <x:v>2017</x:v>
      </x:c>
      <x:c r="S803" s="13" t="s">
        <x:v>1448</x:v>
      </x:c>
      <x:c r="T803" s="13" t="s">
        <x:v>1974</x:v>
      </x:c>
      <x:c r="U803" s="13"/>
      <x:c r="V803" s="13" t="s">
        <x:v>1974</x:v>
      </x:c>
    </x:row>
    <x:row r="804" spans="1:22" s="14" customFormat="1" ht="13.5" customHeight="1">
      <x:c r="A804" s="13" t="str">
        <x:f>O804</x:f>
        <x:v>김지연</x:v>
      </x:c>
      <x:c r="B804" s="25" t="str">
        <x:f>L804&amp;"-"&amp;TEXT(P804,"0000")</x:f>
        <x:v>20021001-0169</x:v>
      </x:c>
      <x:c r="C804" s="13" t="s">
        <x:v>1439</x:v>
      </x:c>
      <x:c r="D804" s="13" t="s">
        <x:v>1533</x:v>
      </x:c>
      <x:c r="E804" s="13" t="s">
        <x:v>1568</x:v>
      </x:c>
      <x:c r="F804" s="13" t="s">
        <x:v>2000</x:v>
      </x:c>
      <x:c r="G804" s="13" t="s">
        <x:v>2021</x:v>
      </x:c>
      <x:c r="H804" s="13" t="str">
        <x:f>IFERROR(VLOOKUP(O804,'정보화기기 명부'!A$2:B$187,2,FALSE),"")</x:f>
        <x:v/>
      </x:c>
      <x:c r="I804" s="13"/>
      <x:c r="J804" s="13"/>
      <x:c r="K804" s="13"/>
      <x:c r="L804" s="13">
        <x:v>20021001</x:v>
      </x:c>
      <x:c r="M804" s="13" t="s">
        <x:v>1966</x:v>
      </x:c>
      <x:c r="N804" s="13" t="s">
        <x:v>2045</x:v>
      </x:c>
      <x:c r="O804" s="13" t="s">
        <x:v>1401</x:v>
      </x:c>
      <x:c r="P804" s="202">
        <x:v>169</x:v>
      </x:c>
      <x:c r="Q804" s="13" t="s">
        <x:v>457</x:v>
      </x:c>
      <x:c r="R804" s="13" t="s">
        <x:v>2017</x:v>
      </x:c>
      <x:c r="S804" s="13" t="s">
        <x:v>1448</x:v>
      </x:c>
      <x:c r="T804" s="13" t="s">
        <x:v>1974</x:v>
      </x:c>
      <x:c r="U804" s="13"/>
      <x:c r="V804" s="13" t="s">
        <x:v>1974</x:v>
      </x:c>
    </x:row>
    <x:row r="805" spans="1:22" s="14" customFormat="1" ht="13.5" customHeight="1">
      <x:c r="A805" s="13" t="str">
        <x:f>O805</x:f>
        <x:v>김지연</x:v>
      </x:c>
      <x:c r="B805" s="25" t="str">
        <x:f>L805&amp;"-"&amp;TEXT(P805,"0000")</x:f>
        <x:v>20021001-0168</x:v>
      </x:c>
      <x:c r="C805" s="13" t="s">
        <x:v>1439</x:v>
      </x:c>
      <x:c r="D805" s="13" t="s">
        <x:v>1533</x:v>
      </x:c>
      <x:c r="E805" s="13" t="s">
        <x:v>1568</x:v>
      </x:c>
      <x:c r="F805" s="13" t="s">
        <x:v>2000</x:v>
      </x:c>
      <x:c r="G805" s="13" t="s">
        <x:v>2021</x:v>
      </x:c>
      <x:c r="H805" s="13" t="str">
        <x:f>IFERROR(VLOOKUP(O805,'정보화기기 명부'!A$2:B$187,2,FALSE),"")</x:f>
        <x:v/>
      </x:c>
      <x:c r="I805" s="13"/>
      <x:c r="J805" s="13"/>
      <x:c r="K805" s="13"/>
      <x:c r="L805" s="13">
        <x:v>20021001</x:v>
      </x:c>
      <x:c r="M805" s="13" t="s">
        <x:v>1966</x:v>
      </x:c>
      <x:c r="N805" s="13" t="s">
        <x:v>2045</x:v>
      </x:c>
      <x:c r="O805" s="13" t="s">
        <x:v>1401</x:v>
      </x:c>
      <x:c r="P805" s="202">
        <x:v>168</x:v>
      </x:c>
      <x:c r="Q805" s="13" t="s">
        <x:v>457</x:v>
      </x:c>
      <x:c r="R805" s="13" t="s">
        <x:v>2017</x:v>
      </x:c>
      <x:c r="S805" s="13" t="s">
        <x:v>1448</x:v>
      </x:c>
      <x:c r="T805" s="13" t="s">
        <x:v>1974</x:v>
      </x:c>
      <x:c r="U805" s="13"/>
      <x:c r="V805" s="13" t="s">
        <x:v>1974</x:v>
      </x:c>
    </x:row>
    <x:row r="806" spans="1:22" s="14" customFormat="1" ht="13.5" customHeight="1">
      <x:c r="A806" s="13" t="str">
        <x:f>O806</x:f>
        <x:v>김지연</x:v>
      </x:c>
      <x:c r="B806" s="25" t="str">
        <x:f>L806&amp;"-"&amp;TEXT(P806,"0000")</x:f>
        <x:v>20021001-0167</x:v>
      </x:c>
      <x:c r="C806" s="13" t="s">
        <x:v>1439</x:v>
      </x:c>
      <x:c r="D806" s="13" t="s">
        <x:v>1533</x:v>
      </x:c>
      <x:c r="E806" s="13" t="s">
        <x:v>1568</x:v>
      </x:c>
      <x:c r="F806" s="13" t="s">
        <x:v>2000</x:v>
      </x:c>
      <x:c r="G806" s="13" t="s">
        <x:v>2021</x:v>
      </x:c>
      <x:c r="H806" s="13" t="str">
        <x:f>IFERROR(VLOOKUP(O806,'정보화기기 명부'!A$2:B$187,2,FALSE),"")</x:f>
        <x:v/>
      </x:c>
      <x:c r="I806" s="13"/>
      <x:c r="J806" s="13"/>
      <x:c r="K806" s="13"/>
      <x:c r="L806" s="13">
        <x:v>20021001</x:v>
      </x:c>
      <x:c r="M806" s="13" t="s">
        <x:v>1966</x:v>
      </x:c>
      <x:c r="N806" s="13" t="s">
        <x:v>2045</x:v>
      </x:c>
      <x:c r="O806" s="13" t="s">
        <x:v>1401</x:v>
      </x:c>
      <x:c r="P806" s="202">
        <x:v>167</x:v>
      </x:c>
      <x:c r="Q806" s="13" t="s">
        <x:v>457</x:v>
      </x:c>
      <x:c r="R806" s="13" t="s">
        <x:v>2017</x:v>
      </x:c>
      <x:c r="S806" s="13" t="s">
        <x:v>1448</x:v>
      </x:c>
      <x:c r="T806" s="13" t="s">
        <x:v>1974</x:v>
      </x:c>
      <x:c r="U806" s="13"/>
      <x:c r="V806" s="13" t="s">
        <x:v>1974</x:v>
      </x:c>
    </x:row>
    <x:row r="807" spans="1:22" s="14" customFormat="1" ht="13.5" customHeight="1">
      <x:c r="A807" s="13" t="str">
        <x:f>O807</x:f>
        <x:v>김지연</x:v>
      </x:c>
      <x:c r="B807" s="25" t="str">
        <x:f>L807&amp;"-"&amp;TEXT(P807,"0000")</x:f>
        <x:v>20021001-0166</x:v>
      </x:c>
      <x:c r="C807" s="13" t="s">
        <x:v>1439</x:v>
      </x:c>
      <x:c r="D807" s="13" t="s">
        <x:v>1533</x:v>
      </x:c>
      <x:c r="E807" s="13" t="s">
        <x:v>1568</x:v>
      </x:c>
      <x:c r="F807" s="13" t="s">
        <x:v>2000</x:v>
      </x:c>
      <x:c r="G807" s="13" t="s">
        <x:v>2021</x:v>
      </x:c>
      <x:c r="H807" s="13" t="str">
        <x:f>IFERROR(VLOOKUP(O807,'정보화기기 명부'!A$2:B$187,2,FALSE),"")</x:f>
        <x:v/>
      </x:c>
      <x:c r="I807" s="13"/>
      <x:c r="J807" s="13"/>
      <x:c r="K807" s="13"/>
      <x:c r="L807" s="13">
        <x:v>20021001</x:v>
      </x:c>
      <x:c r="M807" s="13" t="s">
        <x:v>1966</x:v>
      </x:c>
      <x:c r="N807" s="13" t="s">
        <x:v>2045</x:v>
      </x:c>
      <x:c r="O807" s="13" t="s">
        <x:v>1401</x:v>
      </x:c>
      <x:c r="P807" s="202">
        <x:v>166</x:v>
      </x:c>
      <x:c r="Q807" s="13" t="s">
        <x:v>457</x:v>
      </x:c>
      <x:c r="R807" s="13" t="s">
        <x:v>2017</x:v>
      </x:c>
      <x:c r="S807" s="13" t="s">
        <x:v>1448</x:v>
      </x:c>
      <x:c r="T807" s="13" t="s">
        <x:v>1974</x:v>
      </x:c>
      <x:c r="U807" s="13"/>
      <x:c r="V807" s="13" t="s">
        <x:v>1974</x:v>
      </x:c>
    </x:row>
    <x:row r="808" spans="1:22" s="14" customFormat="1" ht="13.5" customHeight="1">
      <x:c r="A808" s="13" t="str">
        <x:f>O808</x:f>
        <x:v>김지연</x:v>
      </x:c>
      <x:c r="B808" s="25" t="str">
        <x:f>L808&amp;"-"&amp;TEXT(P808,"0000")</x:f>
        <x:v>20021001-0165</x:v>
      </x:c>
      <x:c r="C808" s="13" t="s">
        <x:v>1439</x:v>
      </x:c>
      <x:c r="D808" s="13" t="s">
        <x:v>1533</x:v>
      </x:c>
      <x:c r="E808" s="13" t="s">
        <x:v>1568</x:v>
      </x:c>
      <x:c r="F808" s="13" t="s">
        <x:v>2000</x:v>
      </x:c>
      <x:c r="G808" s="13" t="s">
        <x:v>2021</x:v>
      </x:c>
      <x:c r="H808" s="13" t="str">
        <x:f>IFERROR(VLOOKUP(O808,'정보화기기 명부'!A$2:B$187,2,FALSE),"")</x:f>
        <x:v/>
      </x:c>
      <x:c r="I808" s="13"/>
      <x:c r="J808" s="13"/>
      <x:c r="K808" s="13"/>
      <x:c r="L808" s="13">
        <x:v>20021001</x:v>
      </x:c>
      <x:c r="M808" s="13" t="s">
        <x:v>1966</x:v>
      </x:c>
      <x:c r="N808" s="13" t="s">
        <x:v>2045</x:v>
      </x:c>
      <x:c r="O808" s="13" t="s">
        <x:v>1401</x:v>
      </x:c>
      <x:c r="P808" s="202">
        <x:v>165</x:v>
      </x:c>
      <x:c r="Q808" s="13" t="s">
        <x:v>457</x:v>
      </x:c>
      <x:c r="R808" s="13" t="s">
        <x:v>2017</x:v>
      </x:c>
      <x:c r="S808" s="13" t="s">
        <x:v>1448</x:v>
      </x:c>
      <x:c r="T808" s="13" t="s">
        <x:v>1974</x:v>
      </x:c>
      <x:c r="U808" s="13"/>
      <x:c r="V808" s="13" t="s">
        <x:v>1974</x:v>
      </x:c>
    </x:row>
    <x:row r="809" spans="1:22" s="14" customFormat="1" ht="13.5" customHeight="1">
      <x:c r="A809" s="13" t="str">
        <x:f>O809</x:f>
        <x:v>김지연</x:v>
      </x:c>
      <x:c r="B809" s="25" t="str">
        <x:f>L809&amp;"-"&amp;TEXT(P809,"0000")</x:f>
        <x:v>20021001-0164</x:v>
      </x:c>
      <x:c r="C809" s="13" t="s">
        <x:v>1439</x:v>
      </x:c>
      <x:c r="D809" s="13" t="s">
        <x:v>1533</x:v>
      </x:c>
      <x:c r="E809" s="13" t="s">
        <x:v>1568</x:v>
      </x:c>
      <x:c r="F809" s="13" t="s">
        <x:v>2000</x:v>
      </x:c>
      <x:c r="G809" s="13" t="s">
        <x:v>2021</x:v>
      </x:c>
      <x:c r="H809" s="13" t="str">
        <x:f>IFERROR(VLOOKUP(O809,'정보화기기 명부'!A$2:B$187,2,FALSE),"")</x:f>
        <x:v/>
      </x:c>
      <x:c r="I809" s="13"/>
      <x:c r="J809" s="13"/>
      <x:c r="K809" s="13"/>
      <x:c r="L809" s="13">
        <x:v>20021001</x:v>
      </x:c>
      <x:c r="M809" s="13" t="s">
        <x:v>1966</x:v>
      </x:c>
      <x:c r="N809" s="13" t="s">
        <x:v>2045</x:v>
      </x:c>
      <x:c r="O809" s="13" t="s">
        <x:v>1401</x:v>
      </x:c>
      <x:c r="P809" s="202">
        <x:v>164</x:v>
      </x:c>
      <x:c r="Q809" s="13" t="s">
        <x:v>457</x:v>
      </x:c>
      <x:c r="R809" s="13" t="s">
        <x:v>2017</x:v>
      </x:c>
      <x:c r="S809" s="13" t="s">
        <x:v>1448</x:v>
      </x:c>
      <x:c r="T809" s="13" t="s">
        <x:v>1974</x:v>
      </x:c>
      <x:c r="U809" s="13"/>
      <x:c r="V809" s="13" t="s">
        <x:v>1974</x:v>
      </x:c>
    </x:row>
    <x:row r="810" spans="1:22" s="14" customFormat="1" ht="13.5" customHeight="1">
      <x:c r="A810" s="13" t="str">
        <x:f>O810</x:f>
        <x:v>김지연</x:v>
      </x:c>
      <x:c r="B810" s="25" t="str">
        <x:f>L810&amp;"-"&amp;TEXT(P810,"0000")</x:f>
        <x:v>20021001-0163</x:v>
      </x:c>
      <x:c r="C810" s="13" t="s">
        <x:v>1439</x:v>
      </x:c>
      <x:c r="D810" s="13" t="s">
        <x:v>1533</x:v>
      </x:c>
      <x:c r="E810" s="13" t="s">
        <x:v>1568</x:v>
      </x:c>
      <x:c r="F810" s="13" t="s">
        <x:v>2000</x:v>
      </x:c>
      <x:c r="G810" s="13" t="s">
        <x:v>2021</x:v>
      </x:c>
      <x:c r="H810" s="13" t="str">
        <x:f>IFERROR(VLOOKUP(O810,'정보화기기 명부'!A$2:B$187,2,FALSE),"")</x:f>
        <x:v/>
      </x:c>
      <x:c r="I810" s="13"/>
      <x:c r="J810" s="13"/>
      <x:c r="K810" s="13"/>
      <x:c r="L810" s="13">
        <x:v>20021001</x:v>
      </x:c>
      <x:c r="M810" s="13" t="s">
        <x:v>1966</x:v>
      </x:c>
      <x:c r="N810" s="13" t="s">
        <x:v>2045</x:v>
      </x:c>
      <x:c r="O810" s="13" t="s">
        <x:v>1401</x:v>
      </x:c>
      <x:c r="P810" s="202">
        <x:v>163</x:v>
      </x:c>
      <x:c r="Q810" s="13" t="s">
        <x:v>457</x:v>
      </x:c>
      <x:c r="R810" s="13" t="s">
        <x:v>2017</x:v>
      </x:c>
      <x:c r="S810" s="13" t="s">
        <x:v>1448</x:v>
      </x:c>
      <x:c r="T810" s="13" t="s">
        <x:v>1974</x:v>
      </x:c>
      <x:c r="U810" s="13"/>
      <x:c r="V810" s="13" t="s">
        <x:v>1974</x:v>
      </x:c>
    </x:row>
    <x:row r="811" spans="1:22" s="14" customFormat="1" ht="13.5" customHeight="1">
      <x:c r="A811" s="13" t="str">
        <x:f>O811</x:f>
        <x:v>김지연</x:v>
      </x:c>
      <x:c r="B811" s="25" t="str">
        <x:f>L811&amp;"-"&amp;TEXT(P811,"0000")</x:f>
        <x:v>20021001-0162</x:v>
      </x:c>
      <x:c r="C811" s="13" t="s">
        <x:v>1439</x:v>
      </x:c>
      <x:c r="D811" s="13" t="s">
        <x:v>1533</x:v>
      </x:c>
      <x:c r="E811" s="13" t="s">
        <x:v>1568</x:v>
      </x:c>
      <x:c r="F811" s="13" t="s">
        <x:v>2000</x:v>
      </x:c>
      <x:c r="G811" s="13" t="s">
        <x:v>2021</x:v>
      </x:c>
      <x:c r="H811" s="13" t="str">
        <x:f>IFERROR(VLOOKUP(O811,'정보화기기 명부'!A$2:B$187,2,FALSE),"")</x:f>
        <x:v/>
      </x:c>
      <x:c r="I811" s="13"/>
      <x:c r="J811" s="13"/>
      <x:c r="K811" s="13"/>
      <x:c r="L811" s="13">
        <x:v>20021001</x:v>
      </x:c>
      <x:c r="M811" s="13" t="s">
        <x:v>1966</x:v>
      </x:c>
      <x:c r="N811" s="13" t="s">
        <x:v>2045</x:v>
      </x:c>
      <x:c r="O811" s="13" t="s">
        <x:v>1401</x:v>
      </x:c>
      <x:c r="P811" s="202">
        <x:v>162</x:v>
      </x:c>
      <x:c r="Q811" s="13" t="s">
        <x:v>457</x:v>
      </x:c>
      <x:c r="R811" s="13" t="s">
        <x:v>2017</x:v>
      </x:c>
      <x:c r="S811" s="13" t="s">
        <x:v>1448</x:v>
      </x:c>
      <x:c r="T811" s="13" t="s">
        <x:v>1974</x:v>
      </x:c>
      <x:c r="U811" s="13"/>
      <x:c r="V811" s="13" t="s">
        <x:v>1974</x:v>
      </x:c>
    </x:row>
    <x:row r="812" spans="1:22" s="14" customFormat="1" ht="13.5" customHeight="1">
      <x:c r="A812" s="13" t="str">
        <x:f>O812</x:f>
        <x:v>김지연</x:v>
      </x:c>
      <x:c r="B812" s="25" t="str">
        <x:f>L812&amp;"-"&amp;TEXT(P812,"0000")</x:f>
        <x:v>20021001-0161</x:v>
      </x:c>
      <x:c r="C812" s="13" t="s">
        <x:v>1439</x:v>
      </x:c>
      <x:c r="D812" s="13" t="s">
        <x:v>1533</x:v>
      </x:c>
      <x:c r="E812" s="13" t="s">
        <x:v>1568</x:v>
      </x:c>
      <x:c r="F812" s="13" t="s">
        <x:v>2000</x:v>
      </x:c>
      <x:c r="G812" s="13" t="s">
        <x:v>2021</x:v>
      </x:c>
      <x:c r="H812" s="13" t="str">
        <x:f>IFERROR(VLOOKUP(O812,'정보화기기 명부'!A$2:B$187,2,FALSE),"")</x:f>
        <x:v/>
      </x:c>
      <x:c r="I812" s="13"/>
      <x:c r="J812" s="13"/>
      <x:c r="K812" s="13"/>
      <x:c r="L812" s="13">
        <x:v>20021001</x:v>
      </x:c>
      <x:c r="M812" s="13" t="s">
        <x:v>1966</x:v>
      </x:c>
      <x:c r="N812" s="13" t="s">
        <x:v>2045</x:v>
      </x:c>
      <x:c r="O812" s="13" t="s">
        <x:v>1401</x:v>
      </x:c>
      <x:c r="P812" s="202">
        <x:v>161</x:v>
      </x:c>
      <x:c r="Q812" s="13" t="s">
        <x:v>457</x:v>
      </x:c>
      <x:c r="R812" s="13" t="s">
        <x:v>2017</x:v>
      </x:c>
      <x:c r="S812" s="13" t="s">
        <x:v>1448</x:v>
      </x:c>
      <x:c r="T812" s="13" t="s">
        <x:v>1974</x:v>
      </x:c>
      <x:c r="U812" s="13"/>
      <x:c r="V812" s="13" t="s">
        <x:v>1974</x:v>
      </x:c>
    </x:row>
    <x:row r="813" spans="1:22" s="14" customFormat="1" ht="13.5" customHeight="1">
      <x:c r="A813" s="13" t="str">
        <x:f>O813</x:f>
        <x:v>김지연</x:v>
      </x:c>
      <x:c r="B813" s="25" t="str">
        <x:f>L813&amp;"-"&amp;TEXT(P813,"0000")</x:f>
        <x:v>20021001-0160</x:v>
      </x:c>
      <x:c r="C813" s="13" t="s">
        <x:v>1439</x:v>
      </x:c>
      <x:c r="D813" s="13" t="s">
        <x:v>1533</x:v>
      </x:c>
      <x:c r="E813" s="13" t="s">
        <x:v>1568</x:v>
      </x:c>
      <x:c r="F813" s="13" t="s">
        <x:v>2000</x:v>
      </x:c>
      <x:c r="G813" s="13" t="s">
        <x:v>2021</x:v>
      </x:c>
      <x:c r="H813" s="13" t="str">
        <x:f>IFERROR(VLOOKUP(O813,'정보화기기 명부'!A$2:B$187,2,FALSE),"")</x:f>
        <x:v/>
      </x:c>
      <x:c r="I813" s="13"/>
      <x:c r="J813" s="13"/>
      <x:c r="K813" s="13"/>
      <x:c r="L813" s="13">
        <x:v>20021001</x:v>
      </x:c>
      <x:c r="M813" s="13" t="s">
        <x:v>1966</x:v>
      </x:c>
      <x:c r="N813" s="13" t="s">
        <x:v>2045</x:v>
      </x:c>
      <x:c r="O813" s="13" t="s">
        <x:v>1401</x:v>
      </x:c>
      <x:c r="P813" s="202">
        <x:v>160</x:v>
      </x:c>
      <x:c r="Q813" s="13" t="s">
        <x:v>457</x:v>
      </x:c>
      <x:c r="R813" s="13" t="s">
        <x:v>2017</x:v>
      </x:c>
      <x:c r="S813" s="13" t="s">
        <x:v>1448</x:v>
      </x:c>
      <x:c r="T813" s="13" t="s">
        <x:v>1974</x:v>
      </x:c>
      <x:c r="U813" s="13"/>
      <x:c r="V813" s="13" t="s">
        <x:v>1974</x:v>
      </x:c>
    </x:row>
    <x:row r="814" spans="1:22" s="14" customFormat="1" ht="13.5" customHeight="1">
      <x:c r="A814" s="13" t="str">
        <x:f>O814</x:f>
        <x:v>김지연</x:v>
      </x:c>
      <x:c r="B814" s="25" t="str">
        <x:f>L814&amp;"-"&amp;TEXT(P814,"0000")</x:f>
        <x:v>20021001-0159</x:v>
      </x:c>
      <x:c r="C814" s="13" t="s">
        <x:v>1439</x:v>
      </x:c>
      <x:c r="D814" s="13" t="s">
        <x:v>1533</x:v>
      </x:c>
      <x:c r="E814" s="13" t="s">
        <x:v>1568</x:v>
      </x:c>
      <x:c r="F814" s="13" t="s">
        <x:v>2000</x:v>
      </x:c>
      <x:c r="G814" s="13" t="s">
        <x:v>2021</x:v>
      </x:c>
      <x:c r="H814" s="13" t="str">
        <x:f>IFERROR(VLOOKUP(O814,'정보화기기 명부'!A$2:B$187,2,FALSE),"")</x:f>
        <x:v/>
      </x:c>
      <x:c r="I814" s="13"/>
      <x:c r="J814" s="13"/>
      <x:c r="K814" s="13"/>
      <x:c r="L814" s="13">
        <x:v>20021001</x:v>
      </x:c>
      <x:c r="M814" s="13" t="s">
        <x:v>1966</x:v>
      </x:c>
      <x:c r="N814" s="13" t="s">
        <x:v>2045</x:v>
      </x:c>
      <x:c r="O814" s="13" t="s">
        <x:v>1401</x:v>
      </x:c>
      <x:c r="P814" s="202">
        <x:v>159</x:v>
      </x:c>
      <x:c r="Q814" s="13" t="s">
        <x:v>457</x:v>
      </x:c>
      <x:c r="R814" s="13" t="s">
        <x:v>2017</x:v>
      </x:c>
      <x:c r="S814" s="13" t="s">
        <x:v>1448</x:v>
      </x:c>
      <x:c r="T814" s="13" t="s">
        <x:v>1974</x:v>
      </x:c>
      <x:c r="U814" s="13"/>
      <x:c r="V814" s="13" t="s">
        <x:v>1974</x:v>
      </x:c>
    </x:row>
    <x:row r="815" spans="1:22" s="14" customFormat="1" ht="13.5" customHeight="1">
      <x:c r="A815" s="13" t="str">
        <x:f>O815</x:f>
        <x:v>김지연</x:v>
      </x:c>
      <x:c r="B815" s="25" t="str">
        <x:f>L815&amp;"-"&amp;TEXT(P815,"0000")</x:f>
        <x:v>20021001-0158</x:v>
      </x:c>
      <x:c r="C815" s="13" t="s">
        <x:v>1439</x:v>
      </x:c>
      <x:c r="D815" s="13" t="s">
        <x:v>1533</x:v>
      </x:c>
      <x:c r="E815" s="13" t="s">
        <x:v>1568</x:v>
      </x:c>
      <x:c r="F815" s="13" t="s">
        <x:v>2000</x:v>
      </x:c>
      <x:c r="G815" s="13" t="s">
        <x:v>2021</x:v>
      </x:c>
      <x:c r="H815" s="13" t="str">
        <x:f>IFERROR(VLOOKUP(O815,'정보화기기 명부'!A$2:B$187,2,FALSE),"")</x:f>
        <x:v/>
      </x:c>
      <x:c r="I815" s="13"/>
      <x:c r="J815" s="13"/>
      <x:c r="K815" s="13"/>
      <x:c r="L815" s="13">
        <x:v>20021001</x:v>
      </x:c>
      <x:c r="M815" s="13" t="s">
        <x:v>1966</x:v>
      </x:c>
      <x:c r="N815" s="13" t="s">
        <x:v>2045</x:v>
      </x:c>
      <x:c r="O815" s="13" t="s">
        <x:v>1401</x:v>
      </x:c>
      <x:c r="P815" s="202">
        <x:v>158</x:v>
      </x:c>
      <x:c r="Q815" s="13" t="s">
        <x:v>457</x:v>
      </x:c>
      <x:c r="R815" s="13" t="s">
        <x:v>2017</x:v>
      </x:c>
      <x:c r="S815" s="13" t="s">
        <x:v>1448</x:v>
      </x:c>
      <x:c r="T815" s="13" t="s">
        <x:v>1974</x:v>
      </x:c>
      <x:c r="U815" s="13"/>
      <x:c r="V815" s="13" t="s">
        <x:v>1974</x:v>
      </x:c>
    </x:row>
    <x:row r="816" spans="1:22" s="14" customFormat="1" ht="13.5" customHeight="1">
      <x:c r="A816" s="13" t="str">
        <x:f>O816</x:f>
        <x:v>김지연</x:v>
      </x:c>
      <x:c r="B816" s="25" t="str">
        <x:f>L816&amp;"-"&amp;TEXT(P816,"0000")</x:f>
        <x:v>20021001-0157</x:v>
      </x:c>
      <x:c r="C816" s="13" t="s">
        <x:v>1439</x:v>
      </x:c>
      <x:c r="D816" s="13" t="s">
        <x:v>1533</x:v>
      </x:c>
      <x:c r="E816" s="13" t="s">
        <x:v>1568</x:v>
      </x:c>
      <x:c r="F816" s="13" t="s">
        <x:v>2000</x:v>
      </x:c>
      <x:c r="G816" s="13" t="s">
        <x:v>2021</x:v>
      </x:c>
      <x:c r="H816" s="13" t="str">
        <x:f>IFERROR(VLOOKUP(O816,'정보화기기 명부'!A$2:B$187,2,FALSE),"")</x:f>
        <x:v/>
      </x:c>
      <x:c r="I816" s="13"/>
      <x:c r="J816" s="13"/>
      <x:c r="K816" s="13"/>
      <x:c r="L816" s="13">
        <x:v>20021001</x:v>
      </x:c>
      <x:c r="M816" s="13" t="s">
        <x:v>1966</x:v>
      </x:c>
      <x:c r="N816" s="13" t="s">
        <x:v>2045</x:v>
      </x:c>
      <x:c r="O816" s="13" t="s">
        <x:v>1401</x:v>
      </x:c>
      <x:c r="P816" s="202">
        <x:v>157</x:v>
      </x:c>
      <x:c r="Q816" s="13" t="s">
        <x:v>457</x:v>
      </x:c>
      <x:c r="R816" s="13" t="s">
        <x:v>2017</x:v>
      </x:c>
      <x:c r="S816" s="13" t="s">
        <x:v>1448</x:v>
      </x:c>
      <x:c r="T816" s="13" t="s">
        <x:v>1974</x:v>
      </x:c>
      <x:c r="U816" s="13"/>
      <x:c r="V816" s="13" t="s">
        <x:v>1974</x:v>
      </x:c>
    </x:row>
    <x:row r="817" spans="1:22" s="14" customFormat="1" ht="13.5" customHeight="1">
      <x:c r="A817" s="13" t="str">
        <x:f>O817</x:f>
        <x:v>김지연</x:v>
      </x:c>
      <x:c r="B817" s="25" t="str">
        <x:f>L817&amp;"-"&amp;TEXT(P817,"0000")</x:f>
        <x:v>20021001-0156</x:v>
      </x:c>
      <x:c r="C817" s="13" t="s">
        <x:v>1439</x:v>
      </x:c>
      <x:c r="D817" s="13" t="s">
        <x:v>1533</x:v>
      </x:c>
      <x:c r="E817" s="13" t="s">
        <x:v>1568</x:v>
      </x:c>
      <x:c r="F817" s="13" t="s">
        <x:v>2000</x:v>
      </x:c>
      <x:c r="G817" s="13" t="s">
        <x:v>2021</x:v>
      </x:c>
      <x:c r="H817" s="13" t="str">
        <x:f>IFERROR(VLOOKUP(O817,'정보화기기 명부'!A$2:B$187,2,FALSE),"")</x:f>
        <x:v/>
      </x:c>
      <x:c r="I817" s="13"/>
      <x:c r="J817" s="13"/>
      <x:c r="K817" s="13"/>
      <x:c r="L817" s="13">
        <x:v>20021001</x:v>
      </x:c>
      <x:c r="M817" s="13" t="s">
        <x:v>1966</x:v>
      </x:c>
      <x:c r="N817" s="13" t="s">
        <x:v>2045</x:v>
      </x:c>
      <x:c r="O817" s="13" t="s">
        <x:v>1401</x:v>
      </x:c>
      <x:c r="P817" s="202">
        <x:v>156</x:v>
      </x:c>
      <x:c r="Q817" s="13" t="s">
        <x:v>457</x:v>
      </x:c>
      <x:c r="R817" s="13" t="s">
        <x:v>2017</x:v>
      </x:c>
      <x:c r="S817" s="13" t="s">
        <x:v>1448</x:v>
      </x:c>
      <x:c r="T817" s="13" t="s">
        <x:v>1974</x:v>
      </x:c>
      <x:c r="U817" s="13"/>
      <x:c r="V817" s="13" t="s">
        <x:v>1974</x:v>
      </x:c>
    </x:row>
    <x:row r="818" spans="1:22" s="14" customFormat="1" ht="13.5" customHeight="1">
      <x:c r="A818" s="13" t="str">
        <x:f>O818</x:f>
        <x:v>김지연</x:v>
      </x:c>
      <x:c r="B818" s="25" t="str">
        <x:f>L818&amp;"-"&amp;TEXT(P818,"0000")</x:f>
        <x:v>20021001-0155</x:v>
      </x:c>
      <x:c r="C818" s="13" t="s">
        <x:v>1439</x:v>
      </x:c>
      <x:c r="D818" s="13" t="s">
        <x:v>1533</x:v>
      </x:c>
      <x:c r="E818" s="13" t="s">
        <x:v>1568</x:v>
      </x:c>
      <x:c r="F818" s="13" t="s">
        <x:v>2000</x:v>
      </x:c>
      <x:c r="G818" s="13" t="s">
        <x:v>2021</x:v>
      </x:c>
      <x:c r="H818" s="13" t="str">
        <x:f>IFERROR(VLOOKUP(O818,'정보화기기 명부'!A$2:B$187,2,FALSE),"")</x:f>
        <x:v/>
      </x:c>
      <x:c r="I818" s="13"/>
      <x:c r="J818" s="13"/>
      <x:c r="K818" s="13"/>
      <x:c r="L818" s="13">
        <x:v>20021001</x:v>
      </x:c>
      <x:c r="M818" s="13" t="s">
        <x:v>1966</x:v>
      </x:c>
      <x:c r="N818" s="13" t="s">
        <x:v>2045</x:v>
      </x:c>
      <x:c r="O818" s="13" t="s">
        <x:v>1401</x:v>
      </x:c>
      <x:c r="P818" s="202">
        <x:v>155</x:v>
      </x:c>
      <x:c r="Q818" s="13" t="s">
        <x:v>457</x:v>
      </x:c>
      <x:c r="R818" s="13" t="s">
        <x:v>2017</x:v>
      </x:c>
      <x:c r="S818" s="13" t="s">
        <x:v>1448</x:v>
      </x:c>
      <x:c r="T818" s="13" t="s">
        <x:v>1974</x:v>
      </x:c>
      <x:c r="U818" s="13"/>
      <x:c r="V818" s="13" t="s">
        <x:v>1974</x:v>
      </x:c>
    </x:row>
    <x:row r="819" spans="1:22" s="14" customFormat="1" ht="13.5" customHeight="1">
      <x:c r="A819" s="13" t="str">
        <x:f>O819</x:f>
        <x:v>김지연</x:v>
      </x:c>
      <x:c r="B819" s="25" t="str">
        <x:f>L819&amp;"-"&amp;TEXT(P819,"0000")</x:f>
        <x:v>20021001-0154</x:v>
      </x:c>
      <x:c r="C819" s="13" t="s">
        <x:v>1439</x:v>
      </x:c>
      <x:c r="D819" s="13" t="s">
        <x:v>1533</x:v>
      </x:c>
      <x:c r="E819" s="13" t="s">
        <x:v>1568</x:v>
      </x:c>
      <x:c r="F819" s="13" t="s">
        <x:v>2000</x:v>
      </x:c>
      <x:c r="G819" s="13" t="s">
        <x:v>2021</x:v>
      </x:c>
      <x:c r="H819" s="13" t="str">
        <x:f>IFERROR(VLOOKUP(O819,'정보화기기 명부'!A$2:B$187,2,FALSE),"")</x:f>
        <x:v/>
      </x:c>
      <x:c r="I819" s="13"/>
      <x:c r="J819" s="13"/>
      <x:c r="K819" s="13"/>
      <x:c r="L819" s="13">
        <x:v>20021001</x:v>
      </x:c>
      <x:c r="M819" s="13" t="s">
        <x:v>1966</x:v>
      </x:c>
      <x:c r="N819" s="13" t="s">
        <x:v>2045</x:v>
      </x:c>
      <x:c r="O819" s="13" t="s">
        <x:v>1401</x:v>
      </x:c>
      <x:c r="P819" s="202">
        <x:v>154</x:v>
      </x:c>
      <x:c r="Q819" s="13" t="s">
        <x:v>457</x:v>
      </x:c>
      <x:c r="R819" s="13" t="s">
        <x:v>2017</x:v>
      </x:c>
      <x:c r="S819" s="13" t="s">
        <x:v>1448</x:v>
      </x:c>
      <x:c r="T819" s="13" t="s">
        <x:v>1974</x:v>
      </x:c>
      <x:c r="U819" s="13"/>
      <x:c r="V819" s="13" t="s">
        <x:v>1974</x:v>
      </x:c>
    </x:row>
    <x:row r="820" spans="1:22" s="14" customFormat="1" ht="13.5" customHeight="1">
      <x:c r="A820" s="13" t="str">
        <x:f>O820</x:f>
        <x:v>김지연</x:v>
      </x:c>
      <x:c r="B820" s="25" t="str">
        <x:f>L820&amp;"-"&amp;TEXT(P820,"0000")</x:f>
        <x:v>20021001-0153</x:v>
      </x:c>
      <x:c r="C820" s="13" t="s">
        <x:v>1439</x:v>
      </x:c>
      <x:c r="D820" s="13" t="s">
        <x:v>1533</x:v>
      </x:c>
      <x:c r="E820" s="13" t="s">
        <x:v>1568</x:v>
      </x:c>
      <x:c r="F820" s="13" t="s">
        <x:v>2000</x:v>
      </x:c>
      <x:c r="G820" s="13" t="s">
        <x:v>2021</x:v>
      </x:c>
      <x:c r="H820" s="13" t="str">
        <x:f>IFERROR(VLOOKUP(O820,'정보화기기 명부'!A$2:B$187,2,FALSE),"")</x:f>
        <x:v/>
      </x:c>
      <x:c r="I820" s="13"/>
      <x:c r="J820" s="13"/>
      <x:c r="K820" s="13"/>
      <x:c r="L820" s="13">
        <x:v>20021001</x:v>
      </x:c>
      <x:c r="M820" s="13" t="s">
        <x:v>1966</x:v>
      </x:c>
      <x:c r="N820" s="13" t="s">
        <x:v>2045</x:v>
      </x:c>
      <x:c r="O820" s="13" t="s">
        <x:v>1401</x:v>
      </x:c>
      <x:c r="P820" s="202">
        <x:v>153</x:v>
      </x:c>
      <x:c r="Q820" s="13" t="s">
        <x:v>457</x:v>
      </x:c>
      <x:c r="R820" s="13" t="s">
        <x:v>2017</x:v>
      </x:c>
      <x:c r="S820" s="13" t="s">
        <x:v>1448</x:v>
      </x:c>
      <x:c r="T820" s="13" t="s">
        <x:v>1974</x:v>
      </x:c>
      <x:c r="U820" s="13"/>
      <x:c r="V820" s="13" t="s">
        <x:v>1974</x:v>
      </x:c>
    </x:row>
    <x:row r="821" spans="1:22" s="14" customFormat="1" ht="13.5" customHeight="1">
      <x:c r="A821" s="13" t="str">
        <x:f>O821</x:f>
        <x:v>김지연</x:v>
      </x:c>
      <x:c r="B821" s="25" t="str">
        <x:f>L821&amp;"-"&amp;TEXT(P821,"0000")</x:f>
        <x:v>20021001-0152</x:v>
      </x:c>
      <x:c r="C821" s="13" t="s">
        <x:v>1439</x:v>
      </x:c>
      <x:c r="D821" s="13" t="s">
        <x:v>1533</x:v>
      </x:c>
      <x:c r="E821" s="13" t="s">
        <x:v>1568</x:v>
      </x:c>
      <x:c r="F821" s="13" t="s">
        <x:v>2000</x:v>
      </x:c>
      <x:c r="G821" s="13" t="s">
        <x:v>2021</x:v>
      </x:c>
      <x:c r="H821" s="13" t="str">
        <x:f>IFERROR(VLOOKUP(O821,'정보화기기 명부'!A$2:B$187,2,FALSE),"")</x:f>
        <x:v/>
      </x:c>
      <x:c r="I821" s="13"/>
      <x:c r="J821" s="13"/>
      <x:c r="K821" s="13"/>
      <x:c r="L821" s="13">
        <x:v>20021001</x:v>
      </x:c>
      <x:c r="M821" s="13" t="s">
        <x:v>1966</x:v>
      </x:c>
      <x:c r="N821" s="13" t="s">
        <x:v>2045</x:v>
      </x:c>
      <x:c r="O821" s="13" t="s">
        <x:v>1401</x:v>
      </x:c>
      <x:c r="P821" s="202">
        <x:v>152</x:v>
      </x:c>
      <x:c r="Q821" s="13" t="s">
        <x:v>457</x:v>
      </x:c>
      <x:c r="R821" s="13" t="s">
        <x:v>2017</x:v>
      </x:c>
      <x:c r="S821" s="13" t="s">
        <x:v>1448</x:v>
      </x:c>
      <x:c r="T821" s="13" t="s">
        <x:v>1974</x:v>
      </x:c>
      <x:c r="U821" s="13"/>
      <x:c r="V821" s="13" t="s">
        <x:v>1974</x:v>
      </x:c>
    </x:row>
    <x:row r="822" spans="1:22" s="14" customFormat="1" ht="13.5" customHeight="1">
      <x:c r="A822" s="13" t="str">
        <x:f>O822</x:f>
        <x:v>김지연</x:v>
      </x:c>
      <x:c r="B822" s="25" t="str">
        <x:f>L822&amp;"-"&amp;TEXT(P822,"0000")</x:f>
        <x:v>20021001-0151</x:v>
      </x:c>
      <x:c r="C822" s="13" t="s">
        <x:v>1439</x:v>
      </x:c>
      <x:c r="D822" s="13" t="s">
        <x:v>1533</x:v>
      </x:c>
      <x:c r="E822" s="13" t="s">
        <x:v>1568</x:v>
      </x:c>
      <x:c r="F822" s="13" t="s">
        <x:v>2000</x:v>
      </x:c>
      <x:c r="G822" s="13" t="s">
        <x:v>2021</x:v>
      </x:c>
      <x:c r="H822" s="13" t="str">
        <x:f>IFERROR(VLOOKUP(O822,'정보화기기 명부'!A$2:B$187,2,FALSE),"")</x:f>
        <x:v/>
      </x:c>
      <x:c r="I822" s="13"/>
      <x:c r="J822" s="13"/>
      <x:c r="K822" s="13"/>
      <x:c r="L822" s="13">
        <x:v>20021001</x:v>
      </x:c>
      <x:c r="M822" s="13" t="s">
        <x:v>1966</x:v>
      </x:c>
      <x:c r="N822" s="13" t="s">
        <x:v>2045</x:v>
      </x:c>
      <x:c r="O822" s="13" t="s">
        <x:v>1401</x:v>
      </x:c>
      <x:c r="P822" s="13">
        <x:v>151</x:v>
      </x:c>
      <x:c r="Q822" s="13" t="s">
        <x:v>457</x:v>
      </x:c>
      <x:c r="R822" s="13" t="s">
        <x:v>2017</x:v>
      </x:c>
      <x:c r="S822" s="13" t="s">
        <x:v>1448</x:v>
      </x:c>
      <x:c r="T822" s="13" t="s">
        <x:v>1974</x:v>
      </x:c>
      <x:c r="U822" s="13"/>
      <x:c r="V822" s="13" t="s">
        <x:v>1974</x:v>
      </x:c>
    </x:row>
    <x:row r="823" spans="1:22" s="14" customFormat="1" ht="13.5" customHeight="1">
      <x:c r="A823" s="13" t="str">
        <x:f>O823</x:f>
        <x:v>김지연</x:v>
      </x:c>
      <x:c r="B823" s="25" t="str">
        <x:f>L823&amp;"-"&amp;TEXT(P823,"0000")</x:f>
        <x:v>20021001-0150</x:v>
      </x:c>
      <x:c r="C823" s="13" t="s">
        <x:v>1439</x:v>
      </x:c>
      <x:c r="D823" s="13" t="s">
        <x:v>1533</x:v>
      </x:c>
      <x:c r="E823" s="13" t="s">
        <x:v>1568</x:v>
      </x:c>
      <x:c r="F823" s="13" t="s">
        <x:v>2000</x:v>
      </x:c>
      <x:c r="G823" s="13" t="s">
        <x:v>2021</x:v>
      </x:c>
      <x:c r="H823" s="13" t="str">
        <x:f>IFERROR(VLOOKUP(O823,'정보화기기 명부'!A$2:B$187,2,FALSE),"")</x:f>
        <x:v/>
      </x:c>
      <x:c r="I823" s="13"/>
      <x:c r="J823" s="13"/>
      <x:c r="K823" s="13"/>
      <x:c r="L823" s="13">
        <x:v>20021001</x:v>
      </x:c>
      <x:c r="M823" s="13" t="s">
        <x:v>1966</x:v>
      </x:c>
      <x:c r="N823" s="13" t="s">
        <x:v>2045</x:v>
      </x:c>
      <x:c r="O823" s="13" t="s">
        <x:v>1401</x:v>
      </x:c>
      <x:c r="P823" s="13">
        <x:v>150</x:v>
      </x:c>
      <x:c r="Q823" s="13" t="s">
        <x:v>457</x:v>
      </x:c>
      <x:c r="R823" s="13" t="s">
        <x:v>2017</x:v>
      </x:c>
      <x:c r="S823" s="13" t="s">
        <x:v>1448</x:v>
      </x:c>
      <x:c r="T823" s="13" t="s">
        <x:v>1974</x:v>
      </x:c>
      <x:c r="U823" s="13"/>
      <x:c r="V823" s="13" t="s">
        <x:v>1974</x:v>
      </x:c>
    </x:row>
    <x:row r="824" spans="1:22" s="14" customFormat="1" ht="13.5" customHeight="1">
      <x:c r="A824" s="13" t="str">
        <x:f>O824</x:f>
        <x:v>김지연</x:v>
      </x:c>
      <x:c r="B824" s="25" t="str">
        <x:f>L824&amp;"-"&amp;TEXT(P824,"0000")</x:f>
        <x:v>20021001-0149</x:v>
      </x:c>
      <x:c r="C824" s="13" t="s">
        <x:v>1439</x:v>
      </x:c>
      <x:c r="D824" s="13" t="s">
        <x:v>1533</x:v>
      </x:c>
      <x:c r="E824" s="13" t="s">
        <x:v>1568</x:v>
      </x:c>
      <x:c r="F824" s="13" t="s">
        <x:v>2000</x:v>
      </x:c>
      <x:c r="G824" s="13" t="s">
        <x:v>2021</x:v>
      </x:c>
      <x:c r="H824" s="13" t="str">
        <x:f>IFERROR(VLOOKUP(O824,'정보화기기 명부'!A$2:B$187,2,FALSE),"")</x:f>
        <x:v/>
      </x:c>
      <x:c r="I824" s="13"/>
      <x:c r="J824" s="13"/>
      <x:c r="K824" s="13"/>
      <x:c r="L824" s="13">
        <x:v>20021001</x:v>
      </x:c>
      <x:c r="M824" s="13" t="s">
        <x:v>1966</x:v>
      </x:c>
      <x:c r="N824" s="13" t="s">
        <x:v>2045</x:v>
      </x:c>
      <x:c r="O824" s="13" t="s">
        <x:v>1401</x:v>
      </x:c>
      <x:c r="P824" s="13">
        <x:v>149</x:v>
      </x:c>
      <x:c r="Q824" s="13" t="s">
        <x:v>457</x:v>
      </x:c>
      <x:c r="R824" s="13" t="s">
        <x:v>2017</x:v>
      </x:c>
      <x:c r="S824" s="13" t="s">
        <x:v>1448</x:v>
      </x:c>
      <x:c r="T824" s="13" t="s">
        <x:v>1974</x:v>
      </x:c>
      <x:c r="U824" s="13"/>
      <x:c r="V824" s="13" t="s">
        <x:v>1974</x:v>
      </x:c>
    </x:row>
    <x:row r="825" spans="1:22" s="14" customFormat="1" ht="13.5" customHeight="1">
      <x:c r="A825" s="13" t="str">
        <x:f>O825</x:f>
        <x:v>김지연</x:v>
      </x:c>
      <x:c r="B825" s="25" t="str">
        <x:f>L825&amp;"-"&amp;TEXT(P825,"0000")</x:f>
        <x:v>20021001-0148</x:v>
      </x:c>
      <x:c r="C825" s="13" t="s">
        <x:v>1439</x:v>
      </x:c>
      <x:c r="D825" s="13" t="s">
        <x:v>1533</x:v>
      </x:c>
      <x:c r="E825" s="13" t="s">
        <x:v>1568</x:v>
      </x:c>
      <x:c r="F825" s="13" t="s">
        <x:v>2000</x:v>
      </x:c>
      <x:c r="G825" s="13" t="s">
        <x:v>2021</x:v>
      </x:c>
      <x:c r="H825" s="13" t="str">
        <x:f>IFERROR(VLOOKUP(O825,'정보화기기 명부'!A$2:B$187,2,FALSE),"")</x:f>
        <x:v/>
      </x:c>
      <x:c r="I825" s="13"/>
      <x:c r="J825" s="13"/>
      <x:c r="K825" s="13"/>
      <x:c r="L825" s="13">
        <x:v>20021001</x:v>
      </x:c>
      <x:c r="M825" s="13" t="s">
        <x:v>1966</x:v>
      </x:c>
      <x:c r="N825" s="13" t="s">
        <x:v>2045</x:v>
      </x:c>
      <x:c r="O825" s="13" t="s">
        <x:v>1401</x:v>
      </x:c>
      <x:c r="P825" s="13">
        <x:v>148</x:v>
      </x:c>
      <x:c r="Q825" s="13" t="s">
        <x:v>457</x:v>
      </x:c>
      <x:c r="R825" s="13" t="s">
        <x:v>2017</x:v>
      </x:c>
      <x:c r="S825" s="13" t="s">
        <x:v>1448</x:v>
      </x:c>
      <x:c r="T825" s="13" t="s">
        <x:v>1974</x:v>
      </x:c>
      <x:c r="U825" s="13"/>
      <x:c r="V825" s="13" t="s">
        <x:v>1974</x:v>
      </x:c>
    </x:row>
    <x:row r="826" spans="1:22" s="14" customFormat="1" ht="13.5" customHeight="1">
      <x:c r="A826" s="13" t="str">
        <x:f>O826</x:f>
        <x:v>김지연</x:v>
      </x:c>
      <x:c r="B826" s="25" t="str">
        <x:f>L826&amp;"-"&amp;TEXT(P826,"0000")</x:f>
        <x:v>20021001-0147</x:v>
      </x:c>
      <x:c r="C826" s="13" t="s">
        <x:v>1439</x:v>
      </x:c>
      <x:c r="D826" s="13" t="s">
        <x:v>1533</x:v>
      </x:c>
      <x:c r="E826" s="13" t="s">
        <x:v>1568</x:v>
      </x:c>
      <x:c r="F826" s="13" t="s">
        <x:v>2000</x:v>
      </x:c>
      <x:c r="G826" s="13" t="s">
        <x:v>2021</x:v>
      </x:c>
      <x:c r="H826" s="13" t="str">
        <x:f>IFERROR(VLOOKUP(O826,'정보화기기 명부'!A$2:B$187,2,FALSE),"")</x:f>
        <x:v/>
      </x:c>
      <x:c r="I826" s="13"/>
      <x:c r="J826" s="13"/>
      <x:c r="K826" s="13"/>
      <x:c r="L826" s="13">
        <x:v>20021001</x:v>
      </x:c>
      <x:c r="M826" s="13" t="s">
        <x:v>1966</x:v>
      </x:c>
      <x:c r="N826" s="13" t="s">
        <x:v>2045</x:v>
      </x:c>
      <x:c r="O826" s="13" t="s">
        <x:v>1401</x:v>
      </x:c>
      <x:c r="P826" s="13">
        <x:v>147</x:v>
      </x:c>
      <x:c r="Q826" s="13" t="s">
        <x:v>457</x:v>
      </x:c>
      <x:c r="R826" s="13" t="s">
        <x:v>2017</x:v>
      </x:c>
      <x:c r="S826" s="13" t="s">
        <x:v>1448</x:v>
      </x:c>
      <x:c r="T826" s="13" t="s">
        <x:v>1974</x:v>
      </x:c>
      <x:c r="U826" s="13"/>
      <x:c r="V826" s="13" t="s">
        <x:v>1974</x:v>
      </x:c>
    </x:row>
    <x:row r="827" spans="1:22" s="14" customFormat="1" ht="13.5" customHeight="1">
      <x:c r="A827" s="13" t="str">
        <x:f>O827</x:f>
        <x:v>정세희</x:v>
      </x:c>
      <x:c r="B827" s="25" t="str">
        <x:f>L827&amp;"-"&amp;TEXT(P827,"0000")</x:f>
        <x:v>20020628-0017</x:v>
      </x:c>
      <x:c r="C827" s="13" t="s">
        <x:v>1564</x:v>
      </x:c>
      <x:c r="D827" s="13" t="s">
        <x:v>1533</x:v>
      </x:c>
      <x:c r="E827" s="13" t="s">
        <x:v>1251</x:v>
      </x:c>
      <x:c r="F827" s="13" t="s">
        <x:v>646</x:v>
      </x:c>
      <x:c r="G827" s="13" t="s">
        <x:v>1575</x:v>
      </x:c>
      <x:c r="H827" s="13" t="str">
        <x:f>IFERROR(VLOOKUP(O827,'정보화기기 명부'!A$2:B$187,2,FALSE),"")</x:f>
        <x:v/>
      </x:c>
      <x:c r="I827" s="13"/>
      <x:c r="J827" s="13"/>
      <x:c r="K827" s="13"/>
      <x:c r="L827" s="13">
        <x:v>20020628</x:v>
      </x:c>
      <x:c r="M827" s="13" t="s">
        <x:v>6</x:v>
      </x:c>
      <x:c r="N827" s="13" t="s">
        <x:v>1965</x:v>
      </x:c>
      <x:c r="O827" s="13" t="s">
        <x:v>1283</x:v>
      </x:c>
      <x:c r="P827" s="13">
        <x:v>17</x:v>
      </x:c>
      <x:c r="Q827" s="13" t="s">
        <x:v>572</x:v>
      </x:c>
      <x:c r="R827" s="13" t="s">
        <x:v>1979</x:v>
      </x:c>
      <x:c r="S827" s="13" t="s">
        <x:v>1395</x:v>
      </x:c>
      <x:c r="T827" s="13" t="s">
        <x:v>3154</x:v>
      </x:c>
      <x:c r="U827" s="13"/>
      <x:c r="V827" s="13" t="s">
        <x:v>1746</x:v>
      </x:c>
    </x:row>
    <x:row r="828" spans="1:22" s="14" customFormat="1" ht="13.5" customHeight="1">
      <x:c r="A828" s="13" t="str">
        <x:f>O828</x:f>
        <x:v>이격주</x:v>
      </x:c>
      <x:c r="B828" s="25" t="str">
        <x:f>L828&amp;"-"&amp;TEXT(P828,"0000")</x:f>
        <x:v>20020628-0018</x:v>
      </x:c>
      <x:c r="C828" s="13" t="s">
        <x:v>1564</x:v>
      </x:c>
      <x:c r="D828" s="13" t="s">
        <x:v>1533</x:v>
      </x:c>
      <x:c r="E828" s="13" t="s">
        <x:v>1251</x:v>
      </x:c>
      <x:c r="F828" s="13" t="s">
        <x:v>646</x:v>
      </x:c>
      <x:c r="G828" s="13" t="s">
        <x:v>1575</x:v>
      </x:c>
      <x:c r="H828" s="13" t="str">
        <x:f>IFERROR(VLOOKUP(O828,'정보화기기 명부'!A$2:B$187,2,FALSE),"")</x:f>
        <x:v/>
      </x:c>
      <x:c r="I828" s="13"/>
      <x:c r="J828" s="13"/>
      <x:c r="K828" s="13"/>
      <x:c r="L828" s="13">
        <x:v>20020628</x:v>
      </x:c>
      <x:c r="M828" s="13" t="s">
        <x:v>6</x:v>
      </x:c>
      <x:c r="N828" s="13" t="s">
        <x:v>1965</x:v>
      </x:c>
      <x:c r="O828" s="13" t="s">
        <x:v>1407</x:v>
      </x:c>
      <x:c r="P828" s="13">
        <x:v>18</x:v>
      </x:c>
      <x:c r="Q828" s="13" t="s">
        <x:v>572</x:v>
      </x:c>
      <x:c r="R828" s="13" t="s">
        <x:v>1979</x:v>
      </x:c>
      <x:c r="S828" s="13" t="s">
        <x:v>1395</x:v>
      </x:c>
      <x:c r="T828" s="13" t="s">
        <x:v>3154</x:v>
      </x:c>
      <x:c r="U828" s="13"/>
      <x:c r="V828" s="13" t="s">
        <x:v>1746</x:v>
      </x:c>
    </x:row>
    <x:row r="829" spans="1:22" s="14" customFormat="1" ht="13.5" customHeight="1">
      <x:c r="A829" s="13" t="str">
        <x:f>O829</x:f>
        <x:v>권지란</x:v>
      </x:c>
      <x:c r="B829" s="25" t="str">
        <x:f>L829&amp;"-"&amp;TEXT(P829,"0000")</x:f>
        <x:v>20020628-0019</x:v>
      </x:c>
      <x:c r="C829" s="13" t="s">
        <x:v>1564</x:v>
      </x:c>
      <x:c r="D829" s="13" t="s">
        <x:v>1533</x:v>
      </x:c>
      <x:c r="E829" s="13" t="s">
        <x:v>1251</x:v>
      </x:c>
      <x:c r="F829" s="13" t="s">
        <x:v>646</x:v>
      </x:c>
      <x:c r="G829" s="13" t="s">
        <x:v>1575</x:v>
      </x:c>
      <x:c r="H829" s="13" t="str">
        <x:f>IFERROR(VLOOKUP(O829,'정보화기기 명부'!A$2:B$187,2,FALSE),"")</x:f>
        <x:v/>
      </x:c>
      <x:c r="I829" s="13"/>
      <x:c r="J829" s="13"/>
      <x:c r="K829" s="13"/>
      <x:c r="L829" s="13">
        <x:v>20020628</x:v>
      </x:c>
      <x:c r="M829" s="13" t="s">
        <x:v>6</x:v>
      </x:c>
      <x:c r="N829" s="13" t="s">
        <x:v>1965</x:v>
      </x:c>
      <x:c r="O829" s="13" t="s">
        <x:v>1388</x:v>
      </x:c>
      <x:c r="P829" s="13">
        <x:v>19</x:v>
      </x:c>
      <x:c r="Q829" s="13" t="s">
        <x:v>572</x:v>
      </x:c>
      <x:c r="R829" s="13" t="s">
        <x:v>1979</x:v>
      </x:c>
      <x:c r="S829" s="13" t="s">
        <x:v>1395</x:v>
      </x:c>
      <x:c r="T829" s="13" t="s">
        <x:v>3154</x:v>
      </x:c>
      <x:c r="U829" s="13"/>
      <x:c r="V829" s="13" t="s">
        <x:v>1746</x:v>
      </x:c>
    </x:row>
    <x:row r="830" spans="1:22" s="14" customFormat="1" ht="13.5" customHeight="1">
      <x:c r="A830" s="13" t="str">
        <x:f>O830</x:f>
        <x:v>김병산</x:v>
      </x:c>
      <x:c r="B830" s="25" t="str">
        <x:f>L830&amp;"-"&amp;TEXT(P830,"0000")</x:f>
        <x:v>20020628-0020</x:v>
      </x:c>
      <x:c r="C830" s="13" t="s">
        <x:v>1564</x:v>
      </x:c>
      <x:c r="D830" s="13" t="s">
        <x:v>1533</x:v>
      </x:c>
      <x:c r="E830" s="13" t="s">
        <x:v>1251</x:v>
      </x:c>
      <x:c r="F830" s="13" t="s">
        <x:v>646</x:v>
      </x:c>
      <x:c r="G830" s="13" t="s">
        <x:v>1575</x:v>
      </x:c>
      <x:c r="H830" s="13" t="str">
        <x:f>IFERROR(VLOOKUP(O830,'정보화기기 명부'!A$2:B$187,2,FALSE),"")</x:f>
        <x:v/>
      </x:c>
      <x:c r="I830" s="13"/>
      <x:c r="J830" s="13"/>
      <x:c r="K830" s="13"/>
      <x:c r="L830" s="13">
        <x:v>20020628</x:v>
      </x:c>
      <x:c r="M830" s="13" t="s">
        <x:v>6</x:v>
      </x:c>
      <x:c r="N830" s="13" t="s">
        <x:v>1965</x:v>
      </x:c>
      <x:c r="O830" s="13" t="s">
        <x:v>1398</x:v>
      </x:c>
      <x:c r="P830" s="13">
        <x:v>20</x:v>
      </x:c>
      <x:c r="Q830" s="13" t="s">
        <x:v>572</x:v>
      </x:c>
      <x:c r="R830" s="13" t="s">
        <x:v>1979</x:v>
      </x:c>
      <x:c r="S830" s="13" t="s">
        <x:v>1395</x:v>
      </x:c>
      <x:c r="T830" s="13" t="s">
        <x:v>3154</x:v>
      </x:c>
      <x:c r="U830" s="13"/>
      <x:c r="V830" s="13" t="s">
        <x:v>1746</x:v>
      </x:c>
    </x:row>
    <x:row r="831" spans="1:22" s="14" customFormat="1" ht="13.5" customHeight="1">
      <x:c r="A831" s="13" t="str">
        <x:f>O831</x:f>
        <x:v>이윤희</x:v>
      </x:c>
      <x:c r="B831" s="25" t="str">
        <x:f>L831&amp;"-"&amp;TEXT(P831,"0000")</x:f>
        <x:v>20020628-0021</x:v>
      </x:c>
      <x:c r="C831" s="13" t="s">
        <x:v>1564</x:v>
      </x:c>
      <x:c r="D831" s="13" t="s">
        <x:v>1533</x:v>
      </x:c>
      <x:c r="E831" s="13" t="s">
        <x:v>1251</x:v>
      </x:c>
      <x:c r="F831" s="13" t="s">
        <x:v>646</x:v>
      </x:c>
      <x:c r="G831" s="13" t="s">
        <x:v>1575</x:v>
      </x:c>
      <x:c r="H831" s="13" t="str">
        <x:f>IFERROR(VLOOKUP(O831,'정보화기기 명부'!A$2:B$187,2,FALSE),"")</x:f>
        <x:v/>
      </x:c>
      <x:c r="I831" s="13"/>
      <x:c r="J831" s="13"/>
      <x:c r="K831" s="13"/>
      <x:c r="L831" s="13">
        <x:v>20020628</x:v>
      </x:c>
      <x:c r="M831" s="13" t="s">
        <x:v>6</x:v>
      </x:c>
      <x:c r="N831" s="13" t="s">
        <x:v>1965</x:v>
      </x:c>
      <x:c r="O831" s="13" t="s">
        <x:v>1360</x:v>
      </x:c>
      <x:c r="P831" s="13">
        <x:v>21</x:v>
      </x:c>
      <x:c r="Q831" s="13" t="s">
        <x:v>572</x:v>
      </x:c>
      <x:c r="R831" s="13" t="s">
        <x:v>1979</x:v>
      </x:c>
      <x:c r="S831" s="13" t="s">
        <x:v>1395</x:v>
      </x:c>
      <x:c r="T831" s="13" t="s">
        <x:v>3154</x:v>
      </x:c>
      <x:c r="U831" s="13"/>
      <x:c r="V831" s="13" t="s">
        <x:v>1746</x:v>
      </x:c>
    </x:row>
    <x:row r="832" spans="1:22" s="14" customFormat="1" ht="13.5" customHeight="1">
      <x:c r="A832" s="13" t="str">
        <x:f>O832</x:f>
        <x:v>김주미</x:v>
      </x:c>
      <x:c r="B832" s="25" t="str">
        <x:f>L832&amp;"-"&amp;TEXT(P832,"0000")</x:f>
        <x:v>20020628-0022</x:v>
      </x:c>
      <x:c r="C832" s="13" t="s">
        <x:v>1564</x:v>
      </x:c>
      <x:c r="D832" s="13" t="s">
        <x:v>1533</x:v>
      </x:c>
      <x:c r="E832" s="13" t="s">
        <x:v>1251</x:v>
      </x:c>
      <x:c r="F832" s="13" t="s">
        <x:v>646</x:v>
      </x:c>
      <x:c r="G832" s="13" t="s">
        <x:v>1575</x:v>
      </x:c>
      <x:c r="H832" s="13" t="str">
        <x:f>IFERROR(VLOOKUP(O832,'정보화기기 명부'!A$2:B$187,2,FALSE),"")</x:f>
        <x:v/>
      </x:c>
      <x:c r="I832" s="13"/>
      <x:c r="J832" s="13"/>
      <x:c r="K832" s="13"/>
      <x:c r="L832" s="13">
        <x:v>20020628</x:v>
      </x:c>
      <x:c r="M832" s="13" t="s">
        <x:v>6</x:v>
      </x:c>
      <x:c r="N832" s="13" t="s">
        <x:v>1965</x:v>
      </x:c>
      <x:c r="O832" s="13" t="s">
        <x:v>1422</x:v>
      </x:c>
      <x:c r="P832" s="13">
        <x:v>22</x:v>
      </x:c>
      <x:c r="Q832" s="13" t="s">
        <x:v>572</x:v>
      </x:c>
      <x:c r="R832" s="13" t="s">
        <x:v>1979</x:v>
      </x:c>
      <x:c r="S832" s="13" t="s">
        <x:v>1395</x:v>
      </x:c>
      <x:c r="T832" s="13" t="s">
        <x:v>3154</x:v>
      </x:c>
      <x:c r="U832" s="13"/>
      <x:c r="V832" s="13" t="s">
        <x:v>1746</x:v>
      </x:c>
    </x:row>
    <x:row r="833" spans="1:22" s="14" customFormat="1" ht="13.5" customHeight="1">
      <x:c r="A833" s="13" t="str">
        <x:f>O833</x:f>
        <x:v>강은주</x:v>
      </x:c>
      <x:c r="B833" s="25" t="str">
        <x:f>L833&amp;"-"&amp;TEXT(P833,"0000")</x:f>
        <x:v>20020628-0023</x:v>
      </x:c>
      <x:c r="C833" s="13" t="s">
        <x:v>1564</x:v>
      </x:c>
      <x:c r="D833" s="13" t="s">
        <x:v>1533</x:v>
      </x:c>
      <x:c r="E833" s="13" t="s">
        <x:v>1251</x:v>
      </x:c>
      <x:c r="F833" s="13" t="s">
        <x:v>646</x:v>
      </x:c>
      <x:c r="G833" s="13" t="s">
        <x:v>1575</x:v>
      </x:c>
      <x:c r="H833" s="13" t="str">
        <x:f>IFERROR(VLOOKUP(O833,'정보화기기 명부'!A$2:B$187,2,FALSE),"")</x:f>
        <x:v/>
      </x:c>
      <x:c r="I833" s="13"/>
      <x:c r="J833" s="13"/>
      <x:c r="K833" s="13"/>
      <x:c r="L833" s="13">
        <x:v>20020628</x:v>
      </x:c>
      <x:c r="M833" s="13" t="s">
        <x:v>6</x:v>
      </x:c>
      <x:c r="N833" s="13" t="s">
        <x:v>1965</x:v>
      </x:c>
      <x:c r="O833" s="13" t="s">
        <x:v>1451</x:v>
      </x:c>
      <x:c r="P833" s="13">
        <x:v>23</x:v>
      </x:c>
      <x:c r="Q833" s="13" t="s">
        <x:v>572</x:v>
      </x:c>
      <x:c r="R833" s="13" t="s">
        <x:v>1979</x:v>
      </x:c>
      <x:c r="S833" s="13" t="s">
        <x:v>1395</x:v>
      </x:c>
      <x:c r="T833" s="13" t="s">
        <x:v>3154</x:v>
      </x:c>
      <x:c r="U833" s="13"/>
      <x:c r="V833" s="13" t="s">
        <x:v>1746</x:v>
      </x:c>
    </x:row>
    <x:row r="834" spans="1:22" s="14" customFormat="1" ht="13.5" customHeight="1">
      <x:c r="A834" s="13" t="str">
        <x:f>O834</x:f>
        <x:v>권현진</x:v>
      </x:c>
      <x:c r="B834" s="25" t="str">
        <x:f>L834&amp;"-"&amp;TEXT(P834,"0000")</x:f>
        <x:v>20020628-0024</x:v>
      </x:c>
      <x:c r="C834" s="13" t="s">
        <x:v>1564</x:v>
      </x:c>
      <x:c r="D834" s="13" t="s">
        <x:v>1533</x:v>
      </x:c>
      <x:c r="E834" s="13" t="s">
        <x:v>1251</x:v>
      </x:c>
      <x:c r="F834" s="13" t="s">
        <x:v>646</x:v>
      </x:c>
      <x:c r="G834" s="13" t="s">
        <x:v>1575</x:v>
      </x:c>
      <x:c r="H834" s="13" t="str">
        <x:f>IFERROR(VLOOKUP(O834,'정보화기기 명부'!A$2:B$187,2,FALSE),"")</x:f>
        <x:v/>
      </x:c>
      <x:c r="I834" s="13"/>
      <x:c r="J834" s="13"/>
      <x:c r="K834" s="13"/>
      <x:c r="L834" s="13">
        <x:v>20020628</x:v>
      </x:c>
      <x:c r="M834" s="13" t="s">
        <x:v>6</x:v>
      </x:c>
      <x:c r="N834" s="13" t="s">
        <x:v>1965</x:v>
      </x:c>
      <x:c r="O834" s="13" t="s">
        <x:v>1367</x:v>
      </x:c>
      <x:c r="P834" s="13">
        <x:v>24</x:v>
      </x:c>
      <x:c r="Q834" s="13" t="s">
        <x:v>572</x:v>
      </x:c>
      <x:c r="R834" s="13" t="s">
        <x:v>1979</x:v>
      </x:c>
      <x:c r="S834" s="13" t="s">
        <x:v>1395</x:v>
      </x:c>
      <x:c r="T834" s="13" t="s">
        <x:v>3154</x:v>
      </x:c>
      <x:c r="U834" s="13"/>
      <x:c r="V834" s="13" t="s">
        <x:v>1746</x:v>
      </x:c>
    </x:row>
    <x:row r="835" spans="1:22" s="14" customFormat="1" ht="13.5" customHeight="1">
      <x:c r="A835" s="13" t="str">
        <x:f>O835</x:f>
        <x:v>류명수</x:v>
      </x:c>
      <x:c r="B835" s="25" t="str">
        <x:f>L835&amp;"-"&amp;TEXT(P835,"0000")</x:f>
        <x:v>20020628-0025</x:v>
      </x:c>
      <x:c r="C835" s="13" t="s">
        <x:v>1564</x:v>
      </x:c>
      <x:c r="D835" s="13" t="s">
        <x:v>1533</x:v>
      </x:c>
      <x:c r="E835" s="13" t="s">
        <x:v>1251</x:v>
      </x:c>
      <x:c r="F835" s="13" t="s">
        <x:v>646</x:v>
      </x:c>
      <x:c r="G835" s="13" t="s">
        <x:v>1575</x:v>
      </x:c>
      <x:c r="H835" s="13" t="str">
        <x:f>IFERROR(VLOOKUP(O835,'정보화기기 명부'!A$2:B$187,2,FALSE),"")</x:f>
        <x:v/>
      </x:c>
      <x:c r="I835" s="13"/>
      <x:c r="J835" s="13"/>
      <x:c r="K835" s="13"/>
      <x:c r="L835" s="13">
        <x:v>20020628</x:v>
      </x:c>
      <x:c r="M835" s="13" t="s">
        <x:v>6</x:v>
      </x:c>
      <x:c r="N835" s="13" t="s">
        <x:v>1965</x:v>
      </x:c>
      <x:c r="O835" s="13" t="s">
        <x:v>1435</x:v>
      </x:c>
      <x:c r="P835" s="13">
        <x:v>25</x:v>
      </x:c>
      <x:c r="Q835" s="13" t="s">
        <x:v>572</x:v>
      </x:c>
      <x:c r="R835" s="13" t="s">
        <x:v>1979</x:v>
      </x:c>
      <x:c r="S835" s="13" t="s">
        <x:v>1395</x:v>
      </x:c>
      <x:c r="T835" s="13" t="s">
        <x:v>3154</x:v>
      </x:c>
      <x:c r="U835" s="13"/>
      <x:c r="V835" s="13" t="s">
        <x:v>1746</x:v>
      </x:c>
    </x:row>
    <x:row r="836" spans="1:22" s="14" customFormat="1" ht="13.5" customHeight="1">
      <x:c r="A836" s="13" t="str">
        <x:f>O836</x:f>
        <x:v>유미라</x:v>
      </x:c>
      <x:c r="B836" s="25" t="str">
        <x:f>L836&amp;"-"&amp;TEXT(P836,"0000")</x:f>
        <x:v>20020628-0026</x:v>
      </x:c>
      <x:c r="C836" s="13" t="s">
        <x:v>1564</x:v>
      </x:c>
      <x:c r="D836" s="13" t="s">
        <x:v>1533</x:v>
      </x:c>
      <x:c r="E836" s="13" t="s">
        <x:v>1543</x:v>
      </x:c>
      <x:c r="F836" s="13" t="s">
        <x:v>646</x:v>
      </x:c>
      <x:c r="G836" s="13" t="s">
        <x:v>1575</x:v>
      </x:c>
      <x:c r="H836" s="13" t="str">
        <x:f>IFERROR(VLOOKUP(O836,'정보화기기 명부'!A$2:B$187,2,FALSE),"")</x:f>
        <x:v>진로진학상담부</x:v>
      </x:c>
      <x:c r="I836" s="13"/>
      <x:c r="J836" s="13"/>
      <x:c r="K836" s="13"/>
      <x:c r="L836" s="13">
        <x:v>20020628</x:v>
      </x:c>
      <x:c r="M836" s="13" t="s">
        <x:v>6</x:v>
      </x:c>
      <x:c r="N836" s="13" t="s">
        <x:v>1965</x:v>
      </x:c>
      <x:c r="O836" s="13" t="s">
        <x:v>1201</x:v>
      </x:c>
      <x:c r="P836" s="13">
        <x:v>26</x:v>
      </x:c>
      <x:c r="Q836" s="13" t="s">
        <x:v>572</x:v>
      </x:c>
      <x:c r="R836" s="13" t="s">
        <x:v>1979</x:v>
      </x:c>
      <x:c r="S836" s="13" t="s">
        <x:v>1395</x:v>
      </x:c>
      <x:c r="T836" s="13" t="s">
        <x:v>3154</x:v>
      </x:c>
      <x:c r="U836" s="13"/>
      <x:c r="V836" s="13" t="s">
        <x:v>1746</x:v>
      </x:c>
    </x:row>
    <x:row r="837" spans="1:22" s="14" customFormat="1" ht="13.5" customHeight="1">
      <x:c r="A837" s="13" t="str">
        <x:f>O837</x:f>
        <x:v>김삼준</x:v>
      </x:c>
      <x:c r="B837" s="25" t="str">
        <x:f>L837&amp;"-"&amp;TEXT(P837,"0000")</x:f>
        <x:v>20020628-0027</x:v>
      </x:c>
      <x:c r="C837" s="13" t="s">
        <x:v>1564</x:v>
      </x:c>
      <x:c r="D837" s="13" t="s">
        <x:v>1533</x:v>
      </x:c>
      <x:c r="E837" s="13" t="s">
        <x:v>1251</x:v>
      </x:c>
      <x:c r="F837" s="13" t="s">
        <x:v>646</x:v>
      </x:c>
      <x:c r="G837" s="13" t="s">
        <x:v>1575</x:v>
      </x:c>
      <x:c r="H837" s="13" t="str">
        <x:f>IFERROR(VLOOKUP(O837,'정보화기기 명부'!A$2:B$187,2,FALSE),"")</x:f>
        <x:v/>
      </x:c>
      <x:c r="I837" s="13"/>
      <x:c r="J837" s="13"/>
      <x:c r="K837" s="13"/>
      <x:c r="L837" s="13">
        <x:v>20020628</x:v>
      </x:c>
      <x:c r="M837" s="13" t="s">
        <x:v>6</x:v>
      </x:c>
      <x:c r="N837" s="13" t="s">
        <x:v>1965</x:v>
      </x:c>
      <x:c r="O837" s="13" t="s">
        <x:v>1416</x:v>
      </x:c>
      <x:c r="P837" s="13">
        <x:v>27</x:v>
      </x:c>
      <x:c r="Q837" s="13" t="s">
        <x:v>572</x:v>
      </x:c>
      <x:c r="R837" s="13" t="s">
        <x:v>1979</x:v>
      </x:c>
      <x:c r="S837" s="13" t="s">
        <x:v>1395</x:v>
      </x:c>
      <x:c r="T837" s="13" t="s">
        <x:v>3154</x:v>
      </x:c>
      <x:c r="U837" s="13"/>
      <x:c r="V837" s="13" t="s">
        <x:v>1746</x:v>
      </x:c>
    </x:row>
    <x:row r="838" spans="1:22" s="14" customFormat="1" ht="13.5" customHeight="1">
      <x:c r="A838" s="13" t="str">
        <x:f>O838</x:f>
        <x:v>노창희</x:v>
      </x:c>
      <x:c r="B838" s="25" t="str">
        <x:f>L838&amp;"-"&amp;TEXT(P838,"0000")</x:f>
        <x:v>20020628-0028</x:v>
      </x:c>
      <x:c r="C838" s="13" t="s">
        <x:v>1564</x:v>
      </x:c>
      <x:c r="D838" s="13" t="s">
        <x:v>1533</x:v>
      </x:c>
      <x:c r="E838" s="13" t="s">
        <x:v>1251</x:v>
      </x:c>
      <x:c r="F838" s="13" t="s">
        <x:v>646</x:v>
      </x:c>
      <x:c r="G838" s="13" t="s">
        <x:v>1575</x:v>
      </x:c>
      <x:c r="H838" s="13" t="str">
        <x:f>IFERROR(VLOOKUP(O838,'정보화기기 명부'!A$2:B$187,2,FALSE),"")</x:f>
        <x:v/>
      </x:c>
      <x:c r="I838" s="13"/>
      <x:c r="J838" s="13"/>
      <x:c r="K838" s="13"/>
      <x:c r="L838" s="13">
        <x:v>20020628</x:v>
      </x:c>
      <x:c r="M838" s="13" t="s">
        <x:v>6</x:v>
      </x:c>
      <x:c r="N838" s="13" t="s">
        <x:v>1965</x:v>
      </x:c>
      <x:c r="O838" s="13" t="s">
        <x:v>1406</x:v>
      </x:c>
      <x:c r="P838" s="13">
        <x:v>28</x:v>
      </x:c>
      <x:c r="Q838" s="13" t="s">
        <x:v>572</x:v>
      </x:c>
      <x:c r="R838" s="13" t="s">
        <x:v>1979</x:v>
      </x:c>
      <x:c r="S838" s="13" t="s">
        <x:v>1395</x:v>
      </x:c>
      <x:c r="T838" s="13" t="s">
        <x:v>3154</x:v>
      </x:c>
      <x:c r="U838" s="13"/>
      <x:c r="V838" s="13" t="s">
        <x:v>1746</x:v>
      </x:c>
    </x:row>
    <x:row r="839" spans="1:22" s="14" customFormat="1" ht="13.5" customHeight="1">
      <x:c r="A839" s="13" t="str">
        <x:f>O839</x:f>
        <x:v>전용범</x:v>
      </x:c>
      <x:c r="B839" s="25" t="str">
        <x:f>L839&amp;"-"&amp;TEXT(P839,"0000")</x:f>
        <x:v>20020628-0059</x:v>
      </x:c>
      <x:c r="C839" s="13" t="s">
        <x:v>1564</x:v>
      </x:c>
      <x:c r="D839" s="13" t="s">
        <x:v>1533</x:v>
      </x:c>
      <x:c r="E839" s="13" t="s">
        <x:v>1543</x:v>
      </x:c>
      <x:c r="F839" s="13" t="s">
        <x:v>646</x:v>
      </x:c>
      <x:c r="G839" s="13" t="s">
        <x:v>1575</x:v>
      </x:c>
      <x:c r="H839" s="13" t="str">
        <x:f>IFERROR(VLOOKUP(O839,'정보화기기 명부'!A$2:B$187,2,FALSE),"")</x:f>
        <x:v/>
      </x:c>
      <x:c r="I839" s="13"/>
      <x:c r="J839" s="13"/>
      <x:c r="K839" s="13"/>
      <x:c r="L839" s="13">
        <x:v>20020628</x:v>
      </x:c>
      <x:c r="M839" s="13" t="s">
        <x:v>6</x:v>
      </x:c>
      <x:c r="N839" s="13" t="s">
        <x:v>1965</x:v>
      </x:c>
      <x:c r="O839" s="13" t="s">
        <x:v>1313</x:v>
      </x:c>
      <x:c r="P839" s="13">
        <x:v>59</x:v>
      </x:c>
      <x:c r="Q839" s="13" t="s">
        <x:v>572</x:v>
      </x:c>
      <x:c r="R839" s="13" t="s">
        <x:v>1979</x:v>
      </x:c>
      <x:c r="S839" s="13" t="s">
        <x:v>1395</x:v>
      </x:c>
      <x:c r="T839" s="13" t="s">
        <x:v>3154</x:v>
      </x:c>
      <x:c r="U839" s="13"/>
      <x:c r="V839" s="13" t="s">
        <x:v>1746</x:v>
      </x:c>
    </x:row>
    <x:row r="840" spans="1:22" s="14" customFormat="1" ht="13.5" customHeight="1">
      <x:c r="A840" s="13" t="str">
        <x:f>O840</x:f>
        <x:v>박정희</x:v>
      </x:c>
      <x:c r="B840" s="25" t="str">
        <x:f>L840&amp;"-"&amp;TEXT(P840,"0000")</x:f>
        <x:v>20020628-0060</x:v>
      </x:c>
      <x:c r="C840" s="13" t="s">
        <x:v>1564</x:v>
      </x:c>
      <x:c r="D840" s="13" t="s">
        <x:v>1533</x:v>
      </x:c>
      <x:c r="E840" s="13" t="s">
        <x:v>1543</x:v>
      </x:c>
      <x:c r="F840" s="13" t="s">
        <x:v>646</x:v>
      </x:c>
      <x:c r="G840" s="13" t="s">
        <x:v>1575</x:v>
      </x:c>
      <x:c r="H840" s="13" t="str">
        <x:f>IFERROR(VLOOKUP(O840,'정보화기기 명부'!A$2:B$187,2,FALSE),"")</x:f>
        <x:v/>
      </x:c>
      <x:c r="I840" s="13"/>
      <x:c r="J840" s="13"/>
      <x:c r="K840" s="13"/>
      <x:c r="L840" s="13">
        <x:v>20020628</x:v>
      </x:c>
      <x:c r="M840" s="13" t="s">
        <x:v>6</x:v>
      </x:c>
      <x:c r="N840" s="13" t="s">
        <x:v>1965</x:v>
      </x:c>
      <x:c r="O840" s="13" t="s">
        <x:v>1361</x:v>
      </x:c>
      <x:c r="P840" s="13">
        <x:v>60</x:v>
      </x:c>
      <x:c r="Q840" s="13" t="s">
        <x:v>572</x:v>
      </x:c>
      <x:c r="R840" s="13" t="s">
        <x:v>1979</x:v>
      </x:c>
      <x:c r="S840" s="13" t="s">
        <x:v>1395</x:v>
      </x:c>
      <x:c r="T840" s="13" t="s">
        <x:v>3154</x:v>
      </x:c>
      <x:c r="U840" s="13"/>
      <x:c r="V840" s="13" t="s">
        <x:v>1746</x:v>
      </x:c>
    </x:row>
    <x:row r="841" spans="1:22" s="14" customFormat="1" ht="13.5" customHeight="1">
      <x:c r="A841" s="13" t="str">
        <x:f>O841</x:f>
        <x:v>전성범</x:v>
      </x:c>
      <x:c r="B841" s="25" t="str">
        <x:f>L841&amp;"-"&amp;TEXT(P841,"0000")</x:f>
        <x:v>20020628-0075</x:v>
      </x:c>
      <x:c r="C841" s="13" t="s">
        <x:v>1564</x:v>
      </x:c>
      <x:c r="D841" s="13" t="s">
        <x:v>1533</x:v>
      </x:c>
      <x:c r="E841" s="13" t="s">
        <x:v>1543</x:v>
      </x:c>
      <x:c r="F841" s="13" t="s">
        <x:v>646</x:v>
      </x:c>
      <x:c r="G841" s="13" t="s">
        <x:v>1575</x:v>
      </x:c>
      <x:c r="H841" s="13" t="str">
        <x:f>IFERROR(VLOOKUP(O841,'정보화기기 명부'!A$2:B$187,2,FALSE),"")</x:f>
        <x:v/>
      </x:c>
      <x:c r="I841" s="13"/>
      <x:c r="J841" s="13"/>
      <x:c r="K841" s="13"/>
      <x:c r="L841" s="13">
        <x:v>20020628</x:v>
      </x:c>
      <x:c r="M841" s="13" t="s">
        <x:v>6</x:v>
      </x:c>
      <x:c r="N841" s="13" t="s">
        <x:v>1965</x:v>
      </x:c>
      <x:c r="O841" s="13" t="s">
        <x:v>1374</x:v>
      </x:c>
      <x:c r="P841" s="13">
        <x:v>75</x:v>
      </x:c>
      <x:c r="Q841" s="13" t="s">
        <x:v>572</x:v>
      </x:c>
      <x:c r="R841" s="13" t="s">
        <x:v>1979</x:v>
      </x:c>
      <x:c r="S841" s="13" t="s">
        <x:v>1395</x:v>
      </x:c>
      <x:c r="T841" s="13" t="s">
        <x:v>3154</x:v>
      </x:c>
      <x:c r="U841" s="13"/>
      <x:c r="V841" s="13" t="s">
        <x:v>1746</x:v>
      </x:c>
    </x:row>
    <x:row r="842" spans="1:22" s="14" customFormat="1" ht="13.5" customHeight="1">
      <x:c r="A842" s="13" t="str">
        <x:f>O842</x:f>
        <x:v>권은주</x:v>
      </x:c>
      <x:c r="B842" s="25" t="str">
        <x:f>L842&amp;"-"&amp;TEXT(P842,"0000")</x:f>
        <x:v>20020628-0097</x:v>
      </x:c>
      <x:c r="C842" s="13" t="s">
        <x:v>1564</x:v>
      </x:c>
      <x:c r="D842" s="13" t="s">
        <x:v>1533</x:v>
      </x:c>
      <x:c r="E842" s="13" t="s">
        <x:v>1543</x:v>
      </x:c>
      <x:c r="F842" s="13" t="s">
        <x:v>646</x:v>
      </x:c>
      <x:c r="G842" s="13" t="s">
        <x:v>1575</x:v>
      </x:c>
      <x:c r="H842" s="13" t="str">
        <x:f>IFERROR(VLOOKUP(O842,'정보화기기 명부'!A$2:B$187,2,FALSE),"")</x:f>
        <x:v/>
      </x:c>
      <x:c r="I842" s="13"/>
      <x:c r="J842" s="13"/>
      <x:c r="K842" s="13"/>
      <x:c r="L842" s="13">
        <x:v>20020628</x:v>
      </x:c>
      <x:c r="M842" s="13" t="s">
        <x:v>6</x:v>
      </x:c>
      <x:c r="N842" s="13" t="s">
        <x:v>1965</x:v>
      </x:c>
      <x:c r="O842" s="13" t="s">
        <x:v>1519</x:v>
      </x:c>
      <x:c r="P842" s="13">
        <x:v>97</x:v>
      </x:c>
      <x:c r="Q842" s="13" t="s">
        <x:v>572</x:v>
      </x:c>
      <x:c r="R842" s="13" t="s">
        <x:v>1979</x:v>
      </x:c>
      <x:c r="S842" s="13" t="s">
        <x:v>1395</x:v>
      </x:c>
      <x:c r="T842" s="13" t="s">
        <x:v>3154</x:v>
      </x:c>
      <x:c r="U842" s="13"/>
      <x:c r="V842" s="13" t="s">
        <x:v>1746</x:v>
      </x:c>
    </x:row>
    <x:row r="843" spans="1:22" s="14" customFormat="1" ht="13.5" customHeight="1">
      <x:c r="A843" s="13" t="str">
        <x:f>O843</x:f>
        <x:v>전용범</x:v>
      </x:c>
      <x:c r="B843" s="25" t="str">
        <x:f>L843&amp;"-"&amp;TEXT(P843,"0000")</x:f>
        <x:v>20020628-0194</x:v>
      </x:c>
      <x:c r="C843" s="13" t="s">
        <x:v>1564</x:v>
      </x:c>
      <x:c r="D843" s="13" t="s">
        <x:v>1533</x:v>
      </x:c>
      <x:c r="E843" s="13" t="s">
        <x:v>1543</x:v>
      </x:c>
      <x:c r="F843" s="13" t="s">
        <x:v>646</x:v>
      </x:c>
      <x:c r="G843" s="13" t="s">
        <x:v>1575</x:v>
      </x:c>
      <x:c r="H843" s="13" t="str">
        <x:f>IFERROR(VLOOKUP(O843,'정보화기기 명부'!A$2:B$187,2,FALSE),"")</x:f>
        <x:v/>
      </x:c>
      <x:c r="I843" s="13"/>
      <x:c r="J843" s="13"/>
      <x:c r="K843" s="13"/>
      <x:c r="L843" s="13">
        <x:v>20020628</x:v>
      </x:c>
      <x:c r="M843" s="13" t="s">
        <x:v>6</x:v>
      </x:c>
      <x:c r="N843" s="13" t="s">
        <x:v>1965</x:v>
      </x:c>
      <x:c r="O843" s="13" t="s">
        <x:v>1313</x:v>
      </x:c>
      <x:c r="P843" s="13">
        <x:v>194</x:v>
      </x:c>
      <x:c r="Q843" s="13" t="s">
        <x:v>572</x:v>
      </x:c>
      <x:c r="R843" s="13" t="s">
        <x:v>1979</x:v>
      </x:c>
      <x:c r="S843" s="13" t="s">
        <x:v>1395</x:v>
      </x:c>
      <x:c r="T843" s="13" t="s">
        <x:v>3154</x:v>
      </x:c>
      <x:c r="U843" s="13"/>
      <x:c r="V843" s="13" t="s">
        <x:v>1746</x:v>
      </x:c>
    </x:row>
    <x:row r="844" spans="1:22" s="14" customFormat="1" ht="13.5" customHeight="1">
      <x:c r="A844" s="13" t="str">
        <x:f>O844</x:f>
        <x:v>이윤희</x:v>
      </x:c>
      <x:c r="B844" s="25" t="str">
        <x:f>L844&amp;"-"&amp;TEXT(P844,"0000")</x:f>
        <x:v>20020628-0057</x:v>
      </x:c>
      <x:c r="C844" s="13" t="s">
        <x:v>1978</x:v>
      </x:c>
      <x:c r="D844" s="13" t="s">
        <x:v>1533</x:v>
      </x:c>
      <x:c r="E844" s="13" t="s">
        <x:v>1543</x:v>
      </x:c>
      <x:c r="F844" s="13" t="s">
        <x:v>2215</x:v>
      </x:c>
      <x:c r="G844" s="13" t="s">
        <x:v>1575</x:v>
      </x:c>
      <x:c r="H844" s="13" t="str">
        <x:f>IFERROR(VLOOKUP(O844,'정보화기기 명부'!A$2:B$187,2,FALSE),"")</x:f>
        <x:v/>
      </x:c>
      <x:c r="I844" s="13"/>
      <x:c r="J844" s="13"/>
      <x:c r="K844" s="13"/>
      <x:c r="L844" s="13">
        <x:v>20020628</x:v>
      </x:c>
      <x:c r="M844" s="13" t="s">
        <x:v>6</x:v>
      </x:c>
      <x:c r="N844" s="13" t="s">
        <x:v>1965</x:v>
      </x:c>
      <x:c r="O844" s="13" t="s">
        <x:v>1360</x:v>
      </x:c>
      <x:c r="P844" s="13">
        <x:v>57</x:v>
      </x:c>
      <x:c r="Q844" s="13" t="s">
        <x:v>466</x:v>
      </x:c>
      <x:c r="R844" s="13" t="s">
        <x:v>1972</x:v>
      </x:c>
      <x:c r="S844" s="13" t="s">
        <x:v>1464</x:v>
      </x:c>
      <x:c r="T844" s="13" t="s">
        <x:v>3152</x:v>
      </x:c>
      <x:c r="U844" s="13"/>
      <x:c r="V844" s="13" t="s">
        <x:v>2030</x:v>
      </x:c>
    </x:row>
    <x:row r="845" spans="1:22" s="14" customFormat="1" ht="13.5" customHeight="1">
      <x:c r="A845" s="13" t="str">
        <x:f>O845</x:f>
        <x:v>전영애</x:v>
      </x:c>
      <x:c r="B845" s="25" t="str">
        <x:f>L845&amp;"-"&amp;TEXT(P845,"0000")</x:f>
        <x:v>20020420-0189</x:v>
      </x:c>
      <x:c r="C845" s="13" t="s">
        <x:v>1978</x:v>
      </x:c>
      <x:c r="D845" s="13" t="s">
        <x:v>1533</x:v>
      </x:c>
      <x:c r="E845" s="13" t="s">
        <x:v>1543</x:v>
      </x:c>
      <x:c r="F845" s="13" t="s">
        <x:v>1988</x:v>
      </x:c>
      <x:c r="G845" s="13" t="s">
        <x:v>1289</x:v>
      </x:c>
      <x:c r="H845" s="13" t="str">
        <x:f>IFERROR(VLOOKUP(O845,'정보화기기 명부'!A$2:B$187,2,FALSE),"")</x:f>
        <x:v/>
      </x:c>
      <x:c r="I845" s="13"/>
      <x:c r="J845" s="13"/>
      <x:c r="K845" s="13"/>
      <x:c r="L845" s="13">
        <x:v>20020420</x:v>
      </x:c>
      <x:c r="M845" s="13" t="s">
        <x:v>1608</x:v>
      </x:c>
      <x:c r="N845" s="13" t="s">
        <x:v>1965</x:v>
      </x:c>
      <x:c r="O845" s="13" t="s">
        <x:v>1402</x:v>
      </x:c>
      <x:c r="P845" s="13">
        <x:v>189</x:v>
      </x:c>
      <x:c r="Q845" s="13" t="s">
        <x:v>572</x:v>
      </x:c>
      <x:c r="R845" s="13" t="s">
        <x:v>2018</x:v>
      </x:c>
      <x:c r="S845" s="13" t="s">
        <x:v>1354</x:v>
      </x:c>
      <x:c r="T845" s="13" t="s">
        <x:v>3154</x:v>
      </x:c>
      <x:c r="U845" s="13"/>
      <x:c r="V845" s="13" t="s">
        <x:v>1746</x:v>
      </x:c>
    </x:row>
    <x:row r="846" spans="1:22" s="14" customFormat="1" ht="13.5" customHeight="1">
      <x:c r="A846" s="13" t="str">
        <x:f>O846</x:f>
        <x:v>구재원(교사용)</x:v>
      </x:c>
      <x:c r="B846" s="25" t="str">
        <x:f>L846&amp;"-"&amp;TEXT(P846,"0000")</x:f>
        <x:v>20020420-0188</x:v>
      </x:c>
      <x:c r="C846" s="13" t="s">
        <x:v>1978</x:v>
      </x:c>
      <x:c r="D846" s="13" t="s">
        <x:v>1533</x:v>
      </x:c>
      <x:c r="E846" s="13" t="s">
        <x:v>1543</x:v>
      </x:c>
      <x:c r="F846" s="13" t="s">
        <x:v>3197</x:v>
      </x:c>
      <x:c r="G846" s="13" t="s">
        <x:v>1289</x:v>
      </x:c>
      <x:c r="H846" s="13" t="str">
        <x:f>IFERROR(VLOOKUP(O846,'정보화기기 명부'!A$2:B$187,2,FALSE),"")</x:f>
        <x:v/>
      </x:c>
      <x:c r="I846" s="13"/>
      <x:c r="J846" s="13"/>
      <x:c r="K846" s="13"/>
      <x:c r="L846" s="13">
        <x:v>20020420</x:v>
      </x:c>
      <x:c r="M846" s="13" t="s">
        <x:v>1608</x:v>
      </x:c>
      <x:c r="N846" s="13" t="s">
        <x:v>1965</x:v>
      </x:c>
      <x:c r="O846" s="13" t="s">
        <x:v>464</x:v>
      </x:c>
      <x:c r="P846" s="13">
        <x:v>188</x:v>
      </x:c>
      <x:c r="Q846" s="13" t="s">
        <x:v>466</x:v>
      </x:c>
      <x:c r="R846" s="13" t="s">
        <x:v>2018</x:v>
      </x:c>
      <x:c r="S846" s="13" t="s">
        <x:v>1464</x:v>
      </x:c>
      <x:c r="T846" s="13" t="s">
        <x:v>3153</x:v>
      </x:c>
      <x:c r="U846" s="13"/>
      <x:c r="V846" s="13" t="s">
        <x:v>2030</x:v>
      </x:c>
    </x:row>
    <x:row r="847" spans="1:22" s="14" customFormat="1" ht="13.5" customHeight="1">
      <x:c r="A847" s="13" t="str">
        <x:f>O847</x:f>
        <x:v>1학년성적처리컴</x:v>
      </x:c>
      <x:c r="B847" s="25" t="str">
        <x:f>L847&amp;"-"&amp;TEXT(P847,"0000")</x:f>
        <x:v>20020402-0105</x:v>
      </x:c>
      <x:c r="C847" s="13" t="s">
        <x:v>1978</x:v>
      </x:c>
      <x:c r="D847" s="13" t="s">
        <x:v>1533</x:v>
      </x:c>
      <x:c r="E847" s="13" t="s">
        <x:v>1543</x:v>
      </x:c>
      <x:c r="F847" s="13" t="s">
        <x:v>3230</x:v>
      </x:c>
      <x:c r="G847" s="13" t="s">
        <x:v>1289</x:v>
      </x:c>
      <x:c r="H847" s="13" t="str">
        <x:f>IFERROR(VLOOKUP(O847,'정보화기기 명부'!A$2:B$187,2,FALSE),"")</x:f>
        <x:v/>
      </x:c>
      <x:c r="I847" s="13"/>
      <x:c r="J847" s="13"/>
      <x:c r="K847" s="13"/>
      <x:c r="L847" s="13">
        <x:v>20020402</x:v>
      </x:c>
      <x:c r="M847" s="13" t="s">
        <x:v>618</x:v>
      </x:c>
      <x:c r="N847" s="13" t="s">
        <x:v>2034</x:v>
      </x:c>
      <x:c r="O847" s="13" t="s">
        <x:v>465</x:v>
      </x:c>
      <x:c r="P847" s="13">
        <x:v>105</x:v>
      </x:c>
      <x:c r="Q847" s="13" t="s">
        <x:v>466</x:v>
      </x:c>
      <x:c r="R847" s="13" t="s">
        <x:v>1774</x:v>
      </x:c>
      <x:c r="S847" s="13" t="s">
        <x:v>1544</x:v>
      </x:c>
      <x:c r="T847" s="13" t="s">
        <x:v>3150</x:v>
      </x:c>
      <x:c r="U847" s="13"/>
      <x:c r="V847" s="13" t="s">
        <x:v>2030</x:v>
      </x:c>
    </x:row>
    <x:row r="848" spans="1:22" s="14" customFormat="1" ht="13.5" customHeight="1">
      <x:c r="A848" s="13" t="str">
        <x:f>O848</x:f>
        <x:v>2학년성적처리컴</x:v>
      </x:c>
      <x:c r="B848" s="25" t="str">
        <x:f>L848&amp;"-"&amp;TEXT(P848,"0000")</x:f>
        <x:v>20020402-0104</x:v>
      </x:c>
      <x:c r="C848" s="13" t="s">
        <x:v>1978</x:v>
      </x:c>
      <x:c r="D848" s="13" t="s">
        <x:v>1533</x:v>
      </x:c>
      <x:c r="E848" s="13" t="s">
        <x:v>1543</x:v>
      </x:c>
      <x:c r="F848" s="13" t="s">
        <x:v>3230</x:v>
      </x:c>
      <x:c r="G848" s="13" t="s">
        <x:v>1289</x:v>
      </x:c>
      <x:c r="H848" s="13" t="str">
        <x:f>IFERROR(VLOOKUP(O848,'정보화기기 명부'!A$2:B$187,2,FALSE),"")</x:f>
        <x:v/>
      </x:c>
      <x:c r="I848" s="13"/>
      <x:c r="J848" s="13"/>
      <x:c r="K848" s="13"/>
      <x:c r="L848" s="13">
        <x:v>20020402</x:v>
      </x:c>
      <x:c r="M848" s="13" t="s">
        <x:v>618</x:v>
      </x:c>
      <x:c r="N848" s="13" t="s">
        <x:v>2034</x:v>
      </x:c>
      <x:c r="O848" s="13" t="s">
        <x:v>630</x:v>
      </x:c>
      <x:c r="P848" s="13">
        <x:v>104</x:v>
      </x:c>
      <x:c r="Q848" s="13" t="s">
        <x:v>466</x:v>
      </x:c>
      <x:c r="R848" s="13" t="s">
        <x:v>1774</x:v>
      </x:c>
      <x:c r="S848" s="13" t="s">
        <x:v>1544</x:v>
      </x:c>
      <x:c r="T848" s="13" t="s">
        <x:v>3150</x:v>
      </x:c>
      <x:c r="U848" s="13"/>
      <x:c r="V848" s="13" t="s">
        <x:v>2030</x:v>
      </x:c>
    </x:row>
    <x:row r="849" spans="1:22" s="14" customFormat="1" ht="13.5" customHeight="1">
      <x:c r="A849" s="13" t="str">
        <x:f>O849</x:f>
        <x:v>이명헌</x:v>
      </x:c>
      <x:c r="B849" s="25" t="str">
        <x:f>L849&amp;"-"&amp;TEXT(P849,"0000")</x:f>
        <x:v>20020320-0202</x:v>
      </x:c>
      <x:c r="C849" s="13" t="s">
        <x:v>1978</x:v>
      </x:c>
      <x:c r="D849" s="13" t="s">
        <x:v>1533</x:v>
      </x:c>
      <x:c r="E849" s="13" t="s">
        <x:v>1543</x:v>
      </x:c>
      <x:c r="F849" s="13" t="s">
        <x:v>1982</x:v>
      </x:c>
      <x:c r="G849" s="13" t="s">
        <x:v>1289</x:v>
      </x:c>
      <x:c r="H849" s="13" t="str">
        <x:f>IFERROR(VLOOKUP(O849,'정보화기기 명부'!A$2:B$187,2,FALSE),"")</x:f>
        <x:v/>
      </x:c>
      <x:c r="I849" s="13"/>
      <x:c r="J849" s="13"/>
      <x:c r="K849" s="13"/>
      <x:c r="L849" s="13">
        <x:v>20020320</x:v>
      </x:c>
      <x:c r="M849" s="13" t="s">
        <x:v>618</x:v>
      </x:c>
      <x:c r="N849" s="13" t="s">
        <x:v>2034</x:v>
      </x:c>
      <x:c r="O849" s="13" t="s">
        <x:v>1375</x:v>
      </x:c>
      <x:c r="P849" s="13">
        <x:v>202</x:v>
      </x:c>
      <x:c r="Q849" s="13" t="s">
        <x:v>466</x:v>
      </x:c>
      <x:c r="R849" s="13" t="s">
        <x:v>1774</x:v>
      </x:c>
      <x:c r="S849" s="13" t="s">
        <x:v>1544</x:v>
      </x:c>
      <x:c r="T849" s="13" t="s">
        <x:v>3150</x:v>
      </x:c>
      <x:c r="U849" s="13"/>
      <x:c r="V849" s="13" t="s">
        <x:v>2030</x:v>
      </x:c>
    </x:row>
    <x:row r="850" spans="1:22" s="14" customFormat="1" ht="13.5" customHeight="1">
      <x:c r="A850" s="13" t="str">
        <x:f>O850</x:f>
        <x:v>최경대</x:v>
      </x:c>
      <x:c r="B850" s="25" t="str">
        <x:f>L850&amp;"-"&amp;TEXT(P850,"0000")</x:f>
        <x:v>20010702-0015</x:v>
      </x:c>
      <x:c r="C850" s="13" t="s">
        <x:v>1564</x:v>
      </x:c>
      <x:c r="D850" s="13" t="s">
        <x:v>1533</x:v>
      </x:c>
      <x:c r="E850" s="13" t="s">
        <x:v>1543</x:v>
      </x:c>
      <x:c r="F850" s="13" t="s">
        <x:v>1976</x:v>
      </x:c>
      <x:c r="G850" s="13" t="s">
        <x:v>1289</x:v>
      </x:c>
      <x:c r="H850" s="13" t="str">
        <x:f>IFERROR(VLOOKUP(O850,'정보화기기 명부'!A$2:B$187,2,FALSE),"")</x:f>
        <x:v/>
      </x:c>
      <x:c r="I850" s="13"/>
      <x:c r="J850" s="13"/>
      <x:c r="K850" s="13"/>
      <x:c r="L850" s="13">
        <x:v>20010702</x:v>
      </x:c>
      <x:c r="M850" s="13" t="s">
        <x:v>642</x:v>
      </x:c>
      <x:c r="N850" s="13" t="s">
        <x:v>1965</x:v>
      </x:c>
      <x:c r="O850" s="13" t="s">
        <x:v>1430</x:v>
      </x:c>
      <x:c r="P850" s="13">
        <x:v>15</x:v>
      </x:c>
      <x:c r="Q850" s="13" t="s">
        <x:v>466</x:v>
      </x:c>
      <x:c r="R850" s="13" t="s">
        <x:v>1948</x:v>
      </x:c>
      <x:c r="S850" s="13" t="s">
        <x:v>1464</x:v>
      </x:c>
      <x:c r="T850" s="13" t="s">
        <x:v>3152</x:v>
      </x:c>
      <x:c r="U850" s="13"/>
      <x:c r="V850" s="13" t="s">
        <x:v>2030</x:v>
      </x:c>
    </x:row>
    <x:row r="851" spans="1:22" s="14" customFormat="1" ht="13.5" customHeight="1">
      <x:c r="A851" s="13" t="str">
        <x:f>O851</x:f>
        <x:v>조아영</x:v>
      </x:c>
      <x:c r="B851" s="25" t="str">
        <x:f>L851&amp;"-"&amp;TEXT(P851,"0000")</x:f>
        <x:v>20010702-0058</x:v>
      </x:c>
      <x:c r="C851" s="13" t="s">
        <x:v>1564</x:v>
      </x:c>
      <x:c r="D851" s="13" t="s">
        <x:v>1533</x:v>
      </x:c>
      <x:c r="E851" s="13" t="s">
        <x:v>1543</x:v>
      </x:c>
      <x:c r="F851" s="13" t="s">
        <x:v>1976</x:v>
      </x:c>
      <x:c r="G851" s="13" t="s">
        <x:v>1289</x:v>
      </x:c>
      <x:c r="H851" s="13" t="str">
        <x:f>IFERROR(VLOOKUP(O851,'정보화기기 명부'!A$2:B$187,2,FALSE),"")</x:f>
        <x:v/>
      </x:c>
      <x:c r="I851" s="13"/>
      <x:c r="J851" s="13"/>
      <x:c r="K851" s="13"/>
      <x:c r="L851" s="13">
        <x:v>20010702</x:v>
      </x:c>
      <x:c r="M851" s="13" t="s">
        <x:v>642</x:v>
      </x:c>
      <x:c r="N851" s="13" t="s">
        <x:v>1965</x:v>
      </x:c>
      <x:c r="O851" s="13" t="s">
        <x:v>1370</x:v>
      </x:c>
      <x:c r="P851" s="13">
        <x:v>58</x:v>
      </x:c>
      <x:c r="Q851" s="13" t="s">
        <x:v>466</x:v>
      </x:c>
      <x:c r="R851" s="13" t="s">
        <x:v>1948</x:v>
      </x:c>
      <x:c r="S851" s="13" t="s">
        <x:v>1464</x:v>
      </x:c>
      <x:c r="T851" s="13" t="s">
        <x:v>3152</x:v>
      </x:c>
      <x:c r="U851" s="13"/>
      <x:c r="V851" s="13" t="s">
        <x:v>2030</x:v>
      </x:c>
    </x:row>
    <x:row r="852" spans="1:26" s="14" customFormat="1" ht="13.5" customHeight="1">
      <x:c r="A852" s="303" t="s">
        <x:v>1220</x:v>
      </x:c>
      <x:c r="B852" s="303" t="s">
        <x:v>855</x:v>
      </x:c>
      <x:c r="C852" s="249" t="s">
        <x:v>1564</x:v>
      </x:c>
      <x:c r="D852" s="293" t="s">
        <x:v>1581</x:v>
      </x:c>
      <x:c r="E852" s="293" t="s">
        <x:v>1251</x:v>
      </x:c>
      <x:c r="F852" s="293" t="s">
        <x:v>2288</x:v>
      </x:c>
      <x:c r="G852" s="293" t="s">
        <x:v>1289</x:v>
      </x:c>
      <x:c r="H852" s="293" t="s">
        <x:v>2065</x:v>
      </x:c>
      <x:c r="I852" s="303" t="s">
        <x:v>673</x:v>
      </x:c>
      <x:c r="J852" s="303"/>
      <x:c r="K852" s="303"/>
      <x:c r="L852" s="293">
        <x:v>20251200</x:v>
      </x:c>
      <x:c r="M852" s="293">
        <x:v>1520000</x:v>
      </x:c>
      <x:c r="N852" s="293" t="s">
        <x:v>2034</x:v>
      </x:c>
      <x:c r="O852" s="293" t="s">
        <x:v>1220</x:v>
      </x:c>
      <x:c r="P852" s="293">
        <x:v>956</x:v>
      </x:c>
      <x:c r="Q852" s="207" t="s">
        <x:v>2286</x:v>
      </x:c>
      <x:c r="R852" s="207" t="s">
        <x:v>3106</x:v>
      </x:c>
      <x:c r="S852" s="207" t="s">
        <x:v>2069</x:v>
      </x:c>
      <x:c r="T852" s="207" t="s">
        <x:v>2055</x:v>
      </x:c>
      <x:c r="U852" s="303"/>
      <x:c r="V852" s="303"/>
      <x:c r="W852" s="92"/>
      <x:c r="X852" s="92"/>
      <x:c r="Y852" s="92"/>
      <x:c r="Z852" s="92"/>
    </x:row>
    <x:row r="853" spans="1:26" s="14" customFormat="1" ht="13.5" customHeight="1">
      <x:c r="A853" s="303"/>
      <x:c r="B853" s="303" t="s">
        <x:v>864</x:v>
      </x:c>
      <x:c r="C853" s="249" t="s">
        <x:v>1564</x:v>
      </x:c>
      <x:c r="D853" s="293" t="s">
        <x:v>1571</x:v>
      </x:c>
      <x:c r="E853" s="293" t="s">
        <x:v>1251</x:v>
      </x:c>
      <x:c r="F853" s="293" t="s">
        <x:v>2288</x:v>
      </x:c>
      <x:c r="G853" s="293" t="s">
        <x:v>1289</x:v>
      </x:c>
      <x:c r="H853" s="293"/>
      <x:c r="I853" s="303" t="s">
        <x:v>673</x:v>
      </x:c>
      <x:c r="J853" s="303"/>
      <x:c r="K853" s="303"/>
      <x:c r="L853" s="293">
        <x:v>20251200</x:v>
      </x:c>
      <x:c r="M853" s="293">
        <x:v>1520000</x:v>
      </x:c>
      <x:c r="N853" s="293" t="s">
        <x:v>2034</x:v>
      </x:c>
      <x:c r="O853" s="293"/>
      <x:c r="P853" s="293">
        <x:v>956</x:v>
      </x:c>
      <x:c r="Q853" s="207" t="s">
        <x:v>2286</x:v>
      </x:c>
      <x:c r="R853" s="207" t="s">
        <x:v>3106</x:v>
      </x:c>
      <x:c r="S853" s="207" t="s">
        <x:v>2069</x:v>
      </x:c>
      <x:c r="T853" s="207" t="s">
        <x:v>2055</x:v>
      </x:c>
      <x:c r="U853" s="303"/>
      <x:c r="V853" s="303"/>
      <x:c r="W853" s="92"/>
      <x:c r="X853" s="92"/>
      <x:c r="Y853" s="92"/>
      <x:c r="Z853" s="92"/>
    </x:row>
    <x:row r="854" spans="1:26" s="14" customFormat="1" ht="13.5" customHeight="1">
      <x:c r="A854" s="288" t="str">
        <x:f>O854</x:f>
        <x:v>손승태</x:v>
      </x:c>
      <x:c r="B854" s="249" t="str">
        <x:f>L854&amp;"-"&amp;TEXT(P854,"0000")</x:f>
        <x:v>202504-0961</x:v>
      </x:c>
      <x:c r="C854" s="249" t="s">
        <x:v>1564</x:v>
      </x:c>
      <x:c r="D854" s="249" t="s">
        <x:v>1581</x:v>
      </x:c>
      <x:c r="E854" s="249" t="s">
        <x:v>1251</x:v>
      </x:c>
      <x:c r="F854" s="299" t="s">
        <x:v>2262</x:v>
      </x:c>
      <x:c r="G854" s="249" t="s">
        <x:v>1289</x:v>
      </x:c>
      <x:c r="H854" s="299" t="str">
        <x:f>IFERROR(VLOOKUP(O854,'정보화기기 명부'!A$2:B$187,2,FALSE),"")</x:f>
        <x:v/>
      </x:c>
      <x:c r="I854" s="299" t="str">
        <x:f>IFERROR(VLOOKUP(O854,'교직원용 IP'!$C$2:$H$230,6,FALSE),"")</x:f>
        <x:v>10.51.90.95</x:v>
      </x:c>
      <x:c r="J854" s="300"/>
      <x:c r="K854" s="300"/>
      <x:c r="L854" s="299">
        <x:v>20250400</x:v>
      </x:c>
      <x:c r="M854" s="301">
        <x:v>1420000</x:v>
      </x:c>
      <x:c r="N854" s="299" t="s">
        <x:v>2034</x:v>
      </x:c>
      <x:c r="O854" s="299" t="s">
        <x:v>1218</x:v>
      </x:c>
      <x:c r="P854" s="299">
        <x:f>P855+1</x:f>
        <x:v>961</x:v>
      </x:c>
      <x:c r="Q854" s="207" t="s">
        <x:v>3297</x:v>
      </x:c>
      <x:c r="R854" s="207" t="s">
        <x:v>3106</x:v>
      </x:c>
      <x:c r="S854" s="207" t="s">
        <x:v>2069</x:v>
      </x:c>
      <x:c r="T854" s="207" t="s">
        <x:v>2055</x:v>
      </x:c>
      <x:c r="U854" s="294"/>
      <x:c r="V854" s="294"/>
      <x:c r="W854" s="23"/>
      <x:c r="X854" s="23"/>
      <x:c r="Y854" s="23"/>
      <x:c r="Z854" s="23"/>
    </x:row>
    <x:row r="855" spans="1:26" s="14" customFormat="1" ht="13.5" customHeight="1">
      <x:c r="A855" s="299" t="str">
        <x:f>O855</x:f>
        <x:v>하승주</x:v>
      </x:c>
      <x:c r="B855" s="249" t="str">
        <x:f>L855&amp;"-"&amp;TEXT(P855,"0000")</x:f>
        <x:v>202504-0960</x:v>
      </x:c>
      <x:c r="C855" s="249" t="s">
        <x:v>1564</x:v>
      </x:c>
      <x:c r="D855" s="249" t="s">
        <x:v>1581</x:v>
      </x:c>
      <x:c r="E855" s="249" t="s">
        <x:v>1251</x:v>
      </x:c>
      <x:c r="F855" s="299" t="s">
        <x:v>2262</x:v>
      </x:c>
      <x:c r="G855" s="249" t="s">
        <x:v>1289</x:v>
      </x:c>
      <x:c r="H855" s="299" t="str">
        <x:f>IFERROR(VLOOKUP(O855,'정보화기기 명부'!A$2:B$187,2,FALSE),"")</x:f>
        <x:v>2학년부</x:v>
      </x:c>
      <x:c r="I855" s="299" t="str">
        <x:f>IFERROR(VLOOKUP(O855,'교직원용 IP'!$C$2:$H$230,6,FALSE),"")</x:f>
        <x:v>10.51.90.115</x:v>
      </x:c>
      <x:c r="J855" s="300"/>
      <x:c r="K855" s="300"/>
      <x:c r="L855" s="299">
        <x:v>20250400</x:v>
      </x:c>
      <x:c r="M855" s="301">
        <x:v>1420000</x:v>
      </x:c>
      <x:c r="N855" s="299" t="s">
        <x:v>2034</x:v>
      </x:c>
      <x:c r="O855" s="299" t="s">
        <x:v>1419</x:v>
      </x:c>
      <x:c r="P855" s="299">
        <x:f>P856+1</x:f>
        <x:v>960</x:v>
      </x:c>
      <x:c r="Q855" s="207" t="s">
        <x:v>3297</x:v>
      </x:c>
      <x:c r="R855" s="207" t="s">
        <x:v>3106</x:v>
      </x:c>
      <x:c r="S855" s="207" t="s">
        <x:v>2069</x:v>
      </x:c>
      <x:c r="T855" s="207" t="s">
        <x:v>2055</x:v>
      </x:c>
      <x:c r="U855" s="294"/>
      <x:c r="V855" s="294"/>
      <x:c r="W855" s="23"/>
      <x:c r="X855" s="23"/>
      <x:c r="Y855" s="23"/>
      <x:c r="Z855" s="23"/>
    </x:row>
    <x:row r="856" spans="1:26" s="14" customFormat="1" ht="13.5" customHeight="1">
      <x:c r="A856" s="299" t="str">
        <x:f>O856</x:f>
        <x:v>노병철</x:v>
      </x:c>
      <x:c r="B856" s="249" t="str">
        <x:f>L856&amp;"-"&amp;TEXT(P856,"0000")</x:f>
        <x:v>202504-0959</x:v>
      </x:c>
      <x:c r="C856" s="249" t="s">
        <x:v>1564</x:v>
      </x:c>
      <x:c r="D856" s="249" t="s">
        <x:v>1581</x:v>
      </x:c>
      <x:c r="E856" s="249" t="s">
        <x:v>1251</x:v>
      </x:c>
      <x:c r="F856" s="299" t="s">
        <x:v>2262</x:v>
      </x:c>
      <x:c r="G856" s="249" t="s">
        <x:v>1289</x:v>
      </x:c>
      <x:c r="H856" s="299" t="str">
        <x:f>IFERROR(VLOOKUP(O856,'정보화기기 명부'!A$2:B$187,2,FALSE),"")</x:f>
        <x:v>1학년부</x:v>
      </x:c>
      <x:c r="I856" s="299" t="str">
        <x:f>IFERROR(VLOOKUP(O856,'교직원용 IP'!$C$2:$H$230,6,FALSE),"")</x:f>
        <x:v>10.51.90.97</x:v>
      </x:c>
      <x:c r="J856" s="300"/>
      <x:c r="K856" s="300"/>
      <x:c r="L856" s="299">
        <x:v>20250400</x:v>
      </x:c>
      <x:c r="M856" s="301">
        <x:v>1420000</x:v>
      </x:c>
      <x:c r="N856" s="299" t="s">
        <x:v>2034</x:v>
      </x:c>
      <x:c r="O856" s="299" t="s">
        <x:v>1495</x:v>
      </x:c>
      <x:c r="P856" s="299">
        <x:f>P857+1</x:f>
        <x:v>959</x:v>
      </x:c>
      <x:c r="Q856" s="207" t="s">
        <x:v>3297</x:v>
      </x:c>
      <x:c r="R856" s="207" t="s">
        <x:v>3106</x:v>
      </x:c>
      <x:c r="S856" s="207" t="s">
        <x:v>2069</x:v>
      </x:c>
      <x:c r="T856" s="207" t="s">
        <x:v>2055</x:v>
      </x:c>
      <x:c r="U856" s="294"/>
      <x:c r="V856" s="294"/>
      <x:c r="W856" s="23"/>
      <x:c r="X856" s="23"/>
      <x:c r="Y856" s="23"/>
      <x:c r="Z856" s="23"/>
    </x:row>
    <x:row r="857" spans="1:26" s="14" customFormat="1" ht="13.5" customHeight="1">
      <x:c r="A857" s="299" t="str">
        <x:f>O857</x:f>
        <x:v>고민숙</x:v>
      </x:c>
      <x:c r="B857" s="249" t="str">
        <x:f>L857&amp;"-"&amp;TEXT(P857,"0000")</x:f>
        <x:v>202504-0958</x:v>
      </x:c>
      <x:c r="C857" s="249" t="s">
        <x:v>1564</x:v>
      </x:c>
      <x:c r="D857" s="249" t="s">
        <x:v>1581</x:v>
      </x:c>
      <x:c r="E857" s="249" t="s">
        <x:v>1251</x:v>
      </x:c>
      <x:c r="F857" s="299" t="s">
        <x:v>2262</x:v>
      </x:c>
      <x:c r="G857" s="249" t="s">
        <x:v>1289</x:v>
      </x:c>
      <x:c r="H857" s="299" t="str">
        <x:f>IFERROR(VLOOKUP(O857,'정보화기기 명부'!A$2:B$187,2,FALSE),"")</x:f>
        <x:v>1학년부</x:v>
      </x:c>
      <x:c r="I857" s="299" t="str">
        <x:f>IFERROR(VLOOKUP(O857,'교직원용 IP'!$C$2:$H$230,6,FALSE),"")</x:f>
        <x:v>10.51.90.116</x:v>
      </x:c>
      <x:c r="J857" s="300"/>
      <x:c r="K857" s="300"/>
      <x:c r="L857" s="299">
        <x:v>20250400</x:v>
      </x:c>
      <x:c r="M857" s="301">
        <x:v>1420000</x:v>
      </x:c>
      <x:c r="N857" s="299" t="s">
        <x:v>2034</x:v>
      </x:c>
      <x:c r="O857" s="299" t="s">
        <x:v>1224</x:v>
      </x:c>
      <x:c r="P857" s="299">
        <x:f>P858+1</x:f>
        <x:v>958</x:v>
      </x:c>
      <x:c r="Q857" s="207" t="s">
        <x:v>3297</x:v>
      </x:c>
      <x:c r="R857" s="207" t="s">
        <x:v>3106</x:v>
      </x:c>
      <x:c r="S857" s="207" t="s">
        <x:v>2069</x:v>
      </x:c>
      <x:c r="T857" s="207" t="s">
        <x:v>2055</x:v>
      </x:c>
      <x:c r="U857" s="294"/>
      <x:c r="V857" s="294"/>
      <x:c r="W857" s="23"/>
      <x:c r="X857" s="23"/>
      <x:c r="Y857" s="23"/>
      <x:c r="Z857" s="23"/>
    </x:row>
    <x:row r="858" spans="1:26" s="14" customFormat="1" ht="13.5" customHeight="1">
      <x:c r="A858" s="299" t="str">
        <x:f>O858</x:f>
        <x:v>박채은</x:v>
      </x:c>
      <x:c r="B858" s="249" t="str">
        <x:f>L858&amp;"-"&amp;TEXT(P858,"0000")</x:f>
        <x:v>202504-0957</x:v>
      </x:c>
      <x:c r="C858" s="249" t="s">
        <x:v>1564</x:v>
      </x:c>
      <x:c r="D858" s="249" t="s">
        <x:v>1581</x:v>
      </x:c>
      <x:c r="E858" s="249" t="s">
        <x:v>1251</x:v>
      </x:c>
      <x:c r="F858" s="299" t="s">
        <x:v>2262</x:v>
      </x:c>
      <x:c r="G858" s="249" t="s">
        <x:v>1289</x:v>
      </x:c>
      <x:c r="H858" s="299" t="str">
        <x:f>IFERROR(VLOOKUP(O858,'정보화기기 명부'!A$2:B$187,2,FALSE),"")</x:f>
        <x:v>1학년부</x:v>
      </x:c>
      <x:c r="I858" s="299" t="str">
        <x:f>IFERROR(VLOOKUP(O858,'교직원용 IP'!$C$2:$H$230,6,FALSE),"")</x:f>
        <x:v>10.51.90.125</x:v>
      </x:c>
      <x:c r="J858" s="300"/>
      <x:c r="K858" s="300"/>
      <x:c r="L858" s="299">
        <x:v>20250400</x:v>
      </x:c>
      <x:c r="M858" s="301">
        <x:v>1420000</x:v>
      </x:c>
      <x:c r="N858" s="299" t="s">
        <x:v>2034</x:v>
      </x:c>
      <x:c r="O858" s="299" t="s">
        <x:v>1267</x:v>
      </x:c>
      <x:c r="P858" s="299">
        <x:f>P859+1</x:f>
        <x:v>957</x:v>
      </x:c>
      <x:c r="Q858" s="207" t="s">
        <x:v>3297</x:v>
      </x:c>
      <x:c r="R858" s="207" t="s">
        <x:v>3106</x:v>
      </x:c>
      <x:c r="S858" s="207" t="s">
        <x:v>2069</x:v>
      </x:c>
      <x:c r="T858" s="207" t="s">
        <x:v>2055</x:v>
      </x:c>
      <x:c r="U858" s="294"/>
      <x:c r="V858" s="294"/>
      <x:c r="W858" s="23"/>
      <x:c r="X858" s="23"/>
      <x:c r="Y858" s="23"/>
      <x:c r="Z858" s="23"/>
    </x:row>
    <x:row r="859" spans="1:26" s="14" customFormat="1" ht="13.5" customHeight="1">
      <x:c r="A859" s="299" t="str">
        <x:f>O859</x:f>
        <x:v>권예란</x:v>
      </x:c>
      <x:c r="B859" s="249" t="str">
        <x:f>L859&amp;"-"&amp;TEXT(P859,"0000")</x:f>
        <x:v>202504-0956</x:v>
      </x:c>
      <x:c r="C859" s="249" t="s">
        <x:v>1564</x:v>
      </x:c>
      <x:c r="D859" s="249" t="s">
        <x:v>1581</x:v>
      </x:c>
      <x:c r="E859" s="249" t="s">
        <x:v>1251</x:v>
      </x:c>
      <x:c r="F859" s="299" t="s">
        <x:v>2262</x:v>
      </x:c>
      <x:c r="G859" s="249" t="s">
        <x:v>1289</x:v>
      </x:c>
      <x:c r="H859" s="299" t="str">
        <x:f>IFERROR(VLOOKUP(O859,'정보화기기 명부'!A$2:B$187,2,FALSE),"")</x:f>
        <x:v>2학년부</x:v>
      </x:c>
      <x:c r="I859" s="299" t="str">
        <x:f>IFERROR(VLOOKUP(O859,'교직원용 IP'!$C$2:$H$230,6,FALSE),"")</x:f>
        <x:v>10.51.90.146</x:v>
      </x:c>
      <x:c r="J859" s="300"/>
      <x:c r="K859" s="300"/>
      <x:c r="L859" s="299">
        <x:v>20250400</x:v>
      </x:c>
      <x:c r="M859" s="301">
        <x:v>1420000</x:v>
      </x:c>
      <x:c r="N859" s="299" t="s">
        <x:v>2034</x:v>
      </x:c>
      <x:c r="O859" s="299" t="s">
        <x:v>1227</x:v>
      </x:c>
      <x:c r="P859" s="299">
        <x:f>P860+1</x:f>
        <x:v>956</x:v>
      </x:c>
      <x:c r="Q859" s="207" t="s">
        <x:v>3297</x:v>
      </x:c>
      <x:c r="R859" s="207" t="s">
        <x:v>3106</x:v>
      </x:c>
      <x:c r="S859" s="207" t="s">
        <x:v>2069</x:v>
      </x:c>
      <x:c r="T859" s="207" t="s">
        <x:v>2055</x:v>
      </x:c>
      <x:c r="U859" s="294"/>
      <x:c r="V859" s="294"/>
      <x:c r="W859" s="23"/>
      <x:c r="X859" s="23"/>
      <x:c r="Y859" s="23"/>
      <x:c r="Z859" s="23"/>
    </x:row>
    <x:row r="860" spans="1:26" s="14" customFormat="1" ht="13.5" customHeight="1">
      <x:c r="A860" s="299" t="str">
        <x:f>O860</x:f>
        <x:v>김현우</x:v>
      </x:c>
      <x:c r="B860" s="249" t="str">
        <x:f>L860&amp;"-"&amp;TEXT(P860,"0000")</x:f>
        <x:v>202504-0955</x:v>
      </x:c>
      <x:c r="C860" s="249" t="s">
        <x:v>1564</x:v>
      </x:c>
      <x:c r="D860" s="249" t="s">
        <x:v>1581</x:v>
      </x:c>
      <x:c r="E860" s="249" t="s">
        <x:v>1251</x:v>
      </x:c>
      <x:c r="F860" s="299" t="s">
        <x:v>2262</x:v>
      </x:c>
      <x:c r="G860" s="249" t="s">
        <x:v>1289</x:v>
      </x:c>
      <x:c r="H860" s="299" t="str">
        <x:f>IFERROR(VLOOKUP(O860,'정보화기기 명부'!A$2:B$187,2,FALSE),"")</x:f>
        <x:v>체육보건부</x:v>
      </x:c>
      <x:c r="I860" s="299" t="str">
        <x:f>IFERROR(VLOOKUP(O860,'교직원용 IP'!$C$2:$H$230,6,FALSE),"")</x:f>
        <x:v>10.51.90.199</x:v>
      </x:c>
      <x:c r="J860" s="300"/>
      <x:c r="K860" s="300"/>
      <x:c r="L860" s="299">
        <x:v>20250400</x:v>
      </x:c>
      <x:c r="M860" s="301">
        <x:v>1420000</x:v>
      </x:c>
      <x:c r="N860" s="299" t="s">
        <x:v>2034</x:v>
      </x:c>
      <x:c r="O860" s="299" t="s">
        <x:v>1236</x:v>
      </x:c>
      <x:c r="P860" s="299">
        <x:f>P861+1</x:f>
        <x:v>955</x:v>
      </x:c>
      <x:c r="Q860" s="207" t="s">
        <x:v>3297</x:v>
      </x:c>
      <x:c r="R860" s="207" t="s">
        <x:v>3106</x:v>
      </x:c>
      <x:c r="S860" s="207" t="s">
        <x:v>2069</x:v>
      </x:c>
      <x:c r="T860" s="207" t="s">
        <x:v>2055</x:v>
      </x:c>
      <x:c r="U860" s="294"/>
      <x:c r="V860" s="294"/>
      <x:c r="W860" s="23"/>
      <x:c r="X860" s="23"/>
      <x:c r="Y860" s="23"/>
      <x:c r="Z860" s="23"/>
    </x:row>
    <x:row r="861" spans="1:26" s="14" customFormat="1" ht="13.5" customHeight="1">
      <x:c r="A861" s="302" t="s">
        <x:v>1200</x:v>
      </x:c>
      <x:c r="B861" s="249" t="str">
        <x:f>L861&amp;"-"&amp;TEXT(P861,"0000")</x:f>
        <x:v>202504-0954</x:v>
      </x:c>
      <x:c r="C861" s="249" t="s">
        <x:v>1564</x:v>
      </x:c>
      <x:c r="D861" s="249" t="s">
        <x:v>1581</x:v>
      </x:c>
      <x:c r="E861" s="249" t="s">
        <x:v>1251</x:v>
      </x:c>
      <x:c r="F861" s="299" t="s">
        <x:v>2262</x:v>
      </x:c>
      <x:c r="G861" s="249" t="s">
        <x:v>1289</x:v>
      </x:c>
      <x:c r="H861" s="299" t="str">
        <x:f>IFERROR(VLOOKUP(O861,'정보화기기 명부'!A$2:B$187,2,FALSE),"")</x:f>
        <x:v>1학년부</x:v>
      </x:c>
      <x:c r="I861" s="299" t="str">
        <x:f>IFERROR(VLOOKUP(O861,'교직원용 IP'!$C$2:$H$230,6,FALSE),"")</x:f>
        <x:v>10.51.90.113</x:v>
      </x:c>
      <x:c r="J861" s="300"/>
      <x:c r="K861" s="300"/>
      <x:c r="L861" s="299">
        <x:v>20250400</x:v>
      </x:c>
      <x:c r="M861" s="301">
        <x:v>1420000</x:v>
      </x:c>
      <x:c r="N861" s="299" t="s">
        <x:v>2034</x:v>
      </x:c>
      <x:c r="O861" s="300" t="s">
        <x:v>1497</x:v>
      </x:c>
      <x:c r="P861" s="300">
        <x:v>954</x:v>
      </x:c>
      <x:c r="Q861" s="207" t="s">
        <x:v>3297</x:v>
      </x:c>
      <x:c r="R861" s="207" t="s">
        <x:v>3106</x:v>
      </x:c>
      <x:c r="S861" s="207" t="s">
        <x:v>2069</x:v>
      </x:c>
      <x:c r="T861" s="207" t="s">
        <x:v>2055</x:v>
      </x:c>
      <x:c r="U861" s="294"/>
      <x:c r="V861" s="294"/>
      <x:c r="W861" s="92"/>
      <x:c r="X861" s="92"/>
      <x:c r="Y861" s="92"/>
      <x:c r="Z861" s="92"/>
    </x:row>
    <x:row r="862" spans="1:26" s="14" customFormat="1" ht="13.5" customHeight="1">
      <x:c r="A862" s="299" t="str">
        <x:f>O862</x:f>
        <x:v>김강일</x:v>
      </x:c>
      <x:c r="B862" s="249" t="str">
        <x:f>L862&amp;"-"&amp;TEXT(P862,"0000")</x:f>
        <x:v>202504-0955</x:v>
      </x:c>
      <x:c r="C862" s="249" t="s">
        <x:v>1564</x:v>
      </x:c>
      <x:c r="D862" s="249" t="s">
        <x:v>1581</x:v>
      </x:c>
      <x:c r="E862" s="249" t="s">
        <x:v>1251</x:v>
      </x:c>
      <x:c r="F862" s="299" t="s">
        <x:v>2262</x:v>
      </x:c>
      <x:c r="G862" s="249" t="s">
        <x:v>1289</x:v>
      </x:c>
      <x:c r="H862" s="299" t="str">
        <x:f>IFERROR(VLOOKUP(O862,'정보화기기 명부'!A$2:B$187,2,FALSE),"")</x:f>
        <x:v>체육보건부</x:v>
      </x:c>
      <x:c r="I862" s="299" t="str">
        <x:f>IFERROR(VLOOKUP(O862,'교직원용 IP'!$C$2:$H$230,6,FALSE),"")</x:f>
        <x:v>10.51.90.118</x:v>
      </x:c>
      <x:c r="J862" s="300"/>
      <x:c r="K862" s="300"/>
      <x:c r="L862" s="299">
        <x:v>20250400</x:v>
      </x:c>
      <x:c r="M862" s="301">
        <x:v>1420000</x:v>
      </x:c>
      <x:c r="N862" s="299" t="s">
        <x:v>2034</x:v>
      </x:c>
      <x:c r="O862" s="300" t="s">
        <x:v>1231</x:v>
      </x:c>
      <x:c r="P862" s="300">
        <x:v>955</x:v>
      </x:c>
      <x:c r="Q862" s="207" t="s">
        <x:v>3297</x:v>
      </x:c>
      <x:c r="R862" s="207" t="s">
        <x:v>3106</x:v>
      </x:c>
      <x:c r="S862" s="207" t="s">
        <x:v>2069</x:v>
      </x:c>
      <x:c r="T862" s="207" t="s">
        <x:v>2055</x:v>
      </x:c>
      <x:c r="U862" s="294"/>
      <x:c r="V862" s="294"/>
      <x:c r="W862" s="92"/>
      <x:c r="X862" s="92"/>
      <x:c r="Y862" s="92"/>
      <x:c r="Z862" s="92"/>
    </x:row>
    <x:row r="863" spans="1:26" s="14" customFormat="1" ht="13.5" customHeight="1">
      <x:c r="A863" s="299" t="str">
        <x:f>O863</x:f>
        <x:v>허담언</x:v>
      </x:c>
      <x:c r="B863" s="249" t="str">
        <x:f>L863&amp;"-"&amp;TEXT(P863,"0000")</x:f>
        <x:v>202503-0909</x:v>
      </x:c>
      <x:c r="C863" s="249" t="s">
        <x:v>1564</x:v>
      </x:c>
      <x:c r="D863" s="249" t="s">
        <x:v>1581</x:v>
      </x:c>
      <x:c r="E863" s="249" t="s">
        <x:v>1251</x:v>
      </x:c>
      <x:c r="F863" s="299" t="s">
        <x:v>2262</x:v>
      </x:c>
      <x:c r="G863" s="249" t="s">
        <x:v>1289</x:v>
      </x:c>
      <x:c r="H863" s="299" t="str">
        <x:f>IFERROR(VLOOKUP(O863,'정보화기기 명부'!A$2:B$187,2,FALSE),"")</x:f>
        <x:v>인문사회부</x:v>
      </x:c>
      <x:c r="I863" s="299" t="str">
        <x:f>IFERROR(VLOOKUP(O863,'교직원용 IP'!$C$2:$H$230,6,FALSE),"")</x:f>
        <x:v>10.51.90.141</x:v>
      </x:c>
      <x:c r="J863" s="300"/>
      <x:c r="K863" s="300"/>
      <x:c r="L863" s="299">
        <x:v>20250300</x:v>
      </x:c>
      <x:c r="M863" s="301">
        <x:v>1310000</x:v>
      </x:c>
      <x:c r="N863" s="299" t="s">
        <x:v>2034</x:v>
      </x:c>
      <x:c r="O863" s="299" t="s">
        <x:v>1219</x:v>
      </x:c>
      <x:c r="P863" s="299">
        <x:f>P864+1</x:f>
        <x:v>909</x:v>
      </x:c>
      <x:c r="Q863" s="207" t="s">
        <x:v>3297</x:v>
      </x:c>
      <x:c r="R863" s="207" t="s">
        <x:v>3106</x:v>
      </x:c>
      <x:c r="S863" s="207" t="s">
        <x:v>2069</x:v>
      </x:c>
      <x:c r="T863" s="207" t="s">
        <x:v>2055</x:v>
      </x:c>
      <x:c r="U863" s="294"/>
      <x:c r="V863" s="294"/>
      <x:c r="W863" s="23"/>
      <x:c r="X863" s="23"/>
      <x:c r="Y863" s="23"/>
      <x:c r="Z863" s="23"/>
    </x:row>
    <x:row r="864" spans="1:26" s="14" customFormat="1" ht="13.5" customHeight="1">
      <x:c r="A864" s="299" t="str">
        <x:f>O864</x:f>
        <x:v>윤은옥</x:v>
      </x:c>
      <x:c r="B864" s="249" t="str">
        <x:f>L864&amp;"-"&amp;TEXT(P864,"0000")</x:f>
        <x:v>202503-0908</x:v>
      </x:c>
      <x:c r="C864" s="249" t="s">
        <x:v>1564</x:v>
      </x:c>
      <x:c r="D864" s="249" t="s">
        <x:v>1581</x:v>
      </x:c>
      <x:c r="E864" s="249" t="s">
        <x:v>1251</x:v>
      </x:c>
      <x:c r="F864" s="299" t="s">
        <x:v>2262</x:v>
      </x:c>
      <x:c r="G864" s="249" t="s">
        <x:v>1289</x:v>
      </x:c>
      <x:c r="H864" s="299" t="str">
        <x:f>IFERROR(VLOOKUP(O864,'정보화기기 명부'!A$2:B$187,2,FALSE),"")</x:f>
        <x:v>수리과학부</x:v>
      </x:c>
      <x:c r="I864" s="299" t="str">
        <x:f>IFERROR(VLOOKUP(O864,'교직원용 IP'!$C$2:$H$230,6,FALSE),"")</x:f>
        <x:v>10.51.90.154</x:v>
      </x:c>
      <x:c r="J864" s="300"/>
      <x:c r="K864" s="300"/>
      <x:c r="L864" s="299">
        <x:v>20250300</x:v>
      </x:c>
      <x:c r="M864" s="301">
        <x:v>1310000</x:v>
      </x:c>
      <x:c r="N864" s="299" t="s">
        <x:v>2034</x:v>
      </x:c>
      <x:c r="O864" s="299" t="s">
        <x:v>1264</x:v>
      </x:c>
      <x:c r="P864" s="299">
        <x:f>P865+1</x:f>
        <x:v>908</x:v>
      </x:c>
      <x:c r="Q864" s="207" t="s">
        <x:v>3297</x:v>
      </x:c>
      <x:c r="R864" s="207" t="s">
        <x:v>3106</x:v>
      </x:c>
      <x:c r="S864" s="207" t="s">
        <x:v>2069</x:v>
      </x:c>
      <x:c r="T864" s="207" t="s">
        <x:v>2055</x:v>
      </x:c>
      <x:c r="U864" s="294"/>
      <x:c r="V864" s="294"/>
      <x:c r="W864" s="23"/>
      <x:c r="X864" s="23"/>
      <x:c r="Y864" s="23"/>
      <x:c r="Z864" s="23"/>
    </x:row>
    <x:row r="865" spans="1:26" s="14" customFormat="1" ht="13.5" customHeight="1">
      <x:c r="A865" s="25" t="str">
        <x:f>O865</x:f>
        <x:v>원선일</x:v>
      </x:c>
      <x:c r="B865" s="25" t="str">
        <x:f>L865&amp;"-"&amp;TEXT(P865,"0000")</x:f>
        <x:v>202412-0907</x:v>
      </x:c>
      <x:c r="C865" s="207" t="s">
        <x:v>1978</x:v>
      </x:c>
      <x:c r="D865" s="207" t="s">
        <x:v>1581</x:v>
      </x:c>
      <x:c r="E865" s="207" t="s">
        <x:v>1552</x:v>
      </x:c>
      <x:c r="F865" s="207" t="s">
        <x:v>680</x:v>
      </x:c>
      <x:c r="G865" s="207" t="s">
        <x:v>1536</x:v>
      </x:c>
      <x:c r="H865" s="207" t="s">
        <x:v>1950</x:v>
      </x:c>
      <x:c r="I865" s="207" t="str">
        <x:f>IFERROR(VLOOKUP(O865,'교직원용 IP'!$C$2:$H$230,6,FALSE),"")</x:f>
        <x:v>10.51.90.87</x:v>
      </x:c>
      <x:c r="J865" s="25"/>
      <x:c r="K865" s="25"/>
      <x:c r="L865" s="128">
        <x:v>20241200</x:v>
      </x:c>
      <x:c r="M865" s="238">
        <x:v>893000</x:v>
      </x:c>
      <x:c r="N865" s="207" t="s">
        <x:v>2034</x:v>
      </x:c>
      <x:c r="O865" s="207" t="s">
        <x:v>1204</x:v>
      </x:c>
      <x:c r="P865" s="207">
        <x:v>907</x:v>
      </x:c>
      <x:c r="Q865" s="207" t="s">
        <x:v>706</x:v>
      </x:c>
      <x:c r="R865" s="207"/>
      <x:c r="S865" s="207"/>
      <x:c r="T865" s="207"/>
      <x:c r="U865" s="207"/>
      <x:c r="V865" s="207"/>
      <x:c r="W865" s="23"/>
      <x:c r="X865" s="23"/>
      <x:c r="Y865" s="23"/>
      <x:c r="Z865" s="23"/>
    </x:row>
    <x:row r="866" spans="1:26" s="14" customFormat="1" ht="13.5" customHeight="1">
      <x:c r="A866" s="25" t="str">
        <x:f>O866</x:f>
        <x:v>정다운</x:v>
      </x:c>
      <x:c r="B866" s="25" t="str">
        <x:f>L866&amp;"-"&amp;TEXT(P866,"0000")</x:f>
        <x:v>202412-0906</x:v>
      </x:c>
      <x:c r="C866" s="207" t="s">
        <x:v>1978</x:v>
      </x:c>
      <x:c r="D866" s="207" t="s">
        <x:v>1581</x:v>
      </x:c>
      <x:c r="E866" s="207" t="s">
        <x:v>1552</x:v>
      </x:c>
      <x:c r="F866" s="207" t="s">
        <x:v>680</x:v>
      </x:c>
      <x:c r="G866" s="207" t="s">
        <x:v>1536</x:v>
      </x:c>
      <x:c r="H866" s="207" t="s">
        <x:v>1950</x:v>
      </x:c>
      <x:c r="I866" s="207" t="str">
        <x:f>IFERROR(VLOOKUP(O866,'교직원용 IP'!$C$2:$H$230,6,FALSE),"")</x:f>
        <x:v>10.51.90.86</x:v>
      </x:c>
      <x:c r="J866" s="25"/>
      <x:c r="K866" s="25"/>
      <x:c r="L866" s="128">
        <x:v>20241200</x:v>
      </x:c>
      <x:c r="M866" s="238">
        <x:v>893000</x:v>
      </x:c>
      <x:c r="N866" s="207" t="s">
        <x:v>2034</x:v>
      </x:c>
      <x:c r="O866" s="207" t="s">
        <x:v>1211</x:v>
      </x:c>
      <x:c r="P866" s="207">
        <x:v>906</x:v>
      </x:c>
      <x:c r="Q866" s="207" t="s">
        <x:v>706</x:v>
      </x:c>
      <x:c r="R866" s="207"/>
      <x:c r="S866" s="207"/>
      <x:c r="T866" s="207"/>
      <x:c r="U866" s="207"/>
      <x:c r="V866" s="207"/>
      <x:c r="W866" s="23"/>
      <x:c r="X866" s="23"/>
      <x:c r="Y866" s="23"/>
      <x:c r="Z866" s="23"/>
    </x:row>
    <x:row r="867" spans="1:26" s="14" customFormat="1" ht="13.5" customHeight="1">
      <x:c r="A867" s="25" t="str">
        <x:f>O867</x:f>
        <x:v>우현주</x:v>
      </x:c>
      <x:c r="B867" s="25" t="str">
        <x:f>L867&amp;"-"&amp;TEXT(P867,"0000")</x:f>
        <x:v>202412-0905</x:v>
      </x:c>
      <x:c r="C867" s="207" t="s">
        <x:v>1978</x:v>
      </x:c>
      <x:c r="D867" s="207" t="s">
        <x:v>1581</x:v>
      </x:c>
      <x:c r="E867" s="207" t="s">
        <x:v>1552</x:v>
      </x:c>
      <x:c r="F867" s="207" t="s">
        <x:v>666</x:v>
      </x:c>
      <x:c r="G867" s="207" t="s">
        <x:v>1536</x:v>
      </x:c>
      <x:c r="H867" s="207" t="s">
        <x:v>1950</x:v>
      </x:c>
      <x:c r="I867" s="207" t="str">
        <x:f>IFERROR(VLOOKUP(O867,'교직원용 IP'!$C$2:$H$230,6,FALSE),"")</x:f>
        <x:v>10.51.90.71</x:v>
      </x:c>
      <x:c r="J867" s="25"/>
      <x:c r="K867" s="25"/>
      <x:c r="L867" s="128">
        <x:v>20241200</x:v>
      </x:c>
      <x:c r="M867" s="238">
        <x:v>880730</x:v>
      </x:c>
      <x:c r="N867" s="207" t="s">
        <x:v>2034</x:v>
      </x:c>
      <x:c r="O867" s="207" t="s">
        <x:v>1226</x:v>
      </x:c>
      <x:c r="P867" s="207">
        <x:v>905</x:v>
      </x:c>
      <x:c r="Q867" s="207" t="s">
        <x:v>706</x:v>
      </x:c>
      <x:c r="R867" s="207"/>
      <x:c r="S867" s="207"/>
      <x:c r="T867" s="207"/>
      <x:c r="U867" s="207"/>
      <x:c r="V867" s="207"/>
      <x:c r="W867" s="23"/>
      <x:c r="X867" s="23"/>
      <x:c r="Y867" s="23"/>
      <x:c r="Z867" s="23"/>
    </x:row>
    <x:row r="868" spans="1:26" s="14" customFormat="1" ht="13.5" customHeight="1">
      <x:c r="A868" s="296" t="str">
        <x:f>O868</x:f>
        <x:v>이준호</x:v>
      </x:c>
      <x:c r="B868" s="237" t="str">
        <x:f>L868&amp;"-"&amp;TEXT(P868,"0000")</x:f>
        <x:v>202409-0939</x:v>
      </x:c>
      <x:c r="C868" s="237" t="s">
        <x:v>1564</x:v>
      </x:c>
      <x:c r="D868" s="237" t="s">
        <x:v>1581</x:v>
      </x:c>
      <x:c r="E868" s="237" t="s">
        <x:v>1251</x:v>
      </x:c>
      <x:c r="F868" s="296" t="s">
        <x:v>2277</x:v>
      </x:c>
      <x:c r="G868" s="237" t="s">
        <x:v>1289</x:v>
      </x:c>
      <x:c r="H868" s="296" t="str">
        <x:f>IFERROR(VLOOKUP(O868,'정보화기기 명부'!A$2:B$187,2,FALSE),"")</x:f>
        <x:v>정보교육부</x:v>
      </x:c>
      <x:c r="I868" s="296" t="str">
        <x:f>IFERROR(VLOOKUP(O868,'교직원용 IP'!$C$2:$H$230,6,FALSE),"")</x:f>
        <x:v>10.51.90.104</x:v>
      </x:c>
      <x:c r="J868" s="297"/>
      <x:c r="K868" s="297"/>
      <x:c r="L868" s="296">
        <x:v>20240900</x:v>
      </x:c>
      <x:c r="M868" s="298">
        <x:v>1300000</x:v>
      </x:c>
      <x:c r="N868" s="237" t="s">
        <x:v>2034</x:v>
      </x:c>
      <x:c r="O868" s="297" t="s">
        <x:v>1206</x:v>
      </x:c>
      <x:c r="P868" s="296">
        <x:f>P869+1</x:f>
        <x:v>939</x:v>
      </x:c>
      <x:c r="Q868" s="207" t="s">
        <x:v>3297</x:v>
      </x:c>
      <x:c r="R868" s="207" t="s">
        <x:v>3320</x:v>
      </x:c>
      <x:c r="S868" s="207" t="s">
        <x:v>2069</x:v>
      </x:c>
      <x:c r="T868" s="207" t="s">
        <x:v>2055</x:v>
      </x:c>
      <x:c r="U868" s="294"/>
      <x:c r="V868" s="294"/>
      <x:c r="W868" s="23"/>
      <x:c r="X868" s="23"/>
      <x:c r="Y868" s="23"/>
      <x:c r="Z868" s="23"/>
    </x:row>
    <x:row r="869" spans="1:26" s="14" customFormat="1" ht="13.5" customHeight="1">
      <x:c r="A869" s="296" t="str">
        <x:f>O869</x:f>
        <x:v>이용화</x:v>
      </x:c>
      <x:c r="B869" s="237" t="str">
        <x:f>L869&amp;"-"&amp;TEXT(P869,"0000")</x:f>
        <x:v>202409-0938</x:v>
      </x:c>
      <x:c r="C869" s="237" t="s">
        <x:v>1564</x:v>
      </x:c>
      <x:c r="D869" s="237" t="s">
        <x:v>1581</x:v>
      </x:c>
      <x:c r="E869" s="237" t="s">
        <x:v>1251</x:v>
      </x:c>
      <x:c r="F869" s="296" t="s">
        <x:v>2277</x:v>
      </x:c>
      <x:c r="G869" s="237" t="s">
        <x:v>1289</x:v>
      </x:c>
      <x:c r="H869" s="296" t="str">
        <x:f>IFERROR(VLOOKUP(O869,'정보화기기 명부'!A$2:B$187,2,FALSE),"")</x:f>
        <x:v>3학년부</x:v>
      </x:c>
      <x:c r="I869" s="296" t="str">
        <x:f>IFERROR(VLOOKUP(O869,'교직원용 IP'!$C$2:$H$230,6,FALSE),"")</x:f>
        <x:v>10.51.90.139</x:v>
      </x:c>
      <x:c r="J869" s="297"/>
      <x:c r="K869" s="297"/>
      <x:c r="L869" s="296">
        <x:v>20240900</x:v>
      </x:c>
      <x:c r="M869" s="298">
        <x:v>1300000</x:v>
      </x:c>
      <x:c r="N869" s="237" t="s">
        <x:v>2034</x:v>
      </x:c>
      <x:c r="O869" s="296" t="s">
        <x:v>1522</x:v>
      </x:c>
      <x:c r="P869" s="296">
        <x:f>P870+1</x:f>
        <x:v>938</x:v>
      </x:c>
      <x:c r="Q869" s="207" t="s">
        <x:v>3297</x:v>
      </x:c>
      <x:c r="R869" s="207" t="s">
        <x:v>3320</x:v>
      </x:c>
      <x:c r="S869" s="207" t="s">
        <x:v>2069</x:v>
      </x:c>
      <x:c r="T869" s="207" t="s">
        <x:v>2055</x:v>
      </x:c>
      <x:c r="U869" s="294"/>
      <x:c r="V869" s="294"/>
      <x:c r="W869" s="23"/>
      <x:c r="X869" s="23"/>
      <x:c r="Y869" s="23"/>
      <x:c r="Z869" s="23"/>
    </x:row>
    <x:row r="870" spans="1:26" s="14" customFormat="1" ht="13.5" customHeight="1">
      <x:c r="A870" s="296" t="s">
        <x:v>1237</x:v>
      </x:c>
      <x:c r="B870" s="237" t="str">
        <x:f>L870&amp;"-"&amp;TEXT(P870,"0000")</x:f>
        <x:v>202409-0937</x:v>
      </x:c>
      <x:c r="C870" s="237" t="s">
        <x:v>1564</x:v>
      </x:c>
      <x:c r="D870" s="237" t="s">
        <x:v>1581</x:v>
      </x:c>
      <x:c r="E870" s="237" t="s">
        <x:v>1251</x:v>
      </x:c>
      <x:c r="F870" s="296" t="s">
        <x:v>2277</x:v>
      </x:c>
      <x:c r="G870" s="237" t="s">
        <x:v>1289</x:v>
      </x:c>
      <x:c r="H870" s="296" t="str">
        <x:f>IFERROR(VLOOKUP(O870,'정보화기기 명부'!A$2:B$187,2,FALSE),"")</x:f>
        <x:v/>
      </x:c>
      <x:c r="I870" s="296" t="s">
        <x:v>2284</x:v>
      </x:c>
      <x:c r="J870" s="297"/>
      <x:c r="K870" s="297"/>
      <x:c r="L870" s="296">
        <x:v>20240900</x:v>
      </x:c>
      <x:c r="M870" s="298">
        <x:v>1300000</x:v>
      </x:c>
      <x:c r="N870" s="237" t="s">
        <x:v>2034</x:v>
      </x:c>
      <x:c r="O870" s="297" t="s">
        <x:v>1237</x:v>
      </x:c>
      <x:c r="P870" s="296">
        <x:f>P871+1</x:f>
        <x:v>937</x:v>
      </x:c>
      <x:c r="Q870" s="207" t="s">
        <x:v>3297</x:v>
      </x:c>
      <x:c r="R870" s="207" t="s">
        <x:v>3320</x:v>
      </x:c>
      <x:c r="S870" s="207" t="s">
        <x:v>2069</x:v>
      </x:c>
      <x:c r="T870" s="207" t="s">
        <x:v>2055</x:v>
      </x:c>
      <x:c r="U870" s="294"/>
      <x:c r="V870" s="294"/>
      <x:c r="W870" s="23"/>
      <x:c r="X870" s="23"/>
      <x:c r="Y870" s="23"/>
      <x:c r="Z870" s="23"/>
    </x:row>
    <x:row r="871" spans="1:26" s="14" customFormat="1" ht="13.5" customHeight="1">
      <x:c r="A871" s="296" t="str">
        <x:f>O871</x:f>
        <x:v>박필승</x:v>
      </x:c>
      <x:c r="B871" s="237" t="str">
        <x:f>L871&amp;"-"&amp;TEXT(P871,"0000")</x:f>
        <x:v>202409-0936</x:v>
      </x:c>
      <x:c r="C871" s="237" t="s">
        <x:v>1564</x:v>
      </x:c>
      <x:c r="D871" s="237" t="s">
        <x:v>1581</x:v>
      </x:c>
      <x:c r="E871" s="237" t="s">
        <x:v>1251</x:v>
      </x:c>
      <x:c r="F871" s="296" t="s">
        <x:v>2277</x:v>
      </x:c>
      <x:c r="G871" s="237" t="s">
        <x:v>1289</x:v>
      </x:c>
      <x:c r="H871" s="296" t="str">
        <x:f>IFERROR(VLOOKUP(O871,'정보화기기 명부'!A$2:B$187,2,FALSE),"")</x:f>
        <x:v>2학년부</x:v>
      </x:c>
      <x:c r="I871" s="296" t="str">
        <x:f>IFERROR(VLOOKUP(O871,'교직원용 IP'!$C$2:$H$230,6,FALSE),"")</x:f>
        <x:v>10.51.90.112</x:v>
      </x:c>
      <x:c r="J871" s="297"/>
      <x:c r="K871" s="297"/>
      <x:c r="L871" s="296">
        <x:v>20240900</x:v>
      </x:c>
      <x:c r="M871" s="298">
        <x:v>1300000</x:v>
      </x:c>
      <x:c r="N871" s="237" t="s">
        <x:v>2034</x:v>
      </x:c>
      <x:c r="O871" s="296" t="s">
        <x:v>1232</x:v>
      </x:c>
      <x:c r="P871" s="296">
        <x:f>P872+1</x:f>
        <x:v>936</x:v>
      </x:c>
      <x:c r="Q871" s="207" t="s">
        <x:v>3297</x:v>
      </x:c>
      <x:c r="R871" s="207" t="s">
        <x:v>3320</x:v>
      </x:c>
      <x:c r="S871" s="207" t="s">
        <x:v>2069</x:v>
      </x:c>
      <x:c r="T871" s="207" t="s">
        <x:v>2055</x:v>
      </x:c>
      <x:c r="U871" s="294"/>
      <x:c r="V871" s="294"/>
      <x:c r="W871" s="23"/>
      <x:c r="X871" s="23"/>
      <x:c r="Y871" s="23"/>
      <x:c r="Z871" s="23"/>
    </x:row>
    <x:row r="872" spans="1:26" s="14" customFormat="1" ht="13.5" customHeight="1">
      <x:c r="A872" s="296" t="str">
        <x:f>O872</x:f>
        <x:v>최보름</x:v>
      </x:c>
      <x:c r="B872" s="237" t="str">
        <x:f>L872&amp;"-"&amp;TEXT(P872,"0000")</x:f>
        <x:v>202409-0935</x:v>
      </x:c>
      <x:c r="C872" s="237" t="s">
        <x:v>1564</x:v>
      </x:c>
      <x:c r="D872" s="237" t="s">
        <x:v>1581</x:v>
      </x:c>
      <x:c r="E872" s="237" t="s">
        <x:v>1251</x:v>
      </x:c>
      <x:c r="F872" s="296" t="s">
        <x:v>2277</x:v>
      </x:c>
      <x:c r="G872" s="237" t="s">
        <x:v>1289</x:v>
      </x:c>
      <x:c r="H872" s="296" t="str">
        <x:f>IFERROR(VLOOKUP(O872,'정보화기기 명부'!A$2:B$187,2,FALSE),"")</x:f>
        <x:v>교무기획부</x:v>
      </x:c>
      <x:c r="I872" s="296" t="str">
        <x:f>IFERROR(VLOOKUP(O872,'교직원용 IP'!$C$2:$H$230,6,FALSE),"")</x:f>
        <x:v>10.51.90.134</x:v>
      </x:c>
      <x:c r="J872" s="297"/>
      <x:c r="K872" s="297"/>
      <x:c r="L872" s="296">
        <x:v>20240900</x:v>
      </x:c>
      <x:c r="M872" s="298">
        <x:v>1300000</x:v>
      </x:c>
      <x:c r="N872" s="237" t="s">
        <x:v>2034</x:v>
      </x:c>
      <x:c r="O872" s="296" t="s">
        <x:v>1436</x:v>
      </x:c>
      <x:c r="P872" s="296">
        <x:f>P873+1</x:f>
        <x:v>935</x:v>
      </x:c>
      <x:c r="Q872" s="207" t="s">
        <x:v>3297</x:v>
      </x:c>
      <x:c r="R872" s="207" t="s">
        <x:v>3320</x:v>
      </x:c>
      <x:c r="S872" s="207" t="s">
        <x:v>2069</x:v>
      </x:c>
      <x:c r="T872" s="207" t="s">
        <x:v>2055</x:v>
      </x:c>
      <x:c r="U872" s="294"/>
      <x:c r="V872" s="294"/>
      <x:c r="W872" s="23"/>
      <x:c r="X872" s="23"/>
      <x:c r="Y872" s="23"/>
      <x:c r="Z872" s="23"/>
    </x:row>
    <x:row r="873" spans="1:26" s="14" customFormat="1" ht="13.5" customHeight="1">
      <x:c r="A873" s="296" t="str">
        <x:f>O873</x:f>
        <x:v>최용주</x:v>
      </x:c>
      <x:c r="B873" s="237" t="str">
        <x:f>L873&amp;"-"&amp;TEXT(P873,"0000")</x:f>
        <x:v>202409-0934</x:v>
      </x:c>
      <x:c r="C873" s="237" t="s">
        <x:v>1564</x:v>
      </x:c>
      <x:c r="D873" s="237" t="s">
        <x:v>1581</x:v>
      </x:c>
      <x:c r="E873" s="237" t="s">
        <x:v>1251</x:v>
      </x:c>
      <x:c r="F873" s="296" t="s">
        <x:v>2277</x:v>
      </x:c>
      <x:c r="G873" s="237" t="s">
        <x:v>1289</x:v>
      </x:c>
      <x:c r="H873" s="296" t="str">
        <x:f>IFERROR(VLOOKUP(O873,'정보화기기 명부'!A$2:B$187,2,FALSE),"")</x:f>
        <x:v>2학년부</x:v>
      </x:c>
      <x:c r="I873" s="296" t="str">
        <x:f>IFERROR(VLOOKUP(O873,'교직원용 IP'!$C$2:$H$230,6,FALSE),"")</x:f>
        <x:v>10.51.90.145</x:v>
      </x:c>
      <x:c r="J873" s="297"/>
      <x:c r="K873" s="297"/>
      <x:c r="L873" s="296">
        <x:v>20240900</x:v>
      </x:c>
      <x:c r="M873" s="298">
        <x:v>1300000</x:v>
      </x:c>
      <x:c r="N873" s="237" t="s">
        <x:v>2034</x:v>
      </x:c>
      <x:c r="O873" s="297" t="s">
        <x:v>1222</x:v>
      </x:c>
      <x:c r="P873" s="296">
        <x:f>P874+1</x:f>
        <x:v>934</x:v>
      </x:c>
      <x:c r="Q873" s="207" t="s">
        <x:v>3297</x:v>
      </x:c>
      <x:c r="R873" s="207" t="s">
        <x:v>3320</x:v>
      </x:c>
      <x:c r="S873" s="207" t="s">
        <x:v>2069</x:v>
      </x:c>
      <x:c r="T873" s="207" t="s">
        <x:v>2055</x:v>
      </x:c>
      <x:c r="U873" s="294"/>
      <x:c r="V873" s="294"/>
      <x:c r="W873" s="23"/>
      <x:c r="X873" s="23"/>
      <x:c r="Y873" s="23"/>
      <x:c r="Z873" s="23"/>
    </x:row>
    <x:row r="874" spans="1:26" s="14" customFormat="1" ht="13.5" customHeight="1">
      <x:c r="A874" s="296" t="str">
        <x:f>O874</x:f>
        <x:v>임순영</x:v>
      </x:c>
      <x:c r="B874" s="237" t="str">
        <x:f>L874&amp;"-"&amp;TEXT(P874,"0000")</x:f>
        <x:v>202409-0933</x:v>
      </x:c>
      <x:c r="C874" s="237" t="s">
        <x:v>1564</x:v>
      </x:c>
      <x:c r="D874" s="237" t="s">
        <x:v>1581</x:v>
      </x:c>
      <x:c r="E874" s="237" t="s">
        <x:v>1251</x:v>
      </x:c>
      <x:c r="F874" s="296" t="s">
        <x:v>2277</x:v>
      </x:c>
      <x:c r="G874" s="237" t="s">
        <x:v>1289</x:v>
      </x:c>
      <x:c r="H874" s="296" t="str">
        <x:f>IFERROR(VLOOKUP(O874,'정보화기기 명부'!A$2:B$187,2,FALSE),"")</x:f>
        <x:v>2학년부</x:v>
      </x:c>
      <x:c r="I874" s="296" t="str">
        <x:f>IFERROR(VLOOKUP(O874,'교직원용 IP'!$C$2:$H$230,6,FALSE),"")</x:f>
        <x:v>10.51.90.149</x:v>
      </x:c>
      <x:c r="J874" s="297"/>
      <x:c r="K874" s="297"/>
      <x:c r="L874" s="296">
        <x:v>20240900</x:v>
      </x:c>
      <x:c r="M874" s="298">
        <x:v>1300000</x:v>
      </x:c>
      <x:c r="N874" s="237" t="s">
        <x:v>2034</x:v>
      </x:c>
      <x:c r="O874" s="296" t="s">
        <x:v>1521</x:v>
      </x:c>
      <x:c r="P874" s="296">
        <x:f>P875+1</x:f>
        <x:v>933</x:v>
      </x:c>
      <x:c r="Q874" s="207" t="s">
        <x:v>3297</x:v>
      </x:c>
      <x:c r="R874" s="207" t="s">
        <x:v>3320</x:v>
      </x:c>
      <x:c r="S874" s="207" t="s">
        <x:v>2069</x:v>
      </x:c>
      <x:c r="T874" s="207" t="s">
        <x:v>2055</x:v>
      </x:c>
      <x:c r="U874" s="294"/>
      <x:c r="V874" s="294"/>
      <x:c r="W874" s="23"/>
      <x:c r="X874" s="23"/>
      <x:c r="Y874" s="23"/>
      <x:c r="Z874" s="23"/>
    </x:row>
    <x:row r="875" spans="1:26" s="14" customFormat="1" ht="13.5" customHeight="1">
      <x:c r="A875" s="296" t="str">
        <x:f>O875</x:f>
        <x:v>나정훈</x:v>
      </x:c>
      <x:c r="B875" s="237" t="str">
        <x:f>L875&amp;"-"&amp;TEXT(P875,"0000")</x:f>
        <x:v>202409-0932</x:v>
      </x:c>
      <x:c r="C875" s="237" t="s">
        <x:v>1564</x:v>
      </x:c>
      <x:c r="D875" s="237" t="s">
        <x:v>1581</x:v>
      </x:c>
      <x:c r="E875" s="237" t="s">
        <x:v>1251</x:v>
      </x:c>
      <x:c r="F875" s="296" t="s">
        <x:v>2277</x:v>
      </x:c>
      <x:c r="G875" s="237" t="s">
        <x:v>1289</x:v>
      </x:c>
      <x:c r="H875" s="296" t="str">
        <x:f>IFERROR(VLOOKUP(O875,'정보화기기 명부'!A$2:B$187,2,FALSE),"")</x:f>
        <x:v>1학년부</x:v>
      </x:c>
      <x:c r="I875" s="296" t="str">
        <x:f>IFERROR(VLOOKUP(O875,'교직원용 IP'!$C$2:$H$230,6,FALSE),"")</x:f>
        <x:v>10.51.90.91</x:v>
      </x:c>
      <x:c r="J875" s="297"/>
      <x:c r="K875" s="297"/>
      <x:c r="L875" s="296">
        <x:v>20240900</x:v>
      </x:c>
      <x:c r="M875" s="298">
        <x:v>1300000</x:v>
      </x:c>
      <x:c r="N875" s="237" t="s">
        <x:v>2034</x:v>
      </x:c>
      <x:c r="O875" s="296" t="s">
        <x:v>1223</x:v>
      </x:c>
      <x:c r="P875" s="296">
        <x:f>P876+1</x:f>
        <x:v>932</x:v>
      </x:c>
      <x:c r="Q875" s="207" t="s">
        <x:v>3297</x:v>
      </x:c>
      <x:c r="R875" s="207" t="s">
        <x:v>3320</x:v>
      </x:c>
      <x:c r="S875" s="207" t="s">
        <x:v>2069</x:v>
      </x:c>
      <x:c r="T875" s="207" t="s">
        <x:v>2055</x:v>
      </x:c>
      <x:c r="U875" s="294"/>
      <x:c r="V875" s="294"/>
      <x:c r="W875" s="23"/>
      <x:c r="X875" s="23"/>
      <x:c r="Y875" s="23"/>
      <x:c r="Z875" s="23"/>
    </x:row>
    <x:row r="876" spans="1:26" s="14" customFormat="1" ht="13.5" customHeight="1">
      <x:c r="A876" s="296" t="str">
        <x:f>O876</x:f>
        <x:v>유영복</x:v>
      </x:c>
      <x:c r="B876" s="237" t="str">
        <x:f>L876&amp;"-"&amp;TEXT(P876,"0000")</x:f>
        <x:v>202409-0931</x:v>
      </x:c>
      <x:c r="C876" s="237" t="s">
        <x:v>1564</x:v>
      </x:c>
      <x:c r="D876" s="237" t="s">
        <x:v>1581</x:v>
      </x:c>
      <x:c r="E876" s="237" t="s">
        <x:v>1251</x:v>
      </x:c>
      <x:c r="F876" s="296" t="s">
        <x:v>2277</x:v>
      </x:c>
      <x:c r="G876" s="237" t="s">
        <x:v>1289</x:v>
      </x:c>
      <x:c r="H876" s="296" t="str">
        <x:f>IFERROR(VLOOKUP(O876,'정보화기기 명부'!A$2:B$187,2,FALSE),"")</x:f>
        <x:v>3학년부</x:v>
      </x:c>
      <x:c r="I876" s="296" t="str">
        <x:f>IFERROR(VLOOKUP(O876,'교직원용 IP'!$C$2:$H$230,6,FALSE),"")</x:f>
        <x:v>10.51.90.82</x:v>
      </x:c>
      <x:c r="J876" s="297"/>
      <x:c r="K876" s="297"/>
      <x:c r="L876" s="296">
        <x:v>20240900</x:v>
      </x:c>
      <x:c r="M876" s="298">
        <x:v>1300000</x:v>
      </x:c>
      <x:c r="N876" s="237" t="s">
        <x:v>2034</x:v>
      </x:c>
      <x:c r="O876" s="296" t="s">
        <x:v>1225</x:v>
      </x:c>
      <x:c r="P876" s="296">
        <x:f>P877+1</x:f>
        <x:v>931</x:v>
      </x:c>
      <x:c r="Q876" s="207" t="s">
        <x:v>3297</x:v>
      </x:c>
      <x:c r="R876" s="207" t="s">
        <x:v>3320</x:v>
      </x:c>
      <x:c r="S876" s="207" t="s">
        <x:v>2069</x:v>
      </x:c>
      <x:c r="T876" s="207" t="s">
        <x:v>2055</x:v>
      </x:c>
      <x:c r="U876" s="294"/>
      <x:c r="V876" s="294"/>
      <x:c r="W876" s="23"/>
      <x:c r="X876" s="23"/>
      <x:c r="Y876" s="23"/>
      <x:c r="Z876" s="23"/>
    </x:row>
    <x:row r="877" spans="1:26" s="14" customFormat="1" ht="13.5" customHeight="1">
      <x:c r="A877" s="288" t="str">
        <x:f>O877</x:f>
        <x:v>이현실</x:v>
      </x:c>
      <x:c r="B877" s="237" t="str">
        <x:f>L877&amp;"-"&amp;TEXT(P877,"0000")</x:f>
        <x:v>202409-0930</x:v>
      </x:c>
      <x:c r="C877" s="237" t="s">
        <x:v>1564</x:v>
      </x:c>
      <x:c r="D877" s="237" t="s">
        <x:v>1581</x:v>
      </x:c>
      <x:c r="E877" s="237" t="s">
        <x:v>1251</x:v>
      </x:c>
      <x:c r="F877" s="296" t="s">
        <x:v>2277</x:v>
      </x:c>
      <x:c r="G877" s="237" t="s">
        <x:v>1289</x:v>
      </x:c>
      <x:c r="H877" s="296" t="str">
        <x:f>IFERROR(VLOOKUP(O877,'정보화기기 명부'!A$2:B$187,2,FALSE),"")</x:f>
        <x:v>교무기획부</x:v>
      </x:c>
      <x:c r="I877" s="296" t="str">
        <x:f>IFERROR(VLOOKUP(O877,'교직원용 IP'!$C$2:$H$230,6,FALSE),"")</x:f>
        <x:v>10.51.90.122</x:v>
      </x:c>
      <x:c r="J877" s="297"/>
      <x:c r="K877" s="297"/>
      <x:c r="L877" s="296">
        <x:v>20240900</x:v>
      </x:c>
      <x:c r="M877" s="298">
        <x:v>1300000</x:v>
      </x:c>
      <x:c r="N877" s="237" t="s">
        <x:v>2034</x:v>
      </x:c>
      <x:c r="O877" s="297" t="s">
        <x:v>1489</x:v>
      </x:c>
      <x:c r="P877" s="296">
        <x:f>P878+1</x:f>
        <x:v>930</x:v>
      </x:c>
      <x:c r="Q877" s="207" t="s">
        <x:v>3297</x:v>
      </x:c>
      <x:c r="R877" s="207" t="s">
        <x:v>3320</x:v>
      </x:c>
      <x:c r="S877" s="207" t="s">
        <x:v>2069</x:v>
      </x:c>
      <x:c r="T877" s="207" t="s">
        <x:v>2055</x:v>
      </x:c>
      <x:c r="U877" s="294"/>
      <x:c r="V877" s="294"/>
      <x:c r="W877" s="23"/>
      <x:c r="X877" s="23"/>
      <x:c r="Y877" s="23"/>
      <x:c r="Z877" s="23"/>
    </x:row>
    <x:row r="878" spans="1:26" s="14" customFormat="1" ht="13.5" customHeight="1">
      <x:c r="A878" s="207" t="str">
        <x:f>O878</x:f>
        <x:v>전부영</x:v>
      </x:c>
      <x:c r="B878" s="25" t="str">
        <x:f>L878&amp;"-"&amp;TEXT(P878,"0000")</x:f>
        <x:v>202402-0929</x:v>
      </x:c>
      <x:c r="C878" s="25" t="s">
        <x:v>1564</x:v>
      </x:c>
      <x:c r="D878" s="25" t="s">
        <x:v>1581</x:v>
      </x:c>
      <x:c r="E878" s="25" t="s">
        <x:v>1251</x:v>
      </x:c>
      <x:c r="F878" s="25" t="s">
        <x:v>2287</x:v>
      </x:c>
      <x:c r="G878" s="25" t="s">
        <x:v>1289</x:v>
      </x:c>
      <x:c r="H878" s="207" t="str">
        <x:f>IFERROR(VLOOKUP(O878,'정보화기기 명부'!A$2:B$187,2,FALSE),"")</x:f>
        <x:v>교무기획부</x:v>
      </x:c>
      <x:c r="I878" s="207" t="str">
        <x:f>IFERROR(VLOOKUP(O878,'교직원용 IP'!$C$2:$H$230,6,FALSE),"")</x:f>
        <x:v>10.51.90.108</x:v>
      </x:c>
      <x:c r="J878" s="294"/>
      <x:c r="K878" s="294"/>
      <x:c r="L878" s="207">
        <x:v>20240200</x:v>
      </x:c>
      <x:c r="M878" s="238">
        <x:v>1360000</x:v>
      </x:c>
      <x:c r="N878" s="25" t="s">
        <x:v>2034</x:v>
      </x:c>
      <x:c r="O878" s="246" t="s">
        <x:v>1203</x:v>
      </x:c>
      <x:c r="P878" s="207">
        <x:f>P880+1</x:f>
        <x:v>929</x:v>
      </x:c>
      <x:c r="Q878" s="207" t="s">
        <x:v>2286</x:v>
      </x:c>
      <x:c r="R878" s="207" t="s">
        <x:v>3351</x:v>
      </x:c>
      <x:c r="S878" s="207" t="s">
        <x:v>2069</x:v>
      </x:c>
      <x:c r="T878" s="207" t="s">
        <x:v>2055</x:v>
      </x:c>
      <x:c r="U878" s="294"/>
      <x:c r="V878" s="294"/>
      <x:c r="W878" s="23"/>
      <x:c r="X878" s="23"/>
      <x:c r="Y878" s="23"/>
      <x:c r="Z878" s="23"/>
    </x:row>
    <x:row r="879" spans="1:26" s="14" customFormat="1" ht="13.5" customHeight="1">
      <x:c r="A879" s="207" t="str">
        <x:f>O879</x:f>
        <x:v>전혜림</x:v>
      </x:c>
      <x:c r="B879" s="25" t="str">
        <x:f>L879&amp;"-"&amp;TEXT(P879,"0000")</x:f>
        <x:v>202402-0929</x:v>
      </x:c>
      <x:c r="C879" s="25" t="s">
        <x:v>1564</x:v>
      </x:c>
      <x:c r="D879" s="25" t="s">
        <x:v>1581</x:v>
      </x:c>
      <x:c r="E879" s="25" t="s">
        <x:v>1251</x:v>
      </x:c>
      <x:c r="F879" s="25" t="s">
        <x:v>2287</x:v>
      </x:c>
      <x:c r="G879" s="25" t="s">
        <x:v>1289</x:v>
      </x:c>
      <x:c r="H879" s="207" t="str">
        <x:f>IFERROR(VLOOKUP(O879,'정보화기기 명부'!A$2:B$187,2,FALSE),"")</x:f>
        <x:v>3학년부</x:v>
      </x:c>
      <x:c r="I879" s="207" t="str">
        <x:f>IFERROR(VLOOKUP(O879,'교직원용 IP'!$C$2:$H$230,6,FALSE),"")</x:f>
        <x:v>10.51.90.152</x:v>
      </x:c>
      <x:c r="J879" s="294"/>
      <x:c r="K879" s="294"/>
      <x:c r="L879" s="207">
        <x:v>20240200</x:v>
      </x:c>
      <x:c r="M879" s="238">
        <x:v>1360000</x:v>
      </x:c>
      <x:c r="N879" s="25" t="s">
        <x:v>2034</x:v>
      </x:c>
      <x:c r="O879" s="25" t="s">
        <x:v>1229</x:v>
      </x:c>
      <x:c r="P879" s="207">
        <x:f>P880+1</x:f>
        <x:v>929</x:v>
      </x:c>
      <x:c r="Q879" s="207" t="s">
        <x:v>2286</x:v>
      </x:c>
      <x:c r="R879" s="207" t="s">
        <x:v>3351</x:v>
      </x:c>
      <x:c r="S879" s="207" t="s">
        <x:v>2069</x:v>
      </x:c>
      <x:c r="T879" s="207" t="s">
        <x:v>2055</x:v>
      </x:c>
      <x:c r="U879" s="294"/>
      <x:c r="V879" s="294"/>
      <x:c r="W879" s="23"/>
      <x:c r="X879" s="23"/>
      <x:c r="Y879" s="23"/>
      <x:c r="Z879" s="23"/>
    </x:row>
    <x:row r="880" spans="1:26" s="14" customFormat="1" ht="13.5" customHeight="1">
      <x:c r="A880" s="207" t="str">
        <x:f>O880</x:f>
        <x:v>김세연</x:v>
      </x:c>
      <x:c r="B880" s="25" t="str">
        <x:f>L880&amp;"-"&amp;TEXT(P880,"0000")</x:f>
        <x:v>202402-0928</x:v>
      </x:c>
      <x:c r="C880" s="25" t="s">
        <x:v>1564</x:v>
      </x:c>
      <x:c r="D880" s="25" t="s">
        <x:v>1581</x:v>
      </x:c>
      <x:c r="E880" s="25" t="s">
        <x:v>1251</x:v>
      </x:c>
      <x:c r="F880" s="25" t="s">
        <x:v>2287</x:v>
      </x:c>
      <x:c r="G880" s="25" t="s">
        <x:v>1289</x:v>
      </x:c>
      <x:c r="H880" s="207" t="str">
        <x:f>IFERROR(VLOOKUP(O880,'정보화기기 명부'!A$2:B$187,2,FALSE),"")</x:f>
        <x:v>3학년부</x:v>
      </x:c>
      <x:c r="I880" s="207" t="str">
        <x:f>IFERROR(VLOOKUP(O880,'교직원용 IP'!$C$2:$H$230,6,FALSE),"")</x:f>
        <x:v>10.51.90.94</x:v>
      </x:c>
      <x:c r="J880" s="294"/>
      <x:c r="K880" s="294"/>
      <x:c r="L880" s="207">
        <x:v>20240200</x:v>
      </x:c>
      <x:c r="M880" s="238">
        <x:v>1360000</x:v>
      </x:c>
      <x:c r="N880" s="25" t="s">
        <x:v>2034</x:v>
      </x:c>
      <x:c r="O880" s="246" t="s">
        <x:v>1262</x:v>
      </x:c>
      <x:c r="P880" s="207">
        <x:f>P881+1</x:f>
        <x:v>928</x:v>
      </x:c>
      <x:c r="Q880" s="207" t="s">
        <x:v>2286</x:v>
      </x:c>
      <x:c r="R880" s="207" t="s">
        <x:v>3351</x:v>
      </x:c>
      <x:c r="S880" s="207" t="s">
        <x:v>2069</x:v>
      </x:c>
      <x:c r="T880" s="207" t="s">
        <x:v>2055</x:v>
      </x:c>
      <x:c r="U880" s="294"/>
      <x:c r="V880" s="294"/>
      <x:c r="W880" s="23"/>
      <x:c r="X880" s="23"/>
      <x:c r="Y880" s="23"/>
      <x:c r="Z880" s="23"/>
    </x:row>
    <x:row r="881" spans="1:26" s="14" customFormat="1" ht="13.5" customHeight="1">
      <x:c r="A881" s="207" t="str">
        <x:f>O881</x:f>
        <x:v>정형은</x:v>
      </x:c>
      <x:c r="B881" s="25" t="str">
        <x:f>L881&amp;"-"&amp;TEXT(P881,"0000")</x:f>
        <x:v>202402-0927</x:v>
      </x:c>
      <x:c r="C881" s="25" t="s">
        <x:v>1564</x:v>
      </x:c>
      <x:c r="D881" s="25" t="s">
        <x:v>1581</x:v>
      </x:c>
      <x:c r="E881" s="25" t="s">
        <x:v>1251</x:v>
      </x:c>
      <x:c r="F881" s="25" t="s">
        <x:v>2287</x:v>
      </x:c>
      <x:c r="G881" s="25" t="s">
        <x:v>1289</x:v>
      </x:c>
      <x:c r="H881" s="207" t="str">
        <x:f>IFERROR(VLOOKUP(O881,'정보화기기 명부'!A$2:B$187,2,FALSE),"")</x:f>
        <x:v>3학년부</x:v>
      </x:c>
      <x:c r="I881" s="207" t="str">
        <x:f>IFERROR(VLOOKUP(O881,'교직원용 IP'!$C$2:$H$230,6,FALSE),"")</x:f>
        <x:v>10.51.90.114</x:v>
      </x:c>
      <x:c r="J881" s="294"/>
      <x:c r="K881" s="294"/>
      <x:c r="L881" s="207">
        <x:v>20240200</x:v>
      </x:c>
      <x:c r="M881" s="238">
        <x:v>1360000</x:v>
      </x:c>
      <x:c r="N881" s="25" t="s">
        <x:v>2034</x:v>
      </x:c>
      <x:c r="O881" s="25" t="s">
        <x:v>1213</x:v>
      </x:c>
      <x:c r="P881" s="207">
        <x:f>P882+1</x:f>
        <x:v>927</x:v>
      </x:c>
      <x:c r="Q881" s="207" t="s">
        <x:v>2286</x:v>
      </x:c>
      <x:c r="R881" s="207" t="s">
        <x:v>3351</x:v>
      </x:c>
      <x:c r="S881" s="207" t="s">
        <x:v>2069</x:v>
      </x:c>
      <x:c r="T881" s="207" t="s">
        <x:v>2055</x:v>
      </x:c>
      <x:c r="U881" s="294"/>
      <x:c r="V881" s="294"/>
      <x:c r="W881" s="23"/>
      <x:c r="X881" s="23"/>
      <x:c r="Y881" s="23"/>
      <x:c r="Z881" s="23"/>
    </x:row>
    <x:row r="882" spans="1:26" s="14" customFormat="1" ht="13.5" customHeight="1">
      <x:c r="A882" s="207" t="str">
        <x:f>O882</x:f>
        <x:v>박연희</x:v>
      </x:c>
      <x:c r="B882" s="25" t="str">
        <x:f>L882&amp;"-"&amp;TEXT(P882,"0000")</x:f>
        <x:v>202402-0926</x:v>
      </x:c>
      <x:c r="C882" s="25" t="s">
        <x:v>1564</x:v>
      </x:c>
      <x:c r="D882" s="25" t="s">
        <x:v>1581</x:v>
      </x:c>
      <x:c r="E882" s="25" t="s">
        <x:v>1251</x:v>
      </x:c>
      <x:c r="F882" s="25" t="s">
        <x:v>2287</x:v>
      </x:c>
      <x:c r="G882" s="25" t="s">
        <x:v>1289</x:v>
      </x:c>
      <x:c r="H882" s="207" t="str">
        <x:f>IFERROR(VLOOKUP(O882,'정보화기기 명부'!A$2:B$187,2,FALSE),"")</x:f>
        <x:v>3학년부</x:v>
      </x:c>
      <x:c r="I882" s="207" t="str">
        <x:f>IFERROR(VLOOKUP(O882,'교직원용 IP'!$C$2:$H$230,6,FALSE),"")</x:f>
        <x:v>10.51.90.119</x:v>
      </x:c>
      <x:c r="J882" s="294"/>
      <x:c r="K882" s="294"/>
      <x:c r="L882" s="207">
        <x:v>20240200</x:v>
      </x:c>
      <x:c r="M882" s="238">
        <x:v>1360000</x:v>
      </x:c>
      <x:c r="N882" s="25" t="s">
        <x:v>2034</x:v>
      </x:c>
      <x:c r="O882" s="25" t="s">
        <x:v>1515</x:v>
      </x:c>
      <x:c r="P882" s="207">
        <x:f>P883+1</x:f>
        <x:v>926</x:v>
      </x:c>
      <x:c r="Q882" s="207" t="s">
        <x:v>2286</x:v>
      </x:c>
      <x:c r="R882" s="207" t="s">
        <x:v>3351</x:v>
      </x:c>
      <x:c r="S882" s="207" t="s">
        <x:v>2069</x:v>
      </x:c>
      <x:c r="T882" s="207" t="s">
        <x:v>2055</x:v>
      </x:c>
      <x:c r="U882" s="294"/>
      <x:c r="V882" s="294"/>
      <x:c r="W882" s="23"/>
      <x:c r="X882" s="23"/>
      <x:c r="Y882" s="23"/>
      <x:c r="Z882" s="23"/>
    </x:row>
    <x:row r="883" spans="1:26" s="14" customFormat="1" ht="13.5" customHeight="1">
      <x:c r="A883" s="207" t="str">
        <x:f>O883</x:f>
        <x:v>김채은</x:v>
      </x:c>
      <x:c r="B883" s="25" t="str">
        <x:f>L883&amp;"-"&amp;TEXT(P883,"0000")</x:f>
        <x:v>202402-0925</x:v>
      </x:c>
      <x:c r="C883" s="25" t="s">
        <x:v>1564</x:v>
      </x:c>
      <x:c r="D883" s="25" t="s">
        <x:v>1581</x:v>
      </x:c>
      <x:c r="E883" s="25" t="s">
        <x:v>1251</x:v>
      </x:c>
      <x:c r="F883" s="25" t="s">
        <x:v>2287</x:v>
      </x:c>
      <x:c r="G883" s="25" t="s">
        <x:v>1289</x:v>
      </x:c>
      <x:c r="H883" s="207" t="str">
        <x:f>IFERROR(VLOOKUP(O883,'정보화기기 명부'!A$2:B$187,2,FALSE),"")</x:f>
        <x:v>2학년부</x:v>
      </x:c>
      <x:c r="I883" s="207" t="str">
        <x:f>IFERROR(VLOOKUP(O883,'교직원용 IP'!$C$2:$H$230,6,FALSE),"")</x:f>
        <x:v>10.51.90.163</x:v>
      </x:c>
      <x:c r="J883" s="294"/>
      <x:c r="K883" s="294"/>
      <x:c r="L883" s="207">
        <x:v>20240200</x:v>
      </x:c>
      <x:c r="M883" s="238">
        <x:v>1360000</x:v>
      </x:c>
      <x:c r="N883" s="25" t="s">
        <x:v>2034</x:v>
      </x:c>
      <x:c r="O883" s="25" t="s">
        <x:v>1240</x:v>
      </x:c>
      <x:c r="P883" s="207">
        <x:f>P884+1</x:f>
        <x:v>925</x:v>
      </x:c>
      <x:c r="Q883" s="207" t="s">
        <x:v>2286</x:v>
      </x:c>
      <x:c r="R883" s="207" t="s">
        <x:v>3351</x:v>
      </x:c>
      <x:c r="S883" s="207" t="s">
        <x:v>2069</x:v>
      </x:c>
      <x:c r="T883" s="207" t="s">
        <x:v>2055</x:v>
      </x:c>
      <x:c r="U883" s="294"/>
      <x:c r="V883" s="294"/>
      <x:c r="W883" s="23"/>
      <x:c r="X883" s="23"/>
      <x:c r="Y883" s="23"/>
      <x:c r="Z883" s="23"/>
    </x:row>
    <x:row r="884" spans="1:26" s="14" customFormat="1" ht="13.5" customHeight="1">
      <x:c r="A884" s="207" t="str">
        <x:f>O884</x:f>
        <x:v>한혜숙</x:v>
      </x:c>
      <x:c r="B884" s="25" t="str">
        <x:f>L884&amp;"-"&amp;TEXT(P884,"0000")</x:f>
        <x:v>202402-0924</x:v>
      </x:c>
      <x:c r="C884" s="25" t="s">
        <x:v>1564</x:v>
      </x:c>
      <x:c r="D884" s="25" t="s">
        <x:v>1581</x:v>
      </x:c>
      <x:c r="E884" s="25" t="s">
        <x:v>1251</x:v>
      </x:c>
      <x:c r="F884" s="25" t="s">
        <x:v>2287</x:v>
      </x:c>
      <x:c r="G884" s="25" t="s">
        <x:v>1289</x:v>
      </x:c>
      <x:c r="H884" s="207" t="str">
        <x:f>IFERROR(VLOOKUP(O884,'정보화기기 명부'!A$2:B$187,2,FALSE),"")</x:f>
        <x:v>2학년부</x:v>
      </x:c>
      <x:c r="I884" s="207" t="str">
        <x:f>IFERROR(VLOOKUP(O884,'교직원용 IP'!$C$2:$H$230,6,FALSE),"")</x:f>
        <x:v>10.51.90.96</x:v>
      </x:c>
      <x:c r="J884" s="294"/>
      <x:c r="K884" s="294"/>
      <x:c r="L884" s="207">
        <x:v>20240200</x:v>
      </x:c>
      <x:c r="M884" s="238">
        <x:v>1360000</x:v>
      </x:c>
      <x:c r="N884" s="25" t="s">
        <x:v>2034</x:v>
      </x:c>
      <x:c r="O884" s="25" t="s">
        <x:v>1238</x:v>
      </x:c>
      <x:c r="P884" s="207">
        <x:f>P885+1</x:f>
        <x:v>924</x:v>
      </x:c>
      <x:c r="Q884" s="207" t="s">
        <x:v>2286</x:v>
      </x:c>
      <x:c r="R884" s="207" t="s">
        <x:v>3351</x:v>
      </x:c>
      <x:c r="S884" s="207" t="s">
        <x:v>2069</x:v>
      </x:c>
      <x:c r="T884" s="207" t="s">
        <x:v>2055</x:v>
      </x:c>
      <x:c r="U884" s="294"/>
      <x:c r="V884" s="294"/>
      <x:c r="W884" s="23"/>
      <x:c r="X884" s="23"/>
      <x:c r="Y884" s="23"/>
      <x:c r="Z884" s="23"/>
    </x:row>
    <x:row r="885" spans="1:26" s="14" customFormat="1" ht="13.5" customHeight="1">
      <x:c r="A885" s="207" t="str">
        <x:f>O885</x:f>
        <x:v>김정아</x:v>
      </x:c>
      <x:c r="B885" s="25" t="str">
        <x:f>L885&amp;"-"&amp;TEXT(P885,"0000")</x:f>
        <x:v>202402-0923</x:v>
      </x:c>
      <x:c r="C885" s="25" t="s">
        <x:v>1564</x:v>
      </x:c>
      <x:c r="D885" s="25" t="s">
        <x:v>1581</x:v>
      </x:c>
      <x:c r="E885" s="25" t="s">
        <x:v>1251</x:v>
      </x:c>
      <x:c r="F885" s="25" t="s">
        <x:v>2287</x:v>
      </x:c>
      <x:c r="G885" s="25" t="s">
        <x:v>1289</x:v>
      </x:c>
      <x:c r="H885" s="207" t="str">
        <x:f>IFERROR(VLOOKUP(O885,'정보화기기 명부'!A$2:B$187,2,FALSE),"")</x:f>
        <x:v>체육보건부</x:v>
      </x:c>
      <x:c r="I885" s="207" t="str">
        <x:f>IFERROR(VLOOKUP(O885,'교직원용 IP'!$C$2:$H$230,6,FALSE),"")</x:f>
        <x:v>10.51.90.105</x:v>
      </x:c>
      <x:c r="J885" s="294"/>
      <x:c r="K885" s="294"/>
      <x:c r="L885" s="207">
        <x:v>20240200</x:v>
      </x:c>
      <x:c r="M885" s="238">
        <x:v>1360000</x:v>
      </x:c>
      <x:c r="N885" s="25" t="s">
        <x:v>2034</x:v>
      </x:c>
      <x:c r="O885" s="246" t="s">
        <x:v>1496</x:v>
      </x:c>
      <x:c r="P885" s="207">
        <x:f>P886+1</x:f>
        <x:v>923</x:v>
      </x:c>
      <x:c r="Q885" s="207" t="s">
        <x:v>2286</x:v>
      </x:c>
      <x:c r="R885" s="207" t="s">
        <x:v>3351</x:v>
      </x:c>
      <x:c r="S885" s="207" t="s">
        <x:v>2069</x:v>
      </x:c>
      <x:c r="T885" s="207" t="s">
        <x:v>2055</x:v>
      </x:c>
      <x:c r="U885" s="294"/>
      <x:c r="V885" s="294"/>
      <x:c r="W885" s="23"/>
      <x:c r="X885" s="23"/>
      <x:c r="Y885" s="23"/>
      <x:c r="Z885" s="23"/>
    </x:row>
    <x:row r="886" spans="1:26" s="14" customFormat="1" ht="13.5" customHeight="1">
      <x:c r="A886" s="207" t="str">
        <x:f>O886</x:f>
        <x:v>유미라</x:v>
      </x:c>
      <x:c r="B886" s="25" t="str">
        <x:f>L886&amp;"-"&amp;TEXT(P886,"0000")</x:f>
        <x:v>202402-0922</x:v>
      </x:c>
      <x:c r="C886" s="25" t="s">
        <x:v>1564</x:v>
      </x:c>
      <x:c r="D886" s="25" t="s">
        <x:v>1581</x:v>
      </x:c>
      <x:c r="E886" s="25" t="s">
        <x:v>1251</x:v>
      </x:c>
      <x:c r="F886" s="25" t="s">
        <x:v>2287</x:v>
      </x:c>
      <x:c r="G886" s="25" t="s">
        <x:v>1289</x:v>
      </x:c>
      <x:c r="H886" s="207" t="str">
        <x:f>IFERROR(VLOOKUP(O886,'정보화기기 명부'!A$2:B$187,2,FALSE),"")</x:f>
        <x:v>진로진학상담부</x:v>
      </x:c>
      <x:c r="I886" s="207" t="str">
        <x:f>IFERROR(VLOOKUP(O886,'교직원용 IP'!$C$2:$H$230,6,FALSE),"")</x:f>
        <x:v>10.51.90.92</x:v>
      </x:c>
      <x:c r="J886" s="294"/>
      <x:c r="K886" s="294"/>
      <x:c r="L886" s="207">
        <x:v>20240200</x:v>
      </x:c>
      <x:c r="M886" s="238">
        <x:v>1360000</x:v>
      </x:c>
      <x:c r="N886" s="25" t="s">
        <x:v>2034</x:v>
      </x:c>
      <x:c r="O886" s="25" t="s">
        <x:v>1201</x:v>
      </x:c>
      <x:c r="P886" s="207">
        <x:f>P887+1</x:f>
        <x:v>922</x:v>
      </x:c>
      <x:c r="Q886" s="207" t="s">
        <x:v>2286</x:v>
      </x:c>
      <x:c r="R886" s="207" t="s">
        <x:v>3351</x:v>
      </x:c>
      <x:c r="S886" s="207" t="s">
        <x:v>2069</x:v>
      </x:c>
      <x:c r="T886" s="207" t="s">
        <x:v>2055</x:v>
      </x:c>
      <x:c r="U886" s="294"/>
      <x:c r="V886" s="294"/>
      <x:c r="W886" s="23"/>
      <x:c r="X886" s="23"/>
      <x:c r="Y886" s="23"/>
      <x:c r="Z886" s="23"/>
    </x:row>
    <x:row r="887" spans="1:26" s="14" customFormat="1" ht="13.5" customHeight="1">
      <x:c r="A887" s="207" t="str">
        <x:f>O887</x:f>
        <x:v>강민정</x:v>
      </x:c>
      <x:c r="B887" s="25" t="str">
        <x:f>L887&amp;"-"&amp;TEXT(P887,"0000")</x:f>
        <x:v>202402-0921</x:v>
      </x:c>
      <x:c r="C887" s="25" t="s">
        <x:v>1564</x:v>
      </x:c>
      <x:c r="D887" s="25" t="s">
        <x:v>1581</x:v>
      </x:c>
      <x:c r="E887" s="25" t="s">
        <x:v>1251</x:v>
      </x:c>
      <x:c r="F887" s="25" t="s">
        <x:v>2287</x:v>
      </x:c>
      <x:c r="G887" s="25" t="s">
        <x:v>1289</x:v>
      </x:c>
      <x:c r="H887" s="207" t="str">
        <x:f>IFERROR(VLOOKUP(O887,'정보화기기 명부'!A$2:B$187,2,FALSE),"")</x:f>
        <x:v>2학년부</x:v>
      </x:c>
      <x:c r="I887" s="207" t="str">
        <x:f>IFERROR(VLOOKUP(O887,'교직원용 IP'!$C$2:$H$230,6,FALSE),"")</x:f>
        <x:v>10.51.90.103</x:v>
      </x:c>
      <x:c r="J887" s="294"/>
      <x:c r="K887" s="294"/>
      <x:c r="L887" s="207">
        <x:v>20240200</x:v>
      </x:c>
      <x:c r="M887" s="238">
        <x:v>1360000</x:v>
      </x:c>
      <x:c r="N887" s="25" t="s">
        <x:v>2034</x:v>
      </x:c>
      <x:c r="O887" s="25" t="s">
        <x:v>1612</x:v>
      </x:c>
      <x:c r="P887" s="207">
        <x:f>P888+1</x:f>
        <x:v>921</x:v>
      </x:c>
      <x:c r="Q887" s="207" t="s">
        <x:v>2286</x:v>
      </x:c>
      <x:c r="R887" s="207" t="s">
        <x:v>3351</x:v>
      </x:c>
      <x:c r="S887" s="207" t="s">
        <x:v>2069</x:v>
      </x:c>
      <x:c r="T887" s="207" t="s">
        <x:v>2055</x:v>
      </x:c>
      <x:c r="U887" s="294"/>
      <x:c r="V887" s="294"/>
      <x:c r="W887" s="23"/>
      <x:c r="X887" s="23"/>
      <x:c r="Y887" s="23"/>
      <x:c r="Z887" s="23"/>
    </x:row>
    <x:row r="888" spans="1:26" s="14" customFormat="1" ht="13.5" customHeight="1">
      <x:c r="A888" s="207" t="str">
        <x:f>O888</x:f>
        <x:v>김주영</x:v>
      </x:c>
      <x:c r="B888" s="25" t="str">
        <x:f>L888&amp;"-"&amp;TEXT(P888,"0000")</x:f>
        <x:v>202402-0920</x:v>
      </x:c>
      <x:c r="C888" s="25" t="s">
        <x:v>1564</x:v>
      </x:c>
      <x:c r="D888" s="25" t="s">
        <x:v>1581</x:v>
      </x:c>
      <x:c r="E888" s="25" t="s">
        <x:v>1251</x:v>
      </x:c>
      <x:c r="F888" s="25" t="s">
        <x:v>2287</x:v>
      </x:c>
      <x:c r="G888" s="25" t="s">
        <x:v>1289</x:v>
      </x:c>
      <x:c r="H888" s="207" t="str">
        <x:f>IFERROR(VLOOKUP(O888,'정보화기기 명부'!A$2:B$187,2,FALSE),"")</x:f>
        <x:v>3학년부</x:v>
      </x:c>
      <x:c r="I888" s="207" t="str">
        <x:f>IFERROR(VLOOKUP(O888,'교직원용 IP'!$C$2:$H$230,6,FALSE),"")</x:f>
        <x:v>10.51.90.143</x:v>
      </x:c>
      <x:c r="J888" s="294"/>
      <x:c r="K888" s="294"/>
      <x:c r="L888" s="207">
        <x:v>20240200</x:v>
      </x:c>
      <x:c r="M888" s="238">
        <x:v>1360000</x:v>
      </x:c>
      <x:c r="N888" s="25" t="s">
        <x:v>2034</x:v>
      </x:c>
      <x:c r="O888" s="207" t="s">
        <x:v>1270</x:v>
      </x:c>
      <x:c r="P888" s="207">
        <x:f>P889+1</x:f>
        <x:v>920</x:v>
      </x:c>
      <x:c r="Q888" s="207" t="s">
        <x:v>2286</x:v>
      </x:c>
      <x:c r="R888" s="207" t="s">
        <x:v>3351</x:v>
      </x:c>
      <x:c r="S888" s="207" t="s">
        <x:v>2069</x:v>
      </x:c>
      <x:c r="T888" s="207" t="s">
        <x:v>2055</x:v>
      </x:c>
      <x:c r="U888" s="294"/>
      <x:c r="V888" s="294"/>
      <x:c r="W888" s="23"/>
      <x:c r="X888" s="23"/>
      <x:c r="Y888" s="23"/>
      <x:c r="Z888" s="23"/>
    </x:row>
    <x:row r="889" spans="1:26" s="14" customFormat="1" ht="13.5" customHeight="1">
      <x:c r="A889" s="207" t="str">
        <x:f>O889</x:f>
        <x:v>황은선</x:v>
      </x:c>
      <x:c r="B889" s="25" t="str">
        <x:f>L889&amp;"-"&amp;TEXT(P889,"0000")</x:f>
        <x:v>202402-0919</x:v>
      </x:c>
      <x:c r="C889" s="25" t="s">
        <x:v>1564</x:v>
      </x:c>
      <x:c r="D889" s="25" t="s">
        <x:v>1581</x:v>
      </x:c>
      <x:c r="E889" s="25" t="s">
        <x:v>1251</x:v>
      </x:c>
      <x:c r="F889" s="25" t="s">
        <x:v>2287</x:v>
      </x:c>
      <x:c r="G889" s="25" t="s">
        <x:v>1289</x:v>
      </x:c>
      <x:c r="H889" s="207" t="str">
        <x:f>IFERROR(VLOOKUP(O889,'정보화기기 명부'!A$2:B$187,2,FALSE),"")</x:f>
        <x:v>1학년부</x:v>
      </x:c>
      <x:c r="I889" s="207" t="str">
        <x:f>IFERROR(VLOOKUP(O889,'교직원용 IP'!$C$2:$H$230,6,FALSE),"")</x:f>
        <x:v>10.51.90.120</x:v>
      </x:c>
      <x:c r="J889" s="294"/>
      <x:c r="K889" s="294"/>
      <x:c r="L889" s="207">
        <x:v>20240200</x:v>
      </x:c>
      <x:c r="M889" s="238">
        <x:v>1360000</x:v>
      </x:c>
      <x:c r="N889" s="25" t="s">
        <x:v>2034</x:v>
      </x:c>
      <x:c r="O889" s="207" t="s">
        <x:v>1230</x:v>
      </x:c>
      <x:c r="P889" s="207">
        <x:f>P890+1</x:f>
        <x:v>919</x:v>
      </x:c>
      <x:c r="Q889" s="207" t="s">
        <x:v>2286</x:v>
      </x:c>
      <x:c r="R889" s="207" t="s">
        <x:v>3351</x:v>
      </x:c>
      <x:c r="S889" s="207" t="s">
        <x:v>2069</x:v>
      </x:c>
      <x:c r="T889" s="207" t="s">
        <x:v>2055</x:v>
      </x:c>
      <x:c r="U889" s="294"/>
      <x:c r="V889" s="294"/>
      <x:c r="W889" s="23"/>
      <x:c r="X889" s="23"/>
      <x:c r="Y889" s="23"/>
      <x:c r="Z889" s="23"/>
    </x:row>
    <x:row r="890" spans="1:26" s="14" customFormat="1" ht="13.5" customHeight="1">
      <x:c r="A890" s="207" t="str">
        <x:f>O890</x:f>
        <x:v>원영주</x:v>
      </x:c>
      <x:c r="B890" s="25" t="str">
        <x:f>L890&amp;"-"&amp;TEXT(P890,"0000")</x:f>
        <x:v>202402-0918</x:v>
      </x:c>
      <x:c r="C890" s="25" t="s">
        <x:v>1564</x:v>
      </x:c>
      <x:c r="D890" s="25" t="s">
        <x:v>1581</x:v>
      </x:c>
      <x:c r="E890" s="25" t="s">
        <x:v>1251</x:v>
      </x:c>
      <x:c r="F890" s="25" t="s">
        <x:v>2287</x:v>
      </x:c>
      <x:c r="G890" s="25" t="s">
        <x:v>1289</x:v>
      </x:c>
      <x:c r="H890" s="207" t="str">
        <x:f>IFERROR(VLOOKUP(O890,'정보화기기 명부'!A$2:B$187,2,FALSE),"")</x:f>
        <x:v>1학년부</x:v>
      </x:c>
      <x:c r="I890" s="207" t="str">
        <x:f>IFERROR(VLOOKUP(O890,'교직원용 IP'!$C$2:$H$230,6,FALSE),"")</x:f>
        <x:v>10.51.90.140</x:v>
      </x:c>
      <x:c r="J890" s="294"/>
      <x:c r="K890" s="294"/>
      <x:c r="L890" s="207">
        <x:v>20240200</x:v>
      </x:c>
      <x:c r="M890" s="238">
        <x:v>1360000</x:v>
      </x:c>
      <x:c r="N890" s="25" t="s">
        <x:v>2034</x:v>
      </x:c>
      <x:c r="O890" s="294" t="s">
        <x:v>1208</x:v>
      </x:c>
      <x:c r="P890" s="207">
        <x:f>P891+1</x:f>
        <x:v>918</x:v>
      </x:c>
      <x:c r="Q890" s="207" t="s">
        <x:v>2286</x:v>
      </x:c>
      <x:c r="R890" s="207" t="s">
        <x:v>3351</x:v>
      </x:c>
      <x:c r="S890" s="207" t="s">
        <x:v>2069</x:v>
      </x:c>
      <x:c r="T890" s="207" t="s">
        <x:v>2055</x:v>
      </x:c>
      <x:c r="U890" s="294"/>
      <x:c r="V890" s="294"/>
      <x:c r="W890" s="23"/>
      <x:c r="X890" s="23"/>
      <x:c r="Y890" s="23"/>
      <x:c r="Z890" s="23"/>
    </x:row>
    <x:row r="891" spans="1:26" s="14" customFormat="1" ht="13.5" customHeight="1">
      <x:c r="A891" s="207" t="str">
        <x:f>O891</x:f>
        <x:v>최용순</x:v>
      </x:c>
      <x:c r="B891" s="25" t="str">
        <x:f>L891&amp;"-"&amp;TEXT(P891,"0000")</x:f>
        <x:v>202402-0917</x:v>
      </x:c>
      <x:c r="C891" s="25" t="s">
        <x:v>1564</x:v>
      </x:c>
      <x:c r="D891" s="25" t="s">
        <x:v>1581</x:v>
      </x:c>
      <x:c r="E891" s="25" t="s">
        <x:v>1251</x:v>
      </x:c>
      <x:c r="F891" s="25" t="s">
        <x:v>2287</x:v>
      </x:c>
      <x:c r="G891" s="25" t="s">
        <x:v>1289</x:v>
      </x:c>
      <x:c r="H891" s="207" t="str">
        <x:f>IFERROR(VLOOKUP(O891,'정보화기기 명부'!A$2:B$187,2,FALSE),"")</x:f>
        <x:v>교무기획부</x:v>
      </x:c>
      <x:c r="I891" s="207" t="str">
        <x:f>IFERROR(VLOOKUP(O891,'교직원용 IP'!$C$2:$H$230,6,FALSE),"")</x:f>
        <x:v>10.51.90.89</x:v>
      </x:c>
      <x:c r="J891" s="294"/>
      <x:c r="K891" s="294"/>
      <x:c r="L891" s="207">
        <x:v>20240200</x:v>
      </x:c>
      <x:c r="M891" s="238">
        <x:v>1360000</x:v>
      </x:c>
      <x:c r="N891" s="25" t="s">
        <x:v>2034</x:v>
      </x:c>
      <x:c r="O891" s="207" t="s">
        <x:v>1234</x:v>
      </x:c>
      <x:c r="P891" s="207">
        <x:f>P892+1</x:f>
        <x:v>917</x:v>
      </x:c>
      <x:c r="Q891" s="207" t="s">
        <x:v>2286</x:v>
      </x:c>
      <x:c r="R891" s="207" t="s">
        <x:v>3351</x:v>
      </x:c>
      <x:c r="S891" s="207" t="s">
        <x:v>2069</x:v>
      </x:c>
      <x:c r="T891" s="207" t="s">
        <x:v>2055</x:v>
      </x:c>
      <x:c r="U891" s="294"/>
      <x:c r="V891" s="294"/>
      <x:c r="W891" s="23"/>
      <x:c r="X891" s="23"/>
      <x:c r="Y891" s="23"/>
      <x:c r="Z891" s="23"/>
    </x:row>
    <x:row r="892" spans="1:26" s="14" customFormat="1" ht="13.5" customHeight="1">
      <x:c r="A892" s="25" t="str">
        <x:f>O892</x:f>
        <x:v>정진희</x:v>
      </x:c>
      <x:c r="B892" s="25" t="str">
        <x:f>L892&amp;"-"&amp;TEXT(P892,"0000")</x:f>
        <x:v>202212-0916</x:v>
      </x:c>
      <x:c r="C892" s="25" t="s">
        <x:v>1564</x:v>
      </x:c>
      <x:c r="D892" s="25" t="s">
        <x:v>1581</x:v>
      </x:c>
      <x:c r="E892" s="25" t="s">
        <x:v>1251</x:v>
      </x:c>
      <x:c r="F892" s="295" t="s">
        <x:v>2170</x:v>
      </x:c>
      <x:c r="G892" s="25" t="s">
        <x:v>1542</x:v>
      </x:c>
      <x:c r="H892" s="25" t="str">
        <x:f>IFERROR(VLOOKUP(O892,'정보화기기 명부'!A$2:B$187,2,FALSE),"")</x:f>
        <x:v>교육과정부</x:v>
      </x:c>
      <x:c r="I892" s="207" t="str">
        <x:f>IFERROR(VLOOKUP(A892,'교직원용 IP'!$C$2:$H$230,6,FALSE),"")</x:f>
        <x:v>10.51.90.109</x:v>
      </x:c>
      <x:c r="J892" s="25"/>
      <x:c r="K892" s="116"/>
      <x:c r="L892" s="25">
        <x:v>20221200</x:v>
      </x:c>
      <x:c r="M892" s="123"/>
      <x:c r="N892" s="25" t="s">
        <x:v>2034</x:v>
      </x:c>
      <x:c r="O892" s="25" t="s">
        <x:v>1239</x:v>
      </x:c>
      <x:c r="P892" s="25">
        <x:v>916</x:v>
      </x:c>
      <x:c r="Q892" s="25" t="s">
        <x:v>706</x:v>
      </x:c>
      <x:c r="R892" s="25"/>
      <x:c r="S892" s="25"/>
      <x:c r="T892" s="25"/>
      <x:c r="U892" s="25"/>
      <x:c r="V892" s="25"/>
      <x:c r="W892" s="91"/>
      <x:c r="X892" s="91"/>
      <x:c r="Y892" s="91"/>
      <x:c r="Z892" s="91"/>
    </x:row>
    <x:row r="893" spans="1:26" s="14" customFormat="1" ht="13.5" customHeight="1">
      <x:c r="A893" s="25" t="str">
        <x:f>O893</x:f>
        <x:v>박수진</x:v>
      </x:c>
      <x:c r="B893" s="25" t="str">
        <x:f>L893&amp;"-"&amp;TEXT(P893,"0000")</x:f>
        <x:v>202212-0917</x:v>
      </x:c>
      <x:c r="C893" s="25" t="s">
        <x:v>1564</x:v>
      </x:c>
      <x:c r="D893" s="25" t="s">
        <x:v>1581</x:v>
      </x:c>
      <x:c r="E893" s="25" t="s">
        <x:v>1251</x:v>
      </x:c>
      <x:c r="F893" s="295" t="s">
        <x:v>2122</x:v>
      </x:c>
      <x:c r="G893" s="25" t="s">
        <x:v>1289</x:v>
      </x:c>
      <x:c r="H893" s="25" t="str">
        <x:f>IFERROR(VLOOKUP(O893,'정보화기기 명부'!A$2:B$187,2,FALSE),"")</x:f>
        <x:v>2학년부</x:v>
      </x:c>
      <x:c r="I893" s="207" t="str">
        <x:f>IFERROR(VLOOKUP(A893,'교직원용 IP'!$C$2:$H$230,6,FALSE),"")</x:f>
        <x:v>10.51.90.165</x:v>
      </x:c>
      <x:c r="J893" s="25"/>
      <x:c r="K893" s="116"/>
      <x:c r="L893" s="25">
        <x:v>20221200</x:v>
      </x:c>
      <x:c r="M893" s="123"/>
      <x:c r="N893" s="25" t="s">
        <x:v>2034</x:v>
      </x:c>
      <x:c r="O893" s="25" t="s">
        <x:v>1528</x:v>
      </x:c>
      <x:c r="P893" s="25">
        <x:v>917</x:v>
      </x:c>
      <x:c r="Q893" s="25" t="s">
        <x:v>706</x:v>
      </x:c>
      <x:c r="R893" s="25"/>
      <x:c r="S893" s="25"/>
      <x:c r="T893" s="25"/>
      <x:c r="U893" s="25"/>
      <x:c r="V893" s="25"/>
      <x:c r="W893" s="91"/>
      <x:c r="X893" s="91"/>
      <x:c r="Y893" s="91"/>
      <x:c r="Z893" s="91"/>
    </x:row>
    <x:row r="894" spans="1:26" s="14" customFormat="1" ht="13.5" customHeight="1">
      <x:c r="A894" s="25" t="str">
        <x:f>O894</x:f>
        <x:v>박혜리</x:v>
      </x:c>
      <x:c r="B894" s="25" t="str">
        <x:f>L894&amp;"-"&amp;TEXT(P894,"0000")</x:f>
        <x:v>202212-0918</x:v>
      </x:c>
      <x:c r="C894" s="25" t="s">
        <x:v>1564</x:v>
      </x:c>
      <x:c r="D894" s="25" t="s">
        <x:v>1581</x:v>
      </x:c>
      <x:c r="E894" s="25" t="s">
        <x:v>1251</x:v>
      </x:c>
      <x:c r="F894" s="295" t="s">
        <x:v>2122</x:v>
      </x:c>
      <x:c r="G894" s="25" t="s">
        <x:v>1289</x:v>
      </x:c>
      <x:c r="H894" s="25" t="str">
        <x:f>IFERROR(VLOOKUP(O894,'정보화기기 명부'!A$2:B$187,2,FALSE),"")</x:f>
        <x:v>특수교육부</x:v>
      </x:c>
      <x:c r="I894" s="207" t="str">
        <x:f>IFERROR(VLOOKUP(A894,'교직원용 IP'!$C$2:$H$230,6,FALSE),"")</x:f>
        <x:v>10.51.90.164</x:v>
      </x:c>
      <x:c r="J894" s="25"/>
      <x:c r="K894" s="116"/>
      <x:c r="L894" s="25">
        <x:v>20221200</x:v>
      </x:c>
      <x:c r="M894" s="123"/>
      <x:c r="N894" s="25" t="s">
        <x:v>2034</x:v>
      </x:c>
      <x:c r="O894" s="25" t="s">
        <x:v>1242</x:v>
      </x:c>
      <x:c r="P894" s="25">
        <x:v>918</x:v>
      </x:c>
      <x:c r="Q894" s="25" t="s">
        <x:v>706</x:v>
      </x:c>
      <x:c r="R894" s="25"/>
      <x:c r="S894" s="25"/>
      <x:c r="T894" s="25"/>
      <x:c r="U894" s="25"/>
      <x:c r="V894" s="25"/>
      <x:c r="W894" s="91"/>
      <x:c r="X894" s="91"/>
      <x:c r="Y894" s="91"/>
      <x:c r="Z894" s="91"/>
    </x:row>
    <x:row r="895" spans="1:26" s="14" customFormat="1" ht="13.5" customHeight="1">
      <x:c r="A895" s="303"/>
      <x:c r="B895" s="303"/>
      <x:c r="C895" s="293"/>
      <x:c r="D895" s="293"/>
      <x:c r="E895" s="293"/>
      <x:c r="F895" s="293"/>
      <x:c r="G895" s="293"/>
      <x:c r="H895" s="293"/>
      <x:c r="I895" s="303"/>
      <x:c r="J895" s="303"/>
      <x:c r="K895" s="303"/>
      <x:c r="L895" s="293"/>
      <x:c r="M895" s="293"/>
      <x:c r="N895" s="293"/>
      <x:c r="O895" s="293"/>
      <x:c r="P895" s="293"/>
      <x:c r="Q895" s="293"/>
      <x:c r="R895" s="293"/>
      <x:c r="S895" s="293"/>
      <x:c r="T895" s="293"/>
      <x:c r="U895" s="303"/>
      <x:c r="V895" s="303"/>
      <x:c r="W895" s="92"/>
      <x:c r="X895" s="92"/>
      <x:c r="Y895" s="92"/>
      <x:c r="Z895" s="92"/>
    </x:row>
    <x:row r="896" spans="1:22" s="14" customFormat="1" ht="13.5" customHeight="1">
      <x:c r="A896" s="13" t="str">
        <x:f t="shared" ref="A896:A913" si="0">O896</x:f>
        <x:v>전영애</x:v>
      </x:c>
      <x:c r="B896" s="25" t="str">
        <x:f t="shared" ref="B896:B927" si="1">L896&amp;"-"&amp;TEXT(P896,"0000")</x:f>
        <x:v>20010101-0226</x:v>
      </x:c>
      <x:c r="C896" s="13" t="s">
        <x:v>1978</x:v>
      </x:c>
      <x:c r="D896" s="13" t="s">
        <x:v>1533</x:v>
      </x:c>
      <x:c r="E896" s="13" t="s">
        <x:v>1543</x:v>
      </x:c>
      <x:c r="F896" s="13" t="s">
        <x:v>2039</x:v>
      </x:c>
      <x:c r="G896" s="13" t="s">
        <x:v>1289</x:v>
      </x:c>
      <x:c r="H896" s="13" t="str">
        <x:f>IFERROR(VLOOKUP(O896,'정보화기기 명부'!A$2:B$187,2,FALSE),"")</x:f>
        <x:v/>
      </x:c>
      <x:c r="I896" s="13"/>
      <x:c r="J896" s="13"/>
      <x:c r="K896" s="13"/>
      <x:c r="L896" s="13">
        <x:v>20010101</x:v>
      </x:c>
      <x:c r="M896" s="13" t="s">
        <x:v>1971</x:v>
      </x:c>
      <x:c r="N896" s="13" t="s">
        <x:v>2034</x:v>
      </x:c>
      <x:c r="O896" s="13" t="s">
        <x:v>1402</x:v>
      </x:c>
      <x:c r="P896" s="13">
        <x:v>226</x:v>
      </x:c>
      <x:c r="Q896" s="13" t="s">
        <x:v>466</x:v>
      </x:c>
      <x:c r="R896" s="13" t="s">
        <x:v>1995</x:v>
      </x:c>
      <x:c r="S896" s="13" t="s">
        <x:v>1429</x:v>
      </x:c>
      <x:c r="T896" s="13" t="s">
        <x:v>3153</x:v>
      </x:c>
      <x:c r="U896" s="13"/>
      <x:c r="V896" s="13" t="s">
        <x:v>2030</x:v>
      </x:c>
    </x:row>
    <x:row r="897" spans="1:22" s="14" customFormat="1" ht="13.5" customHeight="1">
      <x:c r="A897" s="13" t="str">
        <x:f t="shared" si="0"/>
        <x:v>전영애</x:v>
      </x:c>
      <x:c r="B897" s="25" t="str">
        <x:f t="shared" si="1"/>
        <x:v>20010101-0186</x:v>
      </x:c>
      <x:c r="C897" s="13" t="s">
        <x:v>1978</x:v>
      </x:c>
      <x:c r="D897" s="13" t="s">
        <x:v>1533</x:v>
      </x:c>
      <x:c r="E897" s="13" t="s">
        <x:v>1543</x:v>
      </x:c>
      <x:c r="F897" s="13" t="s">
        <x:v>2039</x:v>
      </x:c>
      <x:c r="G897" s="13" t="s">
        <x:v>1289</x:v>
      </x:c>
      <x:c r="H897" s="13" t="str">
        <x:f>IFERROR(VLOOKUP(O897,'정보화기기 명부'!A$2:B$187,2,FALSE),"")</x:f>
        <x:v/>
      </x:c>
      <x:c r="I897" s="13"/>
      <x:c r="J897" s="13"/>
      <x:c r="K897" s="13"/>
      <x:c r="L897" s="13">
        <x:v>20010101</x:v>
      </x:c>
      <x:c r="M897" s="13" t="s">
        <x:v>1971</x:v>
      </x:c>
      <x:c r="N897" s="13" t="s">
        <x:v>2034</x:v>
      </x:c>
      <x:c r="O897" s="13" t="s">
        <x:v>1402</x:v>
      </x:c>
      <x:c r="P897" s="13">
        <x:v>186</x:v>
      </x:c>
      <x:c r="Q897" s="13" t="s">
        <x:v>466</x:v>
      </x:c>
      <x:c r="R897" s="13" t="s">
        <x:v>1995</x:v>
      </x:c>
      <x:c r="S897" s="13" t="s">
        <x:v>1429</x:v>
      </x:c>
      <x:c r="T897" s="13" t="s">
        <x:v>3153</x:v>
      </x:c>
      <x:c r="U897" s="13"/>
      <x:c r="V897" s="13" t="s">
        <x:v>2030</x:v>
      </x:c>
    </x:row>
    <x:row r="898" spans="1:22" s="14" customFormat="1" ht="13.5" customHeight="1">
      <x:c r="A898" s="13" t="str">
        <x:f t="shared" si="0"/>
        <x:v>서정훈</x:v>
      </x:c>
      <x:c r="B898" s="25" t="str">
        <x:f t="shared" si="1"/>
        <x:v>20010101-0106</x:v>
      </x:c>
      <x:c r="C898" s="13" t="s">
        <x:v>1978</x:v>
      </x:c>
      <x:c r="D898" s="13" t="s">
        <x:v>1533</x:v>
      </x:c>
      <x:c r="E898" s="13" t="s">
        <x:v>1543</x:v>
      </x:c>
      <x:c r="F898" s="13" t="s">
        <x:v>1408</x:v>
      </x:c>
      <x:c r="G898" s="13" t="s">
        <x:v>1537</x:v>
      </x:c>
      <x:c r="H898" s="13" t="str">
        <x:f>IFERROR(VLOOKUP(O898,'정보화기기 명부'!A$2:B$187,2,FALSE),"")</x:f>
        <x:v/>
      </x:c>
      <x:c r="I898" s="13"/>
      <x:c r="J898" s="13"/>
      <x:c r="K898" s="13"/>
      <x:c r="L898" s="13">
        <x:v>20010101</x:v>
      </x:c>
      <x:c r="M898" s="13" t="s">
        <x:v>624</x:v>
      </x:c>
      <x:c r="N898" s="13" t="s">
        <x:v>2034</x:v>
      </x:c>
      <x:c r="O898" s="13" t="s">
        <x:v>1364</x:v>
      </x:c>
      <x:c r="P898" s="13">
        <x:v>106</x:v>
      </x:c>
      <x:c r="Q898" s="13" t="s">
        <x:v>466</x:v>
      </x:c>
      <x:c r="R898" s="13" t="s">
        <x:v>1972</x:v>
      </x:c>
      <x:c r="S898" s="13" t="s">
        <x:v>1464</x:v>
      </x:c>
      <x:c r="T898" s="13" t="s">
        <x:v>3149</x:v>
      </x:c>
      <x:c r="U898" s="13"/>
      <x:c r="V898" s="13" t="s">
        <x:v>1746</x:v>
      </x:c>
    </x:row>
    <x:row r="899" spans="1:22" s="14" customFormat="1" ht="13.5" customHeight="1">
      <x:c r="A899" s="13" t="str">
        <x:f t="shared" si="0"/>
        <x:v>조란</x:v>
      </x:c>
      <x:c r="B899" s="25" t="str">
        <x:f t="shared" si="1"/>
        <x:v>20010101-0016</x:v>
      </x:c>
      <x:c r="C899" s="13" t="s">
        <x:v>1978</x:v>
      </x:c>
      <x:c r="D899" s="13" t="s">
        <x:v>1533</x:v>
      </x:c>
      <x:c r="E899" s="13" t="s">
        <x:v>1543</x:v>
      </x:c>
      <x:c r="F899" s="13" t="s">
        <x:v>1928</x:v>
      </x:c>
      <x:c r="G899" s="13" t="s">
        <x:v>1529</x:v>
      </x:c>
      <x:c r="H899" s="13" t="str">
        <x:f>IFERROR(VLOOKUP(O899,'정보화기기 명부'!A$2:B$187,2,FALSE),"")</x:f>
        <x:v/>
      </x:c>
      <x:c r="I899" s="13"/>
      <x:c r="J899" s="13"/>
      <x:c r="K899" s="13"/>
      <x:c r="L899" s="13">
        <x:v>20010101</x:v>
      </x:c>
      <x:c r="M899" s="13" t="s">
        <x:v>576</x:v>
      </x:c>
      <x:c r="N899" s="13" t="s">
        <x:v>2034</x:v>
      </x:c>
      <x:c r="O899" s="13" t="s">
        <x:v>1425</x:v>
      </x:c>
      <x:c r="P899" s="13">
        <x:v>16</x:v>
      </x:c>
      <x:c r="Q899" s="13" t="s">
        <x:v>466</x:v>
      </x:c>
      <x:c r="R899" s="13" t="s">
        <x:v>1995</x:v>
      </x:c>
      <x:c r="S899" s="13" t="s">
        <x:v>1464</x:v>
      </x:c>
      <x:c r="T899" s="13" t="s">
        <x:v>1469</x:v>
      </x:c>
      <x:c r="U899" s="13"/>
      <x:c r="V899" s="13" t="s">
        <x:v>2030</x:v>
      </x:c>
    </x:row>
    <x:row r="900" spans="1:22" s="14" customFormat="1" ht="13.5" customHeight="1">
      <x:c r="A900" s="13" t="str">
        <x:f t="shared" si="0"/>
        <x:v>이윤희</x:v>
      </x:c>
      <x:c r="B900" s="25" t="str">
        <x:f t="shared" si="1"/>
        <x:v>20001006-0196</x:v>
      </x:c>
      <x:c r="C900" s="13" t="s">
        <x:v>1978</x:v>
      </x:c>
      <x:c r="D900" s="13" t="s">
        <x:v>1533</x:v>
      </x:c>
      <x:c r="E900" s="13" t="s">
        <x:v>1543</x:v>
      </x:c>
      <x:c r="F900" s="13" t="s">
        <x:v>2022</x:v>
      </x:c>
      <x:c r="G900" s="13" t="s">
        <x:v>1289</x:v>
      </x:c>
      <x:c r="H900" s="13" t="str">
        <x:f>IFERROR(VLOOKUP(O900,'정보화기기 명부'!A$2:B$187,2,FALSE),"")</x:f>
        <x:v/>
      </x:c>
      <x:c r="I900" s="13"/>
      <x:c r="J900" s="13"/>
      <x:c r="K900" s="13"/>
      <x:c r="L900" s="13">
        <x:v>20001006</x:v>
      </x:c>
      <x:c r="M900" s="13" t="s">
        <x:v>1608</x:v>
      </x:c>
      <x:c r="N900" s="13" t="s">
        <x:v>1965</x:v>
      </x:c>
      <x:c r="O900" s="13" t="s">
        <x:v>1360</x:v>
      </x:c>
      <x:c r="P900" s="13">
        <x:v>196</x:v>
      </x:c>
      <x:c r="Q900" s="13" t="s">
        <x:v>466</x:v>
      </x:c>
      <x:c r="R900" s="13" t="s">
        <x:v>1948</x:v>
      </x:c>
      <x:c r="S900" s="13" t="s">
        <x:v>1464</x:v>
      </x:c>
      <x:c r="T900" s="13" t="s">
        <x:v>3152</x:v>
      </x:c>
      <x:c r="U900" s="13"/>
      <x:c r="V900" s="13" t="s">
        <x:v>2030</x:v>
      </x:c>
    </x:row>
    <x:row r="901" spans="1:22" s="14" customFormat="1" ht="13.5" customHeight="1">
      <x:c r="A901" s="13" t="str">
        <x:f t="shared" si="0"/>
        <x:v>이윤희</x:v>
      </x:c>
      <x:c r="B901" s="25" t="str">
        <x:f t="shared" si="1"/>
        <x:v>20001006-0195</x:v>
      </x:c>
      <x:c r="C901" s="13" t="s">
        <x:v>1978</x:v>
      </x:c>
      <x:c r="D901" s="13" t="s">
        <x:v>1533</x:v>
      </x:c>
      <x:c r="E901" s="13" t="s">
        <x:v>1543</x:v>
      </x:c>
      <x:c r="F901" s="13" t="s">
        <x:v>2022</x:v>
      </x:c>
      <x:c r="G901" s="13" t="s">
        <x:v>1289</x:v>
      </x:c>
      <x:c r="H901" s="13" t="str">
        <x:f>IFERROR(VLOOKUP(O901,'정보화기기 명부'!A$2:B$187,2,FALSE),"")</x:f>
        <x:v/>
      </x:c>
      <x:c r="I901" s="13"/>
      <x:c r="J901" s="13"/>
      <x:c r="K901" s="13"/>
      <x:c r="L901" s="13">
        <x:v>20001006</x:v>
      </x:c>
      <x:c r="M901" s="13" t="s">
        <x:v>1608</x:v>
      </x:c>
      <x:c r="N901" s="13" t="s">
        <x:v>1965</x:v>
      </x:c>
      <x:c r="O901" s="13" t="s">
        <x:v>1360</x:v>
      </x:c>
      <x:c r="P901" s="13">
        <x:v>195</x:v>
      </x:c>
      <x:c r="Q901" s="13" t="s">
        <x:v>466</x:v>
      </x:c>
      <x:c r="R901" s="13" t="s">
        <x:v>1948</x:v>
      </x:c>
      <x:c r="S901" s="13" t="s">
        <x:v>1464</x:v>
      </x:c>
      <x:c r="T901" s="13" t="s">
        <x:v>3152</x:v>
      </x:c>
      <x:c r="U901" s="13"/>
      <x:c r="V901" s="13" t="s">
        <x:v>2030</x:v>
      </x:c>
    </x:row>
    <x:row r="902" spans="1:22" s="14" customFormat="1" ht="13.5" customHeight="1">
      <x:c r="A902" s="13" t="str">
        <x:f t="shared" si="0"/>
        <x:v>전영애</x:v>
      </x:c>
      <x:c r="B902" s="25" t="str">
        <x:f t="shared" si="1"/>
        <x:v>20001006-0187</x:v>
      </x:c>
      <x:c r="C902" s="13" t="s">
        <x:v>1978</x:v>
      </x:c>
      <x:c r="D902" s="13" t="s">
        <x:v>1533</x:v>
      </x:c>
      <x:c r="E902" s="13" t="s">
        <x:v>1543</x:v>
      </x:c>
      <x:c r="F902" s="13" t="s">
        <x:v>2022</x:v>
      </x:c>
      <x:c r="G902" s="13" t="s">
        <x:v>1289</x:v>
      </x:c>
      <x:c r="H902" s="13" t="str">
        <x:f>IFERROR(VLOOKUP(O902,'정보화기기 명부'!A$2:B$187,2,FALSE),"")</x:f>
        <x:v/>
      </x:c>
      <x:c r="I902" s="13"/>
      <x:c r="J902" s="13"/>
      <x:c r="K902" s="13"/>
      <x:c r="L902" s="13">
        <x:v>20001006</x:v>
      </x:c>
      <x:c r="M902" s="13" t="s">
        <x:v>1608</x:v>
      </x:c>
      <x:c r="N902" s="13" t="s">
        <x:v>2034</x:v>
      </x:c>
      <x:c r="O902" s="13" t="s">
        <x:v>1402</x:v>
      </x:c>
      <x:c r="P902" s="13">
        <x:v>187</x:v>
      </x:c>
      <x:c r="Q902" s="13" t="s">
        <x:v>466</x:v>
      </x:c>
      <x:c r="R902" s="13" t="s">
        <x:v>1948</x:v>
      </x:c>
      <x:c r="S902" s="13" t="s">
        <x:v>1464</x:v>
      </x:c>
      <x:c r="T902" s="13" t="s">
        <x:v>3152</x:v>
      </x:c>
      <x:c r="U902" s="13"/>
      <x:c r="V902" s="13" t="s">
        <x:v>2030</x:v>
      </x:c>
    </x:row>
    <x:row r="903" spans="1:22" s="14" customFormat="1" ht="13.5" customHeight="1">
      <x:c r="A903" s="13" t="str">
        <x:f t="shared" si="0"/>
        <x:v>김지연</x:v>
      </x:c>
      <x:c r="B903" s="25" t="str">
        <x:f t="shared" si="1"/>
        <x:v>20001006-0099</x:v>
      </x:c>
      <x:c r="C903" s="13" t="s">
        <x:v>1978</x:v>
      </x:c>
      <x:c r="D903" s="13" t="s">
        <x:v>1533</x:v>
      </x:c>
      <x:c r="E903" s="13" t="s">
        <x:v>1543</x:v>
      </x:c>
      <x:c r="F903" s="13" t="s">
        <x:v>2022</x:v>
      </x:c>
      <x:c r="G903" s="13" t="s">
        <x:v>1289</x:v>
      </x:c>
      <x:c r="H903" s="13" t="str">
        <x:f>IFERROR(VLOOKUP(O903,'정보화기기 명부'!A$2:B$187,2,FALSE),"")</x:f>
        <x:v/>
      </x:c>
      <x:c r="I903" s="13"/>
      <x:c r="J903" s="13"/>
      <x:c r="K903" s="13"/>
      <x:c r="L903" s="13">
        <x:v>20001006</x:v>
      </x:c>
      <x:c r="M903" s="13" t="s">
        <x:v>1608</x:v>
      </x:c>
      <x:c r="N903" s="13" t="s">
        <x:v>2034</x:v>
      </x:c>
      <x:c r="O903" s="13" t="s">
        <x:v>1401</x:v>
      </x:c>
      <x:c r="P903" s="13">
        <x:v>99</x:v>
      </x:c>
      <x:c r="Q903" s="13" t="s">
        <x:v>466</x:v>
      </x:c>
      <x:c r="R903" s="13" t="s">
        <x:v>1948</x:v>
      </x:c>
      <x:c r="S903" s="13" t="s">
        <x:v>1428</x:v>
      </x:c>
      <x:c r="T903" s="13" t="s">
        <x:v>3150</x:v>
      </x:c>
      <x:c r="U903" s="13"/>
      <x:c r="V903" s="13" t="s">
        <x:v>2030</x:v>
      </x:c>
    </x:row>
    <x:row r="904" spans="1:22" s="14" customFormat="1" ht="13.5" customHeight="1">
      <x:c r="A904" s="13" t="str">
        <x:f t="shared" si="0"/>
        <x:v>차명희</x:v>
      </x:c>
      <x:c r="B904" s="25" t="str">
        <x:f t="shared" si="1"/>
        <x:v>20001006-0074</x:v>
      </x:c>
      <x:c r="C904" s="13" t="s">
        <x:v>1978</x:v>
      </x:c>
      <x:c r="D904" s="13" t="s">
        <x:v>1533</x:v>
      </x:c>
      <x:c r="E904" s="13" t="s">
        <x:v>1543</x:v>
      </x:c>
      <x:c r="F904" s="13" t="s">
        <x:v>1977</x:v>
      </x:c>
      <x:c r="G904" s="13" t="s">
        <x:v>1529</x:v>
      </x:c>
      <x:c r="H904" s="13" t="str">
        <x:f>IFERROR(VLOOKUP(O904,'정보화기기 명부'!A$2:B$187,2,FALSE),"")</x:f>
        <x:v/>
      </x:c>
      <x:c r="I904" s="13"/>
      <x:c r="J904" s="13"/>
      <x:c r="K904" s="13"/>
      <x:c r="L904" s="13">
        <x:v>20001006</x:v>
      </x:c>
      <x:c r="M904" s="13" t="s">
        <x:v>1608</x:v>
      </x:c>
      <x:c r="N904" s="13" t="s">
        <x:v>1965</x:v>
      </x:c>
      <x:c r="O904" s="13" t="s">
        <x:v>1389</x:v>
      </x:c>
      <x:c r="P904" s="13">
        <x:v>74</x:v>
      </x:c>
      <x:c r="Q904" s="13" t="s">
        <x:v>466</x:v>
      </x:c>
      <x:c r="R904" s="13" t="s">
        <x:v>1992</x:v>
      </x:c>
      <x:c r="S904" s="13" t="s">
        <x:v>1479</x:v>
      </x:c>
      <x:c r="T904" s="13" t="s">
        <x:v>3150</x:v>
      </x:c>
      <x:c r="U904" s="13"/>
      <x:c r="V904" s="13" t="s">
        <x:v>2030</x:v>
      </x:c>
    </x:row>
    <x:row r="905" spans="1:22" s="14" customFormat="1" ht="13.5" customHeight="1">
      <x:c r="A905" s="13" t="str">
        <x:f t="shared" si="0"/>
        <x:v>김지연</x:v>
      </x:c>
      <x:c r="B905" s="25" t="str">
        <x:f t="shared" si="1"/>
        <x:v>20001006-0036</x:v>
      </x:c>
      <x:c r="C905" s="13" t="s">
        <x:v>1978</x:v>
      </x:c>
      <x:c r="D905" s="13" t="s">
        <x:v>1533</x:v>
      </x:c>
      <x:c r="E905" s="13" t="s">
        <x:v>1543</x:v>
      </x:c>
      <x:c r="F905" s="13" t="s">
        <x:v>2022</x:v>
      </x:c>
      <x:c r="G905" s="13" t="s">
        <x:v>1289</x:v>
      </x:c>
      <x:c r="H905" s="13" t="str">
        <x:f>IFERROR(VLOOKUP(O905,'정보화기기 명부'!A$2:B$187,2,FALSE),"")</x:f>
        <x:v/>
      </x:c>
      <x:c r="I905" s="13"/>
      <x:c r="J905" s="13"/>
      <x:c r="K905" s="13"/>
      <x:c r="L905" s="13">
        <x:v>20001006</x:v>
      </x:c>
      <x:c r="M905" s="13" t="s">
        <x:v>1608</x:v>
      </x:c>
      <x:c r="N905" s="13" t="s">
        <x:v>2034</x:v>
      </x:c>
      <x:c r="O905" s="13" t="s">
        <x:v>1401</x:v>
      </x:c>
      <x:c r="P905" s="13">
        <x:v>36</x:v>
      </x:c>
      <x:c r="Q905" s="13" t="s">
        <x:v>466</x:v>
      </x:c>
      <x:c r="R905" s="13" t="s">
        <x:v>1948</x:v>
      </x:c>
      <x:c r="S905" s="13" t="s">
        <x:v>1464</x:v>
      </x:c>
      <x:c r="T905" s="13" t="s">
        <x:v>3152</x:v>
      </x:c>
      <x:c r="U905" s="13"/>
      <x:c r="V905" s="13" t="s">
        <x:v>2030</x:v>
      </x:c>
    </x:row>
    <x:row r="906" spans="1:22" s="14" customFormat="1" ht="13.5" customHeight="1">
      <x:c r="A906" s="13" t="str">
        <x:f t="shared" si="0"/>
        <x:v>손재덕</x:v>
      </x:c>
      <x:c r="B906" s="25" t="str">
        <x:f t="shared" si="1"/>
        <x:v>20001006-0035</x:v>
      </x:c>
      <x:c r="C906" s="13" t="s">
        <x:v>1978</x:v>
      </x:c>
      <x:c r="D906" s="13" t="s">
        <x:v>1533</x:v>
      </x:c>
      <x:c r="E906" s="13" t="s">
        <x:v>1543</x:v>
      </x:c>
      <x:c r="F906" s="13" t="s">
        <x:v>2022</x:v>
      </x:c>
      <x:c r="G906" s="13" t="s">
        <x:v>1289</x:v>
      </x:c>
      <x:c r="H906" s="13" t="str">
        <x:f>IFERROR(VLOOKUP(O906,'정보화기기 명부'!A$2:B$187,2,FALSE),"")</x:f>
        <x:v/>
      </x:c>
      <x:c r="I906" s="13"/>
      <x:c r="J906" s="13"/>
      <x:c r="K906" s="13"/>
      <x:c r="L906" s="13">
        <x:v>20001006</x:v>
      </x:c>
      <x:c r="M906" s="13" t="s">
        <x:v>1608</x:v>
      </x:c>
      <x:c r="N906" s="13" t="s">
        <x:v>2034</x:v>
      </x:c>
      <x:c r="O906" s="13" t="s">
        <x:v>1513</x:v>
      </x:c>
      <x:c r="P906" s="13">
        <x:v>35</x:v>
      </x:c>
      <x:c r="Q906" s="13" t="s">
        <x:v>466</x:v>
      </x:c>
      <x:c r="R906" s="13" t="s">
        <x:v>1948</x:v>
      </x:c>
      <x:c r="S906" s="13" t="s">
        <x:v>1464</x:v>
      </x:c>
      <x:c r="T906" s="13" t="s">
        <x:v>3156</x:v>
      </x:c>
      <x:c r="U906" s="13"/>
      <x:c r="V906" s="13" t="s">
        <x:v>2030</x:v>
      </x:c>
    </x:row>
    <x:row r="907" spans="1:22" s="14" customFormat="1" ht="13.5" customHeight="1">
      <x:c r="A907" s="13" t="str">
        <x:f t="shared" si="0"/>
        <x:v>정세희</x:v>
      </x:c>
      <x:c r="B907" s="25" t="str">
        <x:f t="shared" si="1"/>
        <x:v>20001006-0034</x:v>
      </x:c>
      <x:c r="C907" s="13" t="s">
        <x:v>1978</x:v>
      </x:c>
      <x:c r="D907" s="13" t="s">
        <x:v>1533</x:v>
      </x:c>
      <x:c r="E907" s="13" t="s">
        <x:v>1543</x:v>
      </x:c>
      <x:c r="F907" s="13" t="s">
        <x:v>2022</x:v>
      </x:c>
      <x:c r="G907" s="13" t="s">
        <x:v>1289</x:v>
      </x:c>
      <x:c r="H907" s="13" t="str">
        <x:f>IFERROR(VLOOKUP(O907,'정보화기기 명부'!A$2:B$187,2,FALSE),"")</x:f>
        <x:v/>
      </x:c>
      <x:c r="I907" s="13"/>
      <x:c r="J907" s="13"/>
      <x:c r="K907" s="13"/>
      <x:c r="L907" s="13">
        <x:v>20001006</x:v>
      </x:c>
      <x:c r="M907" s="13" t="s">
        <x:v>1608</x:v>
      </x:c>
      <x:c r="N907" s="13" t="s">
        <x:v>1965</x:v>
      </x:c>
      <x:c r="O907" s="13" t="s">
        <x:v>1283</x:v>
      </x:c>
      <x:c r="P907" s="13">
        <x:v>34</x:v>
      </x:c>
      <x:c r="Q907" s="13" t="s">
        <x:v>572</x:v>
      </x:c>
      <x:c r="R907" s="13" t="s">
        <x:v>1948</x:v>
      </x:c>
      <x:c r="S907" s="13" t="s">
        <x:v>1301</x:v>
      </x:c>
      <x:c r="T907" s="13" t="s">
        <x:v>3153</x:v>
      </x:c>
      <x:c r="U907" s="13"/>
      <x:c r="V907" s="13" t="s">
        <x:v>1746</x:v>
      </x:c>
    </x:row>
    <x:row r="908" spans="1:22" s="14" customFormat="1" ht="13.5" customHeight="1">
      <x:c r="A908" s="13" t="str">
        <x:f t="shared" si="0"/>
        <x:v>김지연</x:v>
      </x:c>
      <x:c r="B908" s="25" t="str">
        <x:f t="shared" si="1"/>
        <x:v>20001006-0011</x:v>
      </x:c>
      <x:c r="C908" s="13" t="s">
        <x:v>1978</x:v>
      </x:c>
      <x:c r="D908" s="13" t="s">
        <x:v>1533</x:v>
      </x:c>
      <x:c r="E908" s="13" t="s">
        <x:v>1543</x:v>
      </x:c>
      <x:c r="F908" s="13" t="s">
        <x:v>2022</x:v>
      </x:c>
      <x:c r="G908" s="13" t="s">
        <x:v>1289</x:v>
      </x:c>
      <x:c r="H908" s="13" t="str">
        <x:f>IFERROR(VLOOKUP(O908,'정보화기기 명부'!A$2:B$187,2,FALSE),"")</x:f>
        <x:v/>
      </x:c>
      <x:c r="I908" s="13"/>
      <x:c r="J908" s="13"/>
      <x:c r="K908" s="13"/>
      <x:c r="L908" s="13">
        <x:v>20001006</x:v>
      </x:c>
      <x:c r="M908" s="13" t="s">
        <x:v>1608</x:v>
      </x:c>
      <x:c r="N908" s="13" t="s">
        <x:v>2034</x:v>
      </x:c>
      <x:c r="O908" s="13" t="s">
        <x:v>1401</x:v>
      </x:c>
      <x:c r="P908" s="13">
        <x:v>11</x:v>
      </x:c>
      <x:c r="Q908" s="13" t="s">
        <x:v>466</x:v>
      </x:c>
      <x:c r="R908" s="13" t="s">
        <x:v>1972</x:v>
      </x:c>
      <x:c r="S908" s="13" t="s">
        <x:v>1301</x:v>
      </x:c>
      <x:c r="T908" s="13" t="s">
        <x:v>3149</x:v>
      </x:c>
      <x:c r="U908" s="13"/>
      <x:c r="V908" s="13" t="s">
        <x:v>2030</x:v>
      </x:c>
    </x:row>
    <x:row r="909" spans="1:22" s="14" customFormat="1" ht="13.5" customHeight="1">
      <x:c r="A909" s="13" t="str">
        <x:f t="shared" si="0"/>
        <x:v>전용범</x:v>
      </x:c>
      <x:c r="B909" s="25" t="str">
        <x:f t="shared" si="1"/>
        <x:v>20001006-0008</x:v>
      </x:c>
      <x:c r="C909" s="13" t="s">
        <x:v>1978</x:v>
      </x:c>
      <x:c r="D909" s="13" t="s">
        <x:v>1533</x:v>
      </x:c>
      <x:c r="E909" s="13" t="s">
        <x:v>1251</x:v>
      </x:c>
      <x:c r="F909" s="13" t="s">
        <x:v>1924</x:v>
      </x:c>
      <x:c r="G909" s="13" t="s">
        <x:v>1289</x:v>
      </x:c>
      <x:c r="H909" s="13" t="str">
        <x:f>IFERROR(VLOOKUP(O909,'정보화기기 명부'!A$2:B$187,2,FALSE),"")</x:f>
        <x:v/>
      </x:c>
      <x:c r="I909" s="13"/>
      <x:c r="J909" s="13"/>
      <x:c r="K909" s="13"/>
      <x:c r="L909" s="13">
        <x:v>20001006</x:v>
      </x:c>
      <x:c r="M909" s="13" t="s">
        <x:v>1608</x:v>
      </x:c>
      <x:c r="N909" s="13" t="s">
        <x:v>2034</x:v>
      </x:c>
      <x:c r="O909" s="13" t="s">
        <x:v>1313</x:v>
      </x:c>
      <x:c r="P909" s="13">
        <x:v>8</x:v>
      </x:c>
      <x:c r="Q909" s="13" t="s">
        <x:v>466</x:v>
      </x:c>
      <x:c r="R909" s="13" t="s">
        <x:v>1972</x:v>
      </x:c>
      <x:c r="S909" s="13" t="s">
        <x:v>1301</x:v>
      </x:c>
      <x:c r="T909" s="13" t="s">
        <x:v>3155</x:v>
      </x:c>
      <x:c r="U909" s="13"/>
      <x:c r="V909" s="13" t="s">
        <x:v>2030</x:v>
      </x:c>
    </x:row>
    <x:row r="910" spans="1:22" s="14" customFormat="1" ht="13.5" customHeight="1">
      <x:c r="A910" s="13" t="str">
        <x:f t="shared" si="0"/>
        <x:v>이윤희</x:v>
      </x:c>
      <x:c r="B910" s="25" t="str">
        <x:f t="shared" si="1"/>
        <x:v>20000628-0193</x:v>
      </x:c>
      <x:c r="C910" s="13" t="s">
        <x:v>1978</x:v>
      </x:c>
      <x:c r="D910" s="13" t="s">
        <x:v>1533</x:v>
      </x:c>
      <x:c r="E910" s="13" t="s">
        <x:v>1543</x:v>
      </x:c>
      <x:c r="F910" s="13" t="s">
        <x:v>2215</x:v>
      </x:c>
      <x:c r="G910" s="13" t="s">
        <x:v>1575</x:v>
      </x:c>
      <x:c r="H910" s="13" t="str">
        <x:f>IFERROR(VLOOKUP(O910,'정보화기기 명부'!A$2:B$187,2,FALSE),"")</x:f>
        <x:v/>
      </x:c>
      <x:c r="I910" s="13"/>
      <x:c r="J910" s="13"/>
      <x:c r="K910" s="13"/>
      <x:c r="L910" s="13">
        <x:v>20000628</x:v>
      </x:c>
      <x:c r="M910" s="13" t="s">
        <x:v>6</x:v>
      </x:c>
      <x:c r="N910" s="13" t="s">
        <x:v>1965</x:v>
      </x:c>
      <x:c r="O910" s="13" t="s">
        <x:v>1360</x:v>
      </x:c>
      <x:c r="P910" s="13">
        <x:v>193</x:v>
      </x:c>
      <x:c r="Q910" s="13" t="s">
        <x:v>466</x:v>
      </x:c>
      <x:c r="R910" s="13" t="s">
        <x:v>1972</x:v>
      </x:c>
      <x:c r="S910" s="13" t="s">
        <x:v>1464</x:v>
      </x:c>
      <x:c r="T910" s="13" t="s">
        <x:v>3152</x:v>
      </x:c>
      <x:c r="U910" s="13"/>
      <x:c r="V910" s="13" t="s">
        <x:v>2030</x:v>
      </x:c>
    </x:row>
    <x:row r="911" spans="1:22" s="14" customFormat="1" ht="13.5" customHeight="1">
      <x:c r="A911" s="13" t="str">
        <x:f t="shared" si="0"/>
        <x:v>김지연</x:v>
      </x:c>
      <x:c r="B911" s="25" t="str">
        <x:f t="shared" si="1"/>
        <x:v>20000525-0103</x:v>
      </x:c>
      <x:c r="C911" s="13" t="s">
        <x:v>1978</x:v>
      </x:c>
      <x:c r="D911" s="13" t="s">
        <x:v>1533</x:v>
      </x:c>
      <x:c r="E911" s="13" t="s">
        <x:v>1543</x:v>
      </x:c>
      <x:c r="F911" s="13" t="s">
        <x:v>2004</x:v>
      </x:c>
      <x:c r="G911" s="13" t="s">
        <x:v>1289</x:v>
      </x:c>
      <x:c r="H911" s="13" t="str">
        <x:f>IFERROR(VLOOKUP(O911,'정보화기기 명부'!A$2:B$187,2,FALSE),"")</x:f>
        <x:v/>
      </x:c>
      <x:c r="I911" s="13"/>
      <x:c r="J911" s="13"/>
      <x:c r="K911" s="13"/>
      <x:c r="L911" s="13">
        <x:v>20000525</x:v>
      </x:c>
      <x:c r="M911" s="13" t="s">
        <x:v>624</x:v>
      </x:c>
      <x:c r="N911" s="13" t="s">
        <x:v>2034</x:v>
      </x:c>
      <x:c r="O911" s="13" t="s">
        <x:v>1401</x:v>
      </x:c>
      <x:c r="P911" s="13">
        <x:v>103</x:v>
      </x:c>
      <x:c r="Q911" s="13" t="s">
        <x:v>572</x:v>
      </x:c>
      <x:c r="R911" s="13" t="s">
        <x:v>2011</x:v>
      </x:c>
      <x:c r="S911" s="13" t="s">
        <x:v>1301</x:v>
      </x:c>
      <x:c r="T911" s="13" t="s">
        <x:v>3150</x:v>
      </x:c>
      <x:c r="U911" s="13"/>
      <x:c r="V911" s="13" t="s">
        <x:v>2030</x:v>
      </x:c>
    </x:row>
    <x:row r="912" spans="1:22" s="14" customFormat="1" ht="13.5" customHeight="1">
      <x:c r="A912" s="13" t="str">
        <x:f t="shared" si="0"/>
        <x:v>유미라</x:v>
      </x:c>
      <x:c r="B912" s="25" t="str">
        <x:f t="shared" si="1"/>
        <x:v>20000525-0098</x:v>
      </x:c>
      <x:c r="C912" s="13" t="s">
        <x:v>1978</x:v>
      </x:c>
      <x:c r="D912" s="13" t="s">
        <x:v>1533</x:v>
      </x:c>
      <x:c r="E912" s="13" t="s">
        <x:v>1251</x:v>
      </x:c>
      <x:c r="F912" s="13" t="s">
        <x:v>2004</x:v>
      </x:c>
      <x:c r="G912" s="13" t="s">
        <x:v>1289</x:v>
      </x:c>
      <x:c r="H912" s="13" t="str">
        <x:f>IFERROR(VLOOKUP(O912,'정보화기기 명부'!A$2:B$187,2,FALSE),"")</x:f>
        <x:v>진로진학상담부</x:v>
      </x:c>
      <x:c r="I912" s="13"/>
      <x:c r="J912" s="13"/>
      <x:c r="K912" s="13"/>
      <x:c r="L912" s="13">
        <x:v>20000525</x:v>
      </x:c>
      <x:c r="M912" s="13" t="s">
        <x:v>624</x:v>
      </x:c>
      <x:c r="N912" s="13" t="s">
        <x:v>1965</x:v>
      </x:c>
      <x:c r="O912" s="13" t="s">
        <x:v>1201</x:v>
      </x:c>
      <x:c r="P912" s="13">
        <x:v>98</x:v>
      </x:c>
      <x:c r="Q912" s="13" t="s">
        <x:v>466</x:v>
      </x:c>
      <x:c r="R912" s="13" t="s">
        <x:v>2011</x:v>
      </x:c>
      <x:c r="S912" s="13" t="s">
        <x:v>1301</x:v>
      </x:c>
      <x:c r="T912" s="13" t="s">
        <x:v>3152</x:v>
      </x:c>
      <x:c r="U912" s="13"/>
      <x:c r="V912" s="13" t="s">
        <x:v>2030</x:v>
      </x:c>
    </x:row>
    <x:row r="913" spans="1:22" s="14" customFormat="1" ht="13.5" customHeight="1">
      <x:c r="A913" s="13" t="str">
        <x:f t="shared" si="0"/>
        <x:v>최은정</x:v>
      </x:c>
      <x:c r="B913" s="25" t="str">
        <x:f t="shared" si="1"/>
        <x:v>19990526-0201</x:v>
      </x:c>
      <x:c r="C913" s="13" t="s">
        <x:v>1978</x:v>
      </x:c>
      <x:c r="D913" s="13" t="s">
        <x:v>1533</x:v>
      </x:c>
      <x:c r="E913" s="13" t="s">
        <x:v>1251</x:v>
      </x:c>
      <x:c r="F913" s="13" t="s">
        <x:v>1924</x:v>
      </x:c>
      <x:c r="G913" s="13" t="s">
        <x:v>1289</x:v>
      </x:c>
      <x:c r="H913" s="13" t="str">
        <x:f>IFERROR(VLOOKUP(O913,'정보화기기 명부'!A$2:B$187,2,FALSE),"")</x:f>
        <x:v/>
      </x:c>
      <x:c r="I913" s="13"/>
      <x:c r="J913" s="13"/>
      <x:c r="K913" s="13"/>
      <x:c r="L913" s="13">
        <x:v>19990526</x:v>
      </x:c>
      <x:c r="M913" s="13" t="s">
        <x:v>625</x:v>
      </x:c>
      <x:c r="N913" s="13" t="s">
        <x:v>1965</x:v>
      </x:c>
      <x:c r="O913" s="13" t="s">
        <x:v>1441</x:v>
      </x:c>
      <x:c r="P913" s="13">
        <x:v>201</x:v>
      </x:c>
      <x:c r="Q913" s="13" t="s">
        <x:v>466</x:v>
      </x:c>
      <x:c r="R913" s="13" t="s">
        <x:v>1972</x:v>
      </x:c>
      <x:c r="S913" s="13" t="s">
        <x:v>1448</x:v>
      </x:c>
      <x:c r="T913" s="13" t="s">
        <x:v>3152</x:v>
      </x:c>
      <x:c r="U913" s="13"/>
      <x:c r="V913" s="13" t="s">
        <x:v>2030</x:v>
      </x:c>
    </x:row>
    <x:row r="914" spans="1:22" s="14" customFormat="1" ht="13.5" customHeight="1">
      <x:c r="A914" s="13"/>
      <x:c r="B914" s="25" t="str">
        <x:f t="shared" si="1"/>
        <x:v>19990526-0126</x:v>
      </x:c>
      <x:c r="C914" s="13" t="s">
        <x:v>1978</x:v>
      </x:c>
      <x:c r="D914" s="13" t="s">
        <x:v>1533</x:v>
      </x:c>
      <x:c r="E914" s="13" t="s">
        <x:v>1568</x:v>
      </x:c>
      <x:c r="F914" s="13" t="s">
        <x:v>1924</x:v>
      </x:c>
      <x:c r="G914" s="13" t="s">
        <x:v>1289</x:v>
      </x:c>
      <x:c r="H914" s="13" t="str">
        <x:f>IFERROR(VLOOKUP(O914,'정보화기기 명부'!A$2:B$187,2,FALSE),"")</x:f>
        <x:v/>
      </x:c>
      <x:c r="I914" s="13"/>
      <x:c r="J914" s="13"/>
      <x:c r="K914" s="13"/>
      <x:c r="L914" s="13">
        <x:v>19990526</x:v>
      </x:c>
      <x:c r="M914" s="13" t="s">
        <x:v>625</x:v>
      </x:c>
      <x:c r="N914" s="13" t="s">
        <x:v>1965</x:v>
      </x:c>
      <x:c r="O914" s="13" t="s">
        <x:v>1372</x:v>
      </x:c>
      <x:c r="P914" s="13">
        <x:v>126</x:v>
      </x:c>
      <x:c r="Q914" s="13" t="s">
        <x:v>466</x:v>
      </x:c>
      <x:c r="R914" s="13" t="s">
        <x:v>1972</x:v>
      </x:c>
      <x:c r="S914" s="13" t="s">
        <x:v>1464</x:v>
      </x:c>
      <x:c r="T914" s="13" t="s">
        <x:v>3152</x:v>
      </x:c>
      <x:c r="U914" s="13"/>
      <x:c r="V914" s="13" t="s">
        <x:v>2030</x:v>
      </x:c>
    </x:row>
    <x:row r="915" spans="1:22" s="14" customFormat="1" ht="13.5" customHeight="1">
      <x:c r="A915" s="13"/>
      <x:c r="B915" s="25" t="str">
        <x:f t="shared" si="1"/>
        <x:v>19990526-0125</x:v>
      </x:c>
      <x:c r="C915" s="13" t="s">
        <x:v>1978</x:v>
      </x:c>
      <x:c r="D915" s="13" t="s">
        <x:v>1533</x:v>
      </x:c>
      <x:c r="E915" s="13" t="s">
        <x:v>1568</x:v>
      </x:c>
      <x:c r="F915" s="13" t="s">
        <x:v>1924</x:v>
      </x:c>
      <x:c r="G915" s="13" t="s">
        <x:v>1289</x:v>
      </x:c>
      <x:c r="H915" s="13" t="str">
        <x:f>IFERROR(VLOOKUP(O915,'정보화기기 명부'!A$2:B$187,2,FALSE),"")</x:f>
        <x:v/>
      </x:c>
      <x:c r="I915" s="13"/>
      <x:c r="J915" s="13"/>
      <x:c r="K915" s="13"/>
      <x:c r="L915" s="13">
        <x:v>19990526</x:v>
      </x:c>
      <x:c r="M915" s="13" t="s">
        <x:v>625</x:v>
      </x:c>
      <x:c r="N915" s="13" t="s">
        <x:v>1965</x:v>
      </x:c>
      <x:c r="O915" s="13" t="s">
        <x:v>1372</x:v>
      </x:c>
      <x:c r="P915" s="13">
        <x:v>125</x:v>
      </x:c>
      <x:c r="Q915" s="13" t="s">
        <x:v>466</x:v>
      </x:c>
      <x:c r="R915" s="13" t="s">
        <x:v>1972</x:v>
      </x:c>
      <x:c r="S915" s="13" t="s">
        <x:v>1464</x:v>
      </x:c>
      <x:c r="T915" s="13" t="s">
        <x:v>3152</x:v>
      </x:c>
      <x:c r="U915" s="13"/>
      <x:c r="V915" s="13" t="s">
        <x:v>2030</x:v>
      </x:c>
    </x:row>
    <x:row r="916" spans="1:22" s="14" customFormat="1" ht="13.5" customHeight="1">
      <x:c r="A916" s="13"/>
      <x:c r="B916" s="25" t="str">
        <x:f t="shared" si="1"/>
        <x:v>19990526-0124</x:v>
      </x:c>
      <x:c r="C916" s="13" t="s">
        <x:v>1978</x:v>
      </x:c>
      <x:c r="D916" s="13" t="s">
        <x:v>1533</x:v>
      </x:c>
      <x:c r="E916" s="13" t="s">
        <x:v>1568</x:v>
      </x:c>
      <x:c r="F916" s="13" t="s">
        <x:v>1924</x:v>
      </x:c>
      <x:c r="G916" s="13" t="s">
        <x:v>1289</x:v>
      </x:c>
      <x:c r="H916" s="13" t="str">
        <x:f>IFERROR(VLOOKUP(O916,'정보화기기 명부'!A$2:B$187,2,FALSE),"")</x:f>
        <x:v/>
      </x:c>
      <x:c r="I916" s="13"/>
      <x:c r="J916" s="13"/>
      <x:c r="K916" s="13"/>
      <x:c r="L916" s="13">
        <x:v>19990526</x:v>
      </x:c>
      <x:c r="M916" s="13" t="s">
        <x:v>625</x:v>
      </x:c>
      <x:c r="N916" s="13" t="s">
        <x:v>1965</x:v>
      </x:c>
      <x:c r="O916" s="13" t="s">
        <x:v>1372</x:v>
      </x:c>
      <x:c r="P916" s="13">
        <x:v>124</x:v>
      </x:c>
      <x:c r="Q916" s="13" t="s">
        <x:v>466</x:v>
      </x:c>
      <x:c r="R916" s="13" t="s">
        <x:v>1972</x:v>
      </x:c>
      <x:c r="S916" s="13" t="s">
        <x:v>1464</x:v>
      </x:c>
      <x:c r="T916" s="13" t="s">
        <x:v>3152</x:v>
      </x:c>
      <x:c r="U916" s="13"/>
      <x:c r="V916" s="13" t="s">
        <x:v>2030</x:v>
      </x:c>
    </x:row>
    <x:row r="917" spans="1:22" s="14" customFormat="1" ht="13.5" customHeight="1">
      <x:c r="A917" s="13"/>
      <x:c r="B917" s="25" t="str">
        <x:f t="shared" si="1"/>
        <x:v>19990526-0123</x:v>
      </x:c>
      <x:c r="C917" s="13" t="s">
        <x:v>1978</x:v>
      </x:c>
      <x:c r="D917" s="13" t="s">
        <x:v>1533</x:v>
      </x:c>
      <x:c r="E917" s="13" t="s">
        <x:v>1568</x:v>
      </x:c>
      <x:c r="F917" s="13" t="s">
        <x:v>1924</x:v>
      </x:c>
      <x:c r="G917" s="13" t="s">
        <x:v>1289</x:v>
      </x:c>
      <x:c r="H917" s="13" t="str">
        <x:f>IFERROR(VLOOKUP(O917,'정보화기기 명부'!A$2:B$187,2,FALSE),"")</x:f>
        <x:v/>
      </x:c>
      <x:c r="I917" s="13"/>
      <x:c r="J917" s="13"/>
      <x:c r="K917" s="13"/>
      <x:c r="L917" s="13">
        <x:v>19990526</x:v>
      </x:c>
      <x:c r="M917" s="13" t="s">
        <x:v>625</x:v>
      </x:c>
      <x:c r="N917" s="13" t="s">
        <x:v>1965</x:v>
      </x:c>
      <x:c r="O917" s="13" t="s">
        <x:v>1372</x:v>
      </x:c>
      <x:c r="P917" s="13">
        <x:v>123</x:v>
      </x:c>
      <x:c r="Q917" s="13" t="s">
        <x:v>466</x:v>
      </x:c>
      <x:c r="R917" s="13" t="s">
        <x:v>1972</x:v>
      </x:c>
      <x:c r="S917" s="13" t="s">
        <x:v>1464</x:v>
      </x:c>
      <x:c r="T917" s="13" t="s">
        <x:v>3152</x:v>
      </x:c>
      <x:c r="U917" s="13"/>
      <x:c r="V917" s="13" t="s">
        <x:v>2030</x:v>
      </x:c>
    </x:row>
    <x:row r="918" spans="1:22" s="14" customFormat="1" ht="13.5" customHeight="1">
      <x:c r="A918" s="13"/>
      <x:c r="B918" s="25" t="str">
        <x:f t="shared" si="1"/>
        <x:v>19990526-0122</x:v>
      </x:c>
      <x:c r="C918" s="13" t="s">
        <x:v>1978</x:v>
      </x:c>
      <x:c r="D918" s="13" t="s">
        <x:v>1533</x:v>
      </x:c>
      <x:c r="E918" s="13" t="s">
        <x:v>1568</x:v>
      </x:c>
      <x:c r="F918" s="13" t="s">
        <x:v>1924</x:v>
      </x:c>
      <x:c r="G918" s="13" t="s">
        <x:v>1289</x:v>
      </x:c>
      <x:c r="H918" s="13" t="str">
        <x:f>IFERROR(VLOOKUP(O918,'정보화기기 명부'!A$2:B$187,2,FALSE),"")</x:f>
        <x:v/>
      </x:c>
      <x:c r="I918" s="13"/>
      <x:c r="J918" s="13"/>
      <x:c r="K918" s="13"/>
      <x:c r="L918" s="13">
        <x:v>19990526</x:v>
      </x:c>
      <x:c r="M918" s="13" t="s">
        <x:v>625</x:v>
      </x:c>
      <x:c r="N918" s="13" t="s">
        <x:v>1965</x:v>
      </x:c>
      <x:c r="O918" s="13" t="s">
        <x:v>1372</x:v>
      </x:c>
      <x:c r="P918" s="13">
        <x:v>122</x:v>
      </x:c>
      <x:c r="Q918" s="13" t="s">
        <x:v>466</x:v>
      </x:c>
      <x:c r="R918" s="13" t="s">
        <x:v>1972</x:v>
      </x:c>
      <x:c r="S918" s="13" t="s">
        <x:v>1464</x:v>
      </x:c>
      <x:c r="T918" s="13" t="s">
        <x:v>3152</x:v>
      </x:c>
      <x:c r="U918" s="13"/>
      <x:c r="V918" s="13" t="s">
        <x:v>2030</x:v>
      </x:c>
    </x:row>
    <x:row r="919" spans="1:22" s="14" customFormat="1" ht="13.5" customHeight="1">
      <x:c r="A919" s="13"/>
      <x:c r="B919" s="25" t="str">
        <x:f t="shared" si="1"/>
        <x:v>19990526-0121</x:v>
      </x:c>
      <x:c r="C919" s="13" t="s">
        <x:v>1978</x:v>
      </x:c>
      <x:c r="D919" s="13" t="s">
        <x:v>1533</x:v>
      </x:c>
      <x:c r="E919" s="13" t="s">
        <x:v>1568</x:v>
      </x:c>
      <x:c r="F919" s="13" t="s">
        <x:v>1924</x:v>
      </x:c>
      <x:c r="G919" s="13" t="s">
        <x:v>1289</x:v>
      </x:c>
      <x:c r="H919" s="13" t="str">
        <x:f>IFERROR(VLOOKUP(O919,'정보화기기 명부'!A$2:B$187,2,FALSE),"")</x:f>
        <x:v/>
      </x:c>
      <x:c r="I919" s="13"/>
      <x:c r="J919" s="13"/>
      <x:c r="K919" s="13"/>
      <x:c r="L919" s="13">
        <x:v>19990526</x:v>
      </x:c>
      <x:c r="M919" s="13" t="s">
        <x:v>625</x:v>
      </x:c>
      <x:c r="N919" s="13" t="s">
        <x:v>1965</x:v>
      </x:c>
      <x:c r="O919" s="13" t="s">
        <x:v>1372</x:v>
      </x:c>
      <x:c r="P919" s="13">
        <x:v>121</x:v>
      </x:c>
      <x:c r="Q919" s="13" t="s">
        <x:v>466</x:v>
      </x:c>
      <x:c r="R919" s="13" t="s">
        <x:v>1972</x:v>
      </x:c>
      <x:c r="S919" s="13" t="s">
        <x:v>1464</x:v>
      </x:c>
      <x:c r="T919" s="13" t="s">
        <x:v>3152</x:v>
      </x:c>
      <x:c r="U919" s="13"/>
      <x:c r="V919" s="13" t="s">
        <x:v>2030</x:v>
      </x:c>
    </x:row>
    <x:row r="920" spans="1:22" s="14" customFormat="1" ht="13.5" customHeight="1">
      <x:c r="A920" s="13"/>
      <x:c r="B920" s="25" t="str">
        <x:f t="shared" si="1"/>
        <x:v>19990526-0120</x:v>
      </x:c>
      <x:c r="C920" s="13" t="s">
        <x:v>1978</x:v>
      </x:c>
      <x:c r="D920" s="13" t="s">
        <x:v>1533</x:v>
      </x:c>
      <x:c r="E920" s="13" t="s">
        <x:v>1568</x:v>
      </x:c>
      <x:c r="F920" s="13" t="s">
        <x:v>1924</x:v>
      </x:c>
      <x:c r="G920" s="13" t="s">
        <x:v>1289</x:v>
      </x:c>
      <x:c r="H920" s="13" t="str">
        <x:f>IFERROR(VLOOKUP(O920,'정보화기기 명부'!A$2:B$187,2,FALSE),"")</x:f>
        <x:v/>
      </x:c>
      <x:c r="I920" s="13"/>
      <x:c r="J920" s="13"/>
      <x:c r="K920" s="13"/>
      <x:c r="L920" s="13">
        <x:v>19990526</x:v>
      </x:c>
      <x:c r="M920" s="13" t="s">
        <x:v>625</x:v>
      </x:c>
      <x:c r="N920" s="13" t="s">
        <x:v>1965</x:v>
      </x:c>
      <x:c r="O920" s="13" t="s">
        <x:v>1372</x:v>
      </x:c>
      <x:c r="P920" s="13">
        <x:v>120</x:v>
      </x:c>
      <x:c r="Q920" s="13" t="s">
        <x:v>466</x:v>
      </x:c>
      <x:c r="R920" s="13" t="s">
        <x:v>1972</x:v>
      </x:c>
      <x:c r="S920" s="13" t="s">
        <x:v>1464</x:v>
      </x:c>
      <x:c r="T920" s="13" t="s">
        <x:v>3152</x:v>
      </x:c>
      <x:c r="U920" s="13"/>
      <x:c r="V920" s="13" t="s">
        <x:v>2030</x:v>
      </x:c>
    </x:row>
    <x:row r="921" spans="1:22" s="14" customFormat="1" ht="13.5" customHeight="1">
      <x:c r="A921" s="13"/>
      <x:c r="B921" s="25" t="str">
        <x:f t="shared" si="1"/>
        <x:v>19990526-0119</x:v>
      </x:c>
      <x:c r="C921" s="13" t="s">
        <x:v>1978</x:v>
      </x:c>
      <x:c r="D921" s="13" t="s">
        <x:v>1533</x:v>
      </x:c>
      <x:c r="E921" s="13" t="s">
        <x:v>1568</x:v>
      </x:c>
      <x:c r="F921" s="13" t="s">
        <x:v>1924</x:v>
      </x:c>
      <x:c r="G921" s="13" t="s">
        <x:v>1289</x:v>
      </x:c>
      <x:c r="H921" s="13" t="str">
        <x:f>IFERROR(VLOOKUP(O921,'정보화기기 명부'!A$2:B$187,2,FALSE),"")</x:f>
        <x:v/>
      </x:c>
      <x:c r="I921" s="13"/>
      <x:c r="J921" s="13"/>
      <x:c r="K921" s="13"/>
      <x:c r="L921" s="13">
        <x:v>19990526</x:v>
      </x:c>
      <x:c r="M921" s="13" t="s">
        <x:v>625</x:v>
      </x:c>
      <x:c r="N921" s="13" t="s">
        <x:v>1965</x:v>
      </x:c>
      <x:c r="O921" s="13" t="s">
        <x:v>1372</x:v>
      </x:c>
      <x:c r="P921" s="13">
        <x:v>119</x:v>
      </x:c>
      <x:c r="Q921" s="13" t="s">
        <x:v>466</x:v>
      </x:c>
      <x:c r="R921" s="13" t="s">
        <x:v>1972</x:v>
      </x:c>
      <x:c r="S921" s="13" t="s">
        <x:v>1464</x:v>
      </x:c>
      <x:c r="T921" s="13" t="s">
        <x:v>3152</x:v>
      </x:c>
      <x:c r="U921" s="13"/>
      <x:c r="V921" s="13" t="s">
        <x:v>2030</x:v>
      </x:c>
    </x:row>
    <x:row r="922" spans="1:22" s="14" customFormat="1" ht="13.5" customHeight="1">
      <x:c r="A922" s="13"/>
      <x:c r="B922" s="25" t="str">
        <x:f t="shared" si="1"/>
        <x:v>19990526-0118</x:v>
      </x:c>
      <x:c r="C922" s="13" t="s">
        <x:v>1978</x:v>
      </x:c>
      <x:c r="D922" s="13" t="s">
        <x:v>1533</x:v>
      </x:c>
      <x:c r="E922" s="13" t="s">
        <x:v>1568</x:v>
      </x:c>
      <x:c r="F922" s="13" t="s">
        <x:v>1924</x:v>
      </x:c>
      <x:c r="G922" s="13" t="s">
        <x:v>1289</x:v>
      </x:c>
      <x:c r="H922" s="13" t="str">
        <x:f>IFERROR(VLOOKUP(O922,'정보화기기 명부'!A$2:B$187,2,FALSE),"")</x:f>
        <x:v/>
      </x:c>
      <x:c r="I922" s="13"/>
      <x:c r="J922" s="13"/>
      <x:c r="K922" s="13"/>
      <x:c r="L922" s="13">
        <x:v>19990526</x:v>
      </x:c>
      <x:c r="M922" s="13" t="s">
        <x:v>625</x:v>
      </x:c>
      <x:c r="N922" s="13" t="s">
        <x:v>1965</x:v>
      </x:c>
      <x:c r="O922" s="13" t="s">
        <x:v>1372</x:v>
      </x:c>
      <x:c r="P922" s="13">
        <x:v>118</x:v>
      </x:c>
      <x:c r="Q922" s="13" t="s">
        <x:v>466</x:v>
      </x:c>
      <x:c r="R922" s="13" t="s">
        <x:v>1972</x:v>
      </x:c>
      <x:c r="S922" s="13" t="s">
        <x:v>1464</x:v>
      </x:c>
      <x:c r="T922" s="13" t="s">
        <x:v>3152</x:v>
      </x:c>
      <x:c r="U922" s="13"/>
      <x:c r="V922" s="13" t="s">
        <x:v>2030</x:v>
      </x:c>
    </x:row>
    <x:row r="923" spans="1:22" s="14" customFormat="1" ht="13.5" customHeight="1">
      <x:c r="A923" s="13"/>
      <x:c r="B923" s="25" t="str">
        <x:f t="shared" si="1"/>
        <x:v>19990526-0117</x:v>
      </x:c>
      <x:c r="C923" s="13" t="s">
        <x:v>1978</x:v>
      </x:c>
      <x:c r="D923" s="13" t="s">
        <x:v>1533</x:v>
      </x:c>
      <x:c r="E923" s="13" t="s">
        <x:v>1568</x:v>
      </x:c>
      <x:c r="F923" s="13" t="s">
        <x:v>1924</x:v>
      </x:c>
      <x:c r="G923" s="13" t="s">
        <x:v>1289</x:v>
      </x:c>
      <x:c r="H923" s="13" t="str">
        <x:f>IFERROR(VLOOKUP(O923,'정보화기기 명부'!A$2:B$187,2,FALSE),"")</x:f>
        <x:v/>
      </x:c>
      <x:c r="I923" s="13"/>
      <x:c r="J923" s="13"/>
      <x:c r="K923" s="13"/>
      <x:c r="L923" s="13">
        <x:v>19990526</x:v>
      </x:c>
      <x:c r="M923" s="13" t="s">
        <x:v>625</x:v>
      </x:c>
      <x:c r="N923" s="13" t="s">
        <x:v>1965</x:v>
      </x:c>
      <x:c r="O923" s="13" t="s">
        <x:v>1372</x:v>
      </x:c>
      <x:c r="P923" s="13">
        <x:v>117</x:v>
      </x:c>
      <x:c r="Q923" s="13" t="s">
        <x:v>466</x:v>
      </x:c>
      <x:c r="R923" s="13" t="s">
        <x:v>1972</x:v>
      </x:c>
      <x:c r="S923" s="13" t="s">
        <x:v>1464</x:v>
      </x:c>
      <x:c r="T923" s="13" t="s">
        <x:v>3152</x:v>
      </x:c>
      <x:c r="U923" s="13"/>
      <x:c r="V923" s="13" t="s">
        <x:v>2030</x:v>
      </x:c>
    </x:row>
    <x:row r="924" spans="1:22" s="14" customFormat="1" ht="13.5" customHeight="1">
      <x:c r="A924" s="13" t="str">
        <x:f>O924</x:f>
        <x:v>김지연</x:v>
      </x:c>
      <x:c r="B924" s="25" t="str">
        <x:f t="shared" si="1"/>
        <x:v>19990526-0116</x:v>
      </x:c>
      <x:c r="C924" s="13" t="s">
        <x:v>1978</x:v>
      </x:c>
      <x:c r="D924" s="13" t="s">
        <x:v>1533</x:v>
      </x:c>
      <x:c r="E924" s="13" t="s">
        <x:v>1543</x:v>
      </x:c>
      <x:c r="F924" s="13" t="s">
        <x:v>1924</x:v>
      </x:c>
      <x:c r="G924" s="13" t="s">
        <x:v>1289</x:v>
      </x:c>
      <x:c r="H924" s="13" t="str">
        <x:f>IFERROR(VLOOKUP(O924,'정보화기기 명부'!A$2:B$187,2,FALSE),"")</x:f>
        <x:v/>
      </x:c>
      <x:c r="I924" s="13"/>
      <x:c r="J924" s="13"/>
      <x:c r="K924" s="13"/>
      <x:c r="L924" s="13">
        <x:v>19990526</x:v>
      </x:c>
      <x:c r="M924" s="13" t="s">
        <x:v>625</x:v>
      </x:c>
      <x:c r="N924" s="13" t="s">
        <x:v>1965</x:v>
      </x:c>
      <x:c r="O924" s="13" t="s">
        <x:v>1401</x:v>
      </x:c>
      <x:c r="P924" s="13">
        <x:v>116</x:v>
      </x:c>
      <x:c r="Q924" s="13" t="s">
        <x:v>466</x:v>
      </x:c>
      <x:c r="R924" s="13" t="s">
        <x:v>1972</x:v>
      </x:c>
      <x:c r="S924" s="13" t="s">
        <x:v>1464</x:v>
      </x:c>
      <x:c r="T924" s="13" t="s">
        <x:v>3152</x:v>
      </x:c>
      <x:c r="U924" s="13"/>
      <x:c r="V924" s="13" t="s">
        <x:v>2030</x:v>
      </x:c>
    </x:row>
    <x:row r="925" spans="1:22" s="14" customFormat="1" ht="13.5" customHeight="1">
      <x:c r="A925" s="13"/>
      <x:c r="B925" s="25" t="str">
        <x:f t="shared" si="1"/>
        <x:v>19990526-0115</x:v>
      </x:c>
      <x:c r="C925" s="13" t="s">
        <x:v>1978</x:v>
      </x:c>
      <x:c r="D925" s="13" t="s">
        <x:v>1533</x:v>
      </x:c>
      <x:c r="E925" s="13" t="s">
        <x:v>1568</x:v>
      </x:c>
      <x:c r="F925" s="13" t="s">
        <x:v>1924</x:v>
      </x:c>
      <x:c r="G925" s="13" t="s">
        <x:v>1289</x:v>
      </x:c>
      <x:c r="H925" s="13" t="str">
        <x:f>IFERROR(VLOOKUP(O925,'정보화기기 명부'!A$2:B$187,2,FALSE),"")</x:f>
        <x:v/>
      </x:c>
      <x:c r="I925" s="13"/>
      <x:c r="J925" s="13"/>
      <x:c r="K925" s="13"/>
      <x:c r="L925" s="13">
        <x:v>19990526</x:v>
      </x:c>
      <x:c r="M925" s="13" t="s">
        <x:v>625</x:v>
      </x:c>
      <x:c r="N925" s="13" t="s">
        <x:v>1965</x:v>
      </x:c>
      <x:c r="O925" s="13" t="s">
        <x:v>1372</x:v>
      </x:c>
      <x:c r="P925" s="13">
        <x:v>115</x:v>
      </x:c>
      <x:c r="Q925" s="13" t="s">
        <x:v>466</x:v>
      </x:c>
      <x:c r="R925" s="13" t="s">
        <x:v>1972</x:v>
      </x:c>
      <x:c r="S925" s="13" t="s">
        <x:v>1464</x:v>
      </x:c>
      <x:c r="T925" s="13" t="s">
        <x:v>3152</x:v>
      </x:c>
      <x:c r="U925" s="13"/>
      <x:c r="V925" s="13" t="s">
        <x:v>2030</x:v>
      </x:c>
    </x:row>
    <x:row r="926" spans="1:22" s="14" customFormat="1" ht="13.5" customHeight="1">
      <x:c r="A926" s="13"/>
      <x:c r="B926" s="25" t="str">
        <x:f t="shared" si="1"/>
        <x:v>19990526-0114</x:v>
      </x:c>
      <x:c r="C926" s="13" t="s">
        <x:v>1978</x:v>
      </x:c>
      <x:c r="D926" s="13" t="s">
        <x:v>1533</x:v>
      </x:c>
      <x:c r="E926" s="13" t="s">
        <x:v>1568</x:v>
      </x:c>
      <x:c r="F926" s="13" t="s">
        <x:v>1924</x:v>
      </x:c>
      <x:c r="G926" s="13" t="s">
        <x:v>1289</x:v>
      </x:c>
      <x:c r="H926" s="13" t="str">
        <x:f>IFERROR(VLOOKUP(O926,'정보화기기 명부'!A$2:B$187,2,FALSE),"")</x:f>
        <x:v/>
      </x:c>
      <x:c r="I926" s="13"/>
      <x:c r="J926" s="13"/>
      <x:c r="K926" s="13"/>
      <x:c r="L926" s="13">
        <x:v>19990526</x:v>
      </x:c>
      <x:c r="M926" s="13" t="s">
        <x:v>625</x:v>
      </x:c>
      <x:c r="N926" s="13" t="s">
        <x:v>1965</x:v>
      </x:c>
      <x:c r="O926" s="13" t="s">
        <x:v>1372</x:v>
      </x:c>
      <x:c r="P926" s="13">
        <x:v>114</x:v>
      </x:c>
      <x:c r="Q926" s="13" t="s">
        <x:v>466</x:v>
      </x:c>
      <x:c r="R926" s="13" t="s">
        <x:v>1972</x:v>
      </x:c>
      <x:c r="S926" s="13" t="s">
        <x:v>1464</x:v>
      </x:c>
      <x:c r="T926" s="13" t="s">
        <x:v>3152</x:v>
      </x:c>
      <x:c r="U926" s="13"/>
      <x:c r="V926" s="13" t="s">
        <x:v>2030</x:v>
      </x:c>
    </x:row>
    <x:row r="927" spans="1:22" s="14" customFormat="1" ht="13.5" customHeight="1">
      <x:c r="A927" s="13"/>
      <x:c r="B927" s="25" t="str">
        <x:f t="shared" si="1"/>
        <x:v>19990526-0113</x:v>
      </x:c>
      <x:c r="C927" s="13" t="s">
        <x:v>1978</x:v>
      </x:c>
      <x:c r="D927" s="13" t="s">
        <x:v>1533</x:v>
      </x:c>
      <x:c r="E927" s="13" t="s">
        <x:v>1568</x:v>
      </x:c>
      <x:c r="F927" s="13" t="s">
        <x:v>1924</x:v>
      </x:c>
      <x:c r="G927" s="13" t="s">
        <x:v>1289</x:v>
      </x:c>
      <x:c r="H927" s="13" t="str">
        <x:f>IFERROR(VLOOKUP(O927,'정보화기기 명부'!A$2:B$187,2,FALSE),"")</x:f>
        <x:v/>
      </x:c>
      <x:c r="I927" s="13"/>
      <x:c r="J927" s="13"/>
      <x:c r="K927" s="13"/>
      <x:c r="L927" s="13">
        <x:v>19990526</x:v>
      </x:c>
      <x:c r="M927" s="13" t="s">
        <x:v>625</x:v>
      </x:c>
      <x:c r="N927" s="13" t="s">
        <x:v>1965</x:v>
      </x:c>
      <x:c r="O927" s="13" t="s">
        <x:v>1372</x:v>
      </x:c>
      <x:c r="P927" s="13">
        <x:v>113</x:v>
      </x:c>
      <x:c r="Q927" s="13" t="s">
        <x:v>466</x:v>
      </x:c>
      <x:c r="R927" s="13" t="s">
        <x:v>1972</x:v>
      </x:c>
      <x:c r="S927" s="13" t="s">
        <x:v>1464</x:v>
      </x:c>
      <x:c r="T927" s="13" t="s">
        <x:v>3152</x:v>
      </x:c>
      <x:c r="U927" s="13"/>
      <x:c r="V927" s="13" t="s">
        <x:v>2030</x:v>
      </x:c>
    </x:row>
    <x:row r="928" spans="1:22" s="14" customFormat="1" ht="13.5" customHeight="1">
      <x:c r="A928" s="13"/>
      <x:c r="B928" s="25" t="str">
        <x:f t="shared" ref="B928:B960" si="2">L928&amp;"-"&amp;TEXT(P928,"0000")</x:f>
        <x:v>19990526-0112</x:v>
      </x:c>
      <x:c r="C928" s="13" t="s">
        <x:v>1978</x:v>
      </x:c>
      <x:c r="D928" s="13" t="s">
        <x:v>1533</x:v>
      </x:c>
      <x:c r="E928" s="13" t="s">
        <x:v>1568</x:v>
      </x:c>
      <x:c r="F928" s="13" t="s">
        <x:v>1924</x:v>
      </x:c>
      <x:c r="G928" s="13" t="s">
        <x:v>1289</x:v>
      </x:c>
      <x:c r="H928" s="13" t="str">
        <x:f>IFERROR(VLOOKUP(O928,'정보화기기 명부'!A$2:B$187,2,FALSE),"")</x:f>
        <x:v/>
      </x:c>
      <x:c r="I928" s="13"/>
      <x:c r="J928" s="13"/>
      <x:c r="K928" s="13"/>
      <x:c r="L928" s="13">
        <x:v>19990526</x:v>
      </x:c>
      <x:c r="M928" s="13" t="s">
        <x:v>625</x:v>
      </x:c>
      <x:c r="N928" s="13" t="s">
        <x:v>1965</x:v>
      </x:c>
      <x:c r="O928" s="13" t="s">
        <x:v>1372</x:v>
      </x:c>
      <x:c r="P928" s="13">
        <x:v>112</x:v>
      </x:c>
      <x:c r="Q928" s="13" t="s">
        <x:v>466</x:v>
      </x:c>
      <x:c r="R928" s="13" t="s">
        <x:v>1972</x:v>
      </x:c>
      <x:c r="S928" s="13" t="s">
        <x:v>1464</x:v>
      </x:c>
      <x:c r="T928" s="13" t="s">
        <x:v>3152</x:v>
      </x:c>
      <x:c r="U928" s="13"/>
      <x:c r="V928" s="13" t="s">
        <x:v>2030</x:v>
      </x:c>
    </x:row>
    <x:row r="929" spans="1:22" s="14" customFormat="1" ht="13.5" customHeight="1">
      <x:c r="A929" s="13"/>
      <x:c r="B929" s="25" t="str">
        <x:f t="shared" si="2"/>
        <x:v>19990526-0111</x:v>
      </x:c>
      <x:c r="C929" s="13" t="s">
        <x:v>1978</x:v>
      </x:c>
      <x:c r="D929" s="13" t="s">
        <x:v>1533</x:v>
      </x:c>
      <x:c r="E929" s="13" t="s">
        <x:v>1568</x:v>
      </x:c>
      <x:c r="F929" s="13" t="s">
        <x:v>1924</x:v>
      </x:c>
      <x:c r="G929" s="13" t="s">
        <x:v>1289</x:v>
      </x:c>
      <x:c r="H929" s="13" t="str">
        <x:f>IFERROR(VLOOKUP(O929,'정보화기기 명부'!A$2:B$187,2,FALSE),"")</x:f>
        <x:v/>
      </x:c>
      <x:c r="I929" s="13"/>
      <x:c r="J929" s="13"/>
      <x:c r="K929" s="13"/>
      <x:c r="L929" s="13">
        <x:v>19990526</x:v>
      </x:c>
      <x:c r="M929" s="13" t="s">
        <x:v>625</x:v>
      </x:c>
      <x:c r="N929" s="13" t="s">
        <x:v>1965</x:v>
      </x:c>
      <x:c r="O929" s="13" t="s">
        <x:v>1372</x:v>
      </x:c>
      <x:c r="P929" s="13">
        <x:v>111</x:v>
      </x:c>
      <x:c r="Q929" s="13" t="s">
        <x:v>466</x:v>
      </x:c>
      <x:c r="R929" s="13" t="s">
        <x:v>1972</x:v>
      </x:c>
      <x:c r="S929" s="13" t="s">
        <x:v>1464</x:v>
      </x:c>
      <x:c r="T929" s="13" t="s">
        <x:v>3152</x:v>
      </x:c>
      <x:c r="U929" s="13"/>
      <x:c r="V929" s="13" t="s">
        <x:v>2030</x:v>
      </x:c>
    </x:row>
    <x:row r="930" spans="1:22" s="14" customFormat="1" ht="13.5" customHeight="1">
      <x:c r="A930" s="13"/>
      <x:c r="B930" s="25" t="str">
        <x:f t="shared" si="2"/>
        <x:v>19990526-0110</x:v>
      </x:c>
      <x:c r="C930" s="13" t="s">
        <x:v>1978</x:v>
      </x:c>
      <x:c r="D930" s="13" t="s">
        <x:v>1533</x:v>
      </x:c>
      <x:c r="E930" s="13" t="s">
        <x:v>1568</x:v>
      </x:c>
      <x:c r="F930" s="13" t="s">
        <x:v>1924</x:v>
      </x:c>
      <x:c r="G930" s="13" t="s">
        <x:v>1289</x:v>
      </x:c>
      <x:c r="H930" s="13" t="str">
        <x:f>IFERROR(VLOOKUP(O930,'정보화기기 명부'!A$2:B$187,2,FALSE),"")</x:f>
        <x:v/>
      </x:c>
      <x:c r="I930" s="13"/>
      <x:c r="J930" s="13"/>
      <x:c r="K930" s="13"/>
      <x:c r="L930" s="13">
        <x:v>19990526</x:v>
      </x:c>
      <x:c r="M930" s="13" t="s">
        <x:v>625</x:v>
      </x:c>
      <x:c r="N930" s="13" t="s">
        <x:v>1965</x:v>
      </x:c>
      <x:c r="O930" s="13" t="s">
        <x:v>1372</x:v>
      </x:c>
      <x:c r="P930" s="13">
        <x:v>110</x:v>
      </x:c>
      <x:c r="Q930" s="13" t="s">
        <x:v>466</x:v>
      </x:c>
      <x:c r="R930" s="13" t="s">
        <x:v>1972</x:v>
      </x:c>
      <x:c r="S930" s="13" t="s">
        <x:v>1464</x:v>
      </x:c>
      <x:c r="T930" s="13" t="s">
        <x:v>3152</x:v>
      </x:c>
      <x:c r="U930" s="13"/>
      <x:c r="V930" s="13" t="s">
        <x:v>2030</x:v>
      </x:c>
    </x:row>
    <x:row r="931" spans="1:22" s="14" customFormat="1" ht="13.5" customHeight="1">
      <x:c r="A931" s="13"/>
      <x:c r="B931" s="25" t="str">
        <x:f t="shared" si="2"/>
        <x:v>19990526-0109</x:v>
      </x:c>
      <x:c r="C931" s="13" t="s">
        <x:v>1978</x:v>
      </x:c>
      <x:c r="D931" s="13" t="s">
        <x:v>1533</x:v>
      </x:c>
      <x:c r="E931" s="13" t="s">
        <x:v>1568</x:v>
      </x:c>
      <x:c r="F931" s="13" t="s">
        <x:v>1924</x:v>
      </x:c>
      <x:c r="G931" s="13" t="s">
        <x:v>1289</x:v>
      </x:c>
      <x:c r="H931" s="13" t="str">
        <x:f>IFERROR(VLOOKUP(O931,'정보화기기 명부'!A$2:B$187,2,FALSE),"")</x:f>
        <x:v/>
      </x:c>
      <x:c r="I931" s="13"/>
      <x:c r="J931" s="13"/>
      <x:c r="K931" s="13"/>
      <x:c r="L931" s="13">
        <x:v>19990526</x:v>
      </x:c>
      <x:c r="M931" s="13" t="s">
        <x:v>625</x:v>
      </x:c>
      <x:c r="N931" s="13" t="s">
        <x:v>1965</x:v>
      </x:c>
      <x:c r="O931" s="13" t="s">
        <x:v>1372</x:v>
      </x:c>
      <x:c r="P931" s="13">
        <x:v>109</x:v>
      </x:c>
      <x:c r="Q931" s="13" t="s">
        <x:v>466</x:v>
      </x:c>
      <x:c r="R931" s="13" t="s">
        <x:v>1972</x:v>
      </x:c>
      <x:c r="S931" s="13" t="s">
        <x:v>1464</x:v>
      </x:c>
      <x:c r="T931" s="13" t="s">
        <x:v>3152</x:v>
      </x:c>
      <x:c r="U931" s="13"/>
      <x:c r="V931" s="13" t="s">
        <x:v>2030</x:v>
      </x:c>
    </x:row>
    <x:row r="932" spans="1:22" s="14" customFormat="1" ht="13.5" customHeight="1">
      <x:c r="A932" s="13"/>
      <x:c r="B932" s="25" t="str">
        <x:f t="shared" si="2"/>
        <x:v>19990526-0101</x:v>
      </x:c>
      <x:c r="C932" s="13" t="s">
        <x:v>1978</x:v>
      </x:c>
      <x:c r="D932" s="13" t="s">
        <x:v>1533</x:v>
      </x:c>
      <x:c r="E932" s="13" t="s">
        <x:v>1251</x:v>
      </x:c>
      <x:c r="F932" s="13" t="s">
        <x:v>1924</x:v>
      </x:c>
      <x:c r="G932" s="13" t="s">
        <x:v>1289</x:v>
      </x:c>
      <x:c r="H932" s="13" t="str">
        <x:f>IFERROR(VLOOKUP(O932,'정보화기기 명부'!A$2:B$187,2,FALSE),"")</x:f>
        <x:v/>
      </x:c>
      <x:c r="I932" s="13"/>
      <x:c r="J932" s="13"/>
      <x:c r="K932" s="13"/>
      <x:c r="L932" s="13">
        <x:v>19990526</x:v>
      </x:c>
      <x:c r="M932" s="13" t="s">
        <x:v>625</x:v>
      </x:c>
      <x:c r="N932" s="13" t="s">
        <x:v>1965</x:v>
      </x:c>
      <x:c r="O932" s="13" t="s">
        <x:v>1416</x:v>
      </x:c>
      <x:c r="P932" s="13">
        <x:v>101</x:v>
      </x:c>
      <x:c r="Q932" s="13" t="s">
        <x:v>466</x:v>
      </x:c>
      <x:c r="R932" s="13" t="s">
        <x:v>1956</x:v>
      </x:c>
      <x:c r="S932" s="13" t="s">
        <x:v>1544</x:v>
      </x:c>
      <x:c r="T932" s="13" t="s">
        <x:v>3149</x:v>
      </x:c>
      <x:c r="U932" s="13"/>
      <x:c r="V932" s="13" t="s">
        <x:v>2030</x:v>
      </x:c>
    </x:row>
    <x:row r="933" spans="1:22" s="14" customFormat="1" ht="13.5" customHeight="1">
      <x:c r="A933" s="13" t="str">
        <x:f>O933</x:f>
        <x:v>이재광</x:v>
      </x:c>
      <x:c r="B933" s="25" t="str">
        <x:f t="shared" si="2"/>
        <x:v>19990526-0077</x:v>
      </x:c>
      <x:c r="C933" s="13" t="s">
        <x:v>1978</x:v>
      </x:c>
      <x:c r="D933" s="13" t="s">
        <x:v>1533</x:v>
      </x:c>
      <x:c r="E933" s="13" t="s">
        <x:v>1543</x:v>
      </x:c>
      <x:c r="F933" s="13" t="s">
        <x:v>1924</x:v>
      </x:c>
      <x:c r="G933" s="13" t="s">
        <x:v>1289</x:v>
      </x:c>
      <x:c r="H933" s="13" t="str">
        <x:f>IFERROR(VLOOKUP(O933,'정보화기기 명부'!A$2:B$187,2,FALSE),"")</x:f>
        <x:v/>
      </x:c>
      <x:c r="I933" s="13"/>
      <x:c r="J933" s="13"/>
      <x:c r="K933" s="13"/>
      <x:c r="L933" s="13">
        <x:v>19990526</x:v>
      </x:c>
      <x:c r="M933" s="13" t="s">
        <x:v>625</x:v>
      </x:c>
      <x:c r="N933" s="13" t="s">
        <x:v>1965</x:v>
      </x:c>
      <x:c r="O933" s="13" t="s">
        <x:v>1465</x:v>
      </x:c>
      <x:c r="P933" s="13">
        <x:v>77</x:v>
      </x:c>
      <x:c r="Q933" s="13" t="s">
        <x:v>466</x:v>
      </x:c>
      <x:c r="R933" s="13" t="s">
        <x:v>1956</x:v>
      </x:c>
      <x:c r="S933" s="13" t="s">
        <x:v>1544</x:v>
      </x:c>
      <x:c r="T933" s="13" t="s">
        <x:v>3149</x:v>
      </x:c>
      <x:c r="U933" s="13"/>
      <x:c r="V933" s="13" t="s">
        <x:v>2030</x:v>
      </x:c>
    </x:row>
    <x:row r="934" spans="1:22" s="14" customFormat="1" ht="13.5" customHeight="1">
      <x:c r="A934" s="13" t="str">
        <x:f>O934</x:f>
        <x:v>류명수</x:v>
      </x:c>
      <x:c r="B934" s="25" t="str">
        <x:f t="shared" si="2"/>
        <x:v>19990526-0076</x:v>
      </x:c>
      <x:c r="C934" s="16" t="s">
        <x:v>1978</x:v>
      </x:c>
      <x:c r="D934" s="16" t="s">
        <x:v>1533</x:v>
      </x:c>
      <x:c r="E934" s="16" t="s">
        <x:v>1543</x:v>
      </x:c>
      <x:c r="F934" s="16" t="s">
        <x:v>1924</x:v>
      </x:c>
      <x:c r="G934" s="16" t="s">
        <x:v>1289</x:v>
      </x:c>
      <x:c r="H934" s="16" t="str">
        <x:f>IFERROR(VLOOKUP(O934,'정보화기기 명부'!A$2:B$187,2,FALSE),"")</x:f>
        <x:v/>
      </x:c>
      <x:c r="I934" s="16"/>
      <x:c r="J934" s="16"/>
      <x:c r="K934" s="16"/>
      <x:c r="L934" s="16">
        <x:v>19990526</x:v>
      </x:c>
      <x:c r="M934" s="16" t="s">
        <x:v>625</x:v>
      </x:c>
      <x:c r="N934" s="16" t="s">
        <x:v>1965</x:v>
      </x:c>
      <x:c r="O934" s="16" t="s">
        <x:v>1435</x:v>
      </x:c>
      <x:c r="P934" s="16">
        <x:v>76</x:v>
      </x:c>
      <x:c r="Q934" s="16" t="s">
        <x:v>466</x:v>
      </x:c>
      <x:c r="R934" s="16" t="s">
        <x:v>1956</x:v>
      </x:c>
      <x:c r="S934" s="16" t="s">
        <x:v>1544</x:v>
      </x:c>
      <x:c r="T934" s="16" t="s">
        <x:v>3149</x:v>
      </x:c>
      <x:c r="U934" s="16"/>
      <x:c r="V934" s="16" t="s">
        <x:v>2030</x:v>
      </x:c>
    </x:row>
    <x:row r="935" spans="1:26" s="14" customFormat="1" ht="13.5" customHeight="1">
      <x:c r="A935" s="13" t="str">
        <x:f>O935</x:f>
        <x:v>김호진</x:v>
      </x:c>
      <x:c r="B935" s="25" t="str">
        <x:f t="shared" si="2"/>
        <x:v>19990526-0033</x:v>
      </x:c>
      <x:c r="C935" s="16" t="s">
        <x:v>1978</x:v>
      </x:c>
      <x:c r="D935" s="16" t="s">
        <x:v>1533</x:v>
      </x:c>
      <x:c r="E935" s="16" t="s">
        <x:v>1251</x:v>
      </x:c>
      <x:c r="F935" s="16" t="s">
        <x:v>1924</x:v>
      </x:c>
      <x:c r="G935" s="16" t="s">
        <x:v>1289</x:v>
      </x:c>
      <x:c r="H935" s="16" t="str">
        <x:f>IFERROR(VLOOKUP(O935,'정보화기기 명부'!A$2:B$187,2,FALSE),"")</x:f>
        <x:v/>
      </x:c>
      <x:c r="I935" s="16"/>
      <x:c r="J935" s="16"/>
      <x:c r="K935" s="16"/>
      <x:c r="L935" s="16">
        <x:v>19990526</x:v>
      </x:c>
      <x:c r="M935" s="16" t="s">
        <x:v>625</x:v>
      </x:c>
      <x:c r="N935" s="16" t="s">
        <x:v>1965</x:v>
      </x:c>
      <x:c r="O935" s="16" t="s">
        <x:v>1478</x:v>
      </x:c>
      <x:c r="P935" s="16">
        <x:v>33</x:v>
      </x:c>
      <x:c r="Q935" s="16" t="s">
        <x:v>572</x:v>
      </x:c>
      <x:c r="R935" s="16" t="s">
        <x:v>1956</x:v>
      </x:c>
      <x:c r="S935" s="16" t="s">
        <x:v>1301</x:v>
      </x:c>
      <x:c r="T935" s="16" t="s">
        <x:v>3149</x:v>
      </x:c>
      <x:c r="U935" s="16"/>
      <x:c r="V935" s="16" t="s">
        <x:v>2030</x:v>
      </x:c>
      <x:c r="Y935" s="23"/>
      <x:c r="Z935" s="24"/>
    </x:row>
    <x:row r="936" spans="1:26" s="14" customFormat="1" ht="13.5" customHeight="1">
      <x:c r="A936" s="13" t="str">
        <x:f>O936</x:f>
        <x:v>전영애</x:v>
      </x:c>
      <x:c r="B936" s="25" t="str">
        <x:f t="shared" si="2"/>
        <x:v>19990526-0032</x:v>
      </x:c>
      <x:c r="C936" s="16" t="s">
        <x:v>1978</x:v>
      </x:c>
      <x:c r="D936" s="16" t="s">
        <x:v>1533</x:v>
      </x:c>
      <x:c r="E936" s="16" t="s">
        <x:v>1543</x:v>
      </x:c>
      <x:c r="F936" s="16" t="s">
        <x:v>1924</x:v>
      </x:c>
      <x:c r="G936" s="16" t="s">
        <x:v>1289</x:v>
      </x:c>
      <x:c r="H936" s="16" t="str">
        <x:f>IFERROR(VLOOKUP(O936,'정보화기기 명부'!A$2:B$187,2,FALSE),"")</x:f>
        <x:v/>
      </x:c>
      <x:c r="I936" s="16"/>
      <x:c r="J936" s="16"/>
      <x:c r="K936" s="16"/>
      <x:c r="L936" s="16">
        <x:v>19990526</x:v>
      </x:c>
      <x:c r="M936" s="16" t="s">
        <x:v>625</x:v>
      </x:c>
      <x:c r="N936" s="16" t="s">
        <x:v>1965</x:v>
      </x:c>
      <x:c r="O936" s="16" t="s">
        <x:v>1402</x:v>
      </x:c>
      <x:c r="P936" s="16">
        <x:v>32</x:v>
      </x:c>
      <x:c r="Q936" s="16" t="s">
        <x:v>466</x:v>
      </x:c>
      <x:c r="R936" s="16" t="s">
        <x:v>1972</x:v>
      </x:c>
      <x:c r="S936" s="16" t="s">
        <x:v>1544</x:v>
      </x:c>
      <x:c r="T936" s="16" t="s">
        <x:v>3149</x:v>
      </x:c>
      <x:c r="U936" s="16"/>
      <x:c r="V936" s="16" t="s">
        <x:v>2030</x:v>
      </x:c>
      <x:c r="Y936" s="23"/>
      <x:c r="Z936" s="24"/>
    </x:row>
    <x:row r="937" spans="1:26" s="14" customFormat="1" ht="13.5" customHeight="1">
      <x:c r="A937" s="13"/>
      <x:c r="B937" s="25" t="str">
        <x:f t="shared" si="2"/>
        <x:v>19990526-0031</x:v>
      </x:c>
      <x:c r="C937" s="16" t="s">
        <x:v>1978</x:v>
      </x:c>
      <x:c r="D937" s="16" t="s">
        <x:v>1533</x:v>
      </x:c>
      <x:c r="E937" s="16" t="s">
        <x:v>1251</x:v>
      </x:c>
      <x:c r="F937" s="16" t="s">
        <x:v>1924</x:v>
      </x:c>
      <x:c r="G937" s="16" t="s">
        <x:v>1289</x:v>
      </x:c>
      <x:c r="H937" s="16" t="str">
        <x:f>IFERROR(VLOOKUP(O937,'정보화기기 명부'!A$2:B$187,2,FALSE),"")</x:f>
        <x:v/>
      </x:c>
      <x:c r="I937" s="16"/>
      <x:c r="J937" s="16"/>
      <x:c r="K937" s="16"/>
      <x:c r="L937" s="16">
        <x:v>19990526</x:v>
      </x:c>
      <x:c r="M937" s="16" t="s">
        <x:v>625</x:v>
      </x:c>
      <x:c r="N937" s="16" t="s">
        <x:v>1965</x:v>
      </x:c>
      <x:c r="O937" s="16" t="s">
        <x:v>1407</x:v>
      </x:c>
      <x:c r="P937" s="16">
        <x:v>31</x:v>
      </x:c>
      <x:c r="Q937" s="16" t="s">
        <x:v>466</x:v>
      </x:c>
      <x:c r="R937" s="16" t="s">
        <x:v>1972</x:v>
      </x:c>
      <x:c r="S937" s="16" t="s">
        <x:v>1464</x:v>
      </x:c>
      <x:c r="T937" s="16" t="s">
        <x:v>3152</x:v>
      </x:c>
      <x:c r="U937" s="16"/>
      <x:c r="V937" s="16" t="s">
        <x:v>2030</x:v>
      </x:c>
      <x:c r="Y937" s="23"/>
      <x:c r="Z937" s="24"/>
    </x:row>
    <x:row r="938" spans="1:26" s="14" customFormat="1" ht="13.5" customHeight="1">
      <x:c r="A938" s="13" t="str">
        <x:f>O938</x:f>
        <x:v>김유리</x:v>
      </x:c>
      <x:c r="B938" s="25" t="str">
        <x:f t="shared" si="2"/>
        <x:v>19990526-0010</x:v>
      </x:c>
      <x:c r="C938" s="19" t="s">
        <x:v>1978</x:v>
      </x:c>
      <x:c r="D938" s="19" t="s">
        <x:v>1533</x:v>
      </x:c>
      <x:c r="E938" s="19" t="s">
        <x:v>1251</x:v>
      </x:c>
      <x:c r="F938" s="19" t="s">
        <x:v>1924</x:v>
      </x:c>
      <x:c r="G938" s="19" t="s">
        <x:v>1289</x:v>
      </x:c>
      <x:c r="H938" s="19" t="str">
        <x:f>IFERROR(VLOOKUP(O938,'정보화기기 명부'!A$2:B$187,2,FALSE),"")</x:f>
        <x:v/>
      </x:c>
      <x:c r="I938" s="19"/>
      <x:c r="J938" s="19"/>
      <x:c r="K938" s="19"/>
      <x:c r="L938" s="19">
        <x:v>19990526</x:v>
      </x:c>
      <x:c r="M938" s="19" t="s">
        <x:v>625</x:v>
      </x:c>
      <x:c r="N938" s="19" t="s">
        <x:v>1965</x:v>
      </x:c>
      <x:c r="O938" s="19" t="s">
        <x:v>1468</x:v>
      </x:c>
      <x:c r="P938" s="19">
        <x:v>10</x:v>
      </x:c>
      <x:c r="Q938" s="19" t="s">
        <x:v>572</x:v>
      </x:c>
      <x:c r="R938" s="19" t="s">
        <x:v>1956</x:v>
      </x:c>
      <x:c r="S938" s="19" t="s">
        <x:v>1301</x:v>
      </x:c>
      <x:c r="T938" s="19" t="s">
        <x:v>3149</x:v>
      </x:c>
      <x:c r="U938" s="19"/>
      <x:c r="V938" s="19" t="s">
        <x:v>2089</x:v>
      </x:c>
      <x:c r="Y938" s="23"/>
      <x:c r="Z938" s="24"/>
    </x:row>
    <x:row r="939" spans="1:22" s="14" customFormat="1" ht="13.5" customHeight="1">
      <x:c r="A939" s="13" t="str">
        <x:f>O939</x:f>
        <x:v>차명희</x:v>
      </x:c>
      <x:c r="B939" s="25" t="str">
        <x:f t="shared" si="2"/>
        <x:v>19990526-0009</x:v>
      </x:c>
      <x:c r="C939" s="13" t="s">
        <x:v>1978</x:v>
      </x:c>
      <x:c r="D939" s="13" t="s">
        <x:v>1533</x:v>
      </x:c>
      <x:c r="E939" s="13" t="s">
        <x:v>1251</x:v>
      </x:c>
      <x:c r="F939" s="13" t="s">
        <x:v>1924</x:v>
      </x:c>
      <x:c r="G939" s="13" t="s">
        <x:v>1289</x:v>
      </x:c>
      <x:c r="H939" s="13" t="str">
        <x:f>IFERROR(VLOOKUP(O939,'정보화기기 명부'!A$2:B$187,2,FALSE),"")</x:f>
        <x:v/>
      </x:c>
      <x:c r="I939" s="13"/>
      <x:c r="J939" s="13"/>
      <x:c r="K939" s="13"/>
      <x:c r="L939" s="13">
        <x:v>19990526</x:v>
      </x:c>
      <x:c r="M939" s="13" t="s">
        <x:v>625</x:v>
      </x:c>
      <x:c r="N939" s="13" t="s">
        <x:v>1965</x:v>
      </x:c>
      <x:c r="O939" s="13" t="s">
        <x:v>1389</x:v>
      </x:c>
      <x:c r="P939" s="13">
        <x:v>9</x:v>
      </x:c>
      <x:c r="Q939" s="13" t="s">
        <x:v>572</x:v>
      </x:c>
      <x:c r="R939" s="13" t="s">
        <x:v>1956</x:v>
      </x:c>
      <x:c r="S939" s="13" t="s">
        <x:v>1301</x:v>
      </x:c>
      <x:c r="T939" s="13" t="s">
        <x:v>3149</x:v>
      </x:c>
      <x:c r="U939" s="13"/>
      <x:c r="V939" s="13" t="s">
        <x:v>2089</x:v>
      </x:c>
    </x:row>
    <x:row r="940" spans="1:22" s="14" customFormat="1" ht="13.5" customHeight="1">
      <x:c r="A940" s="13"/>
      <x:c r="B940" s="25" t="str">
        <x:f t="shared" si="2"/>
        <x:v>19990101-0142</x:v>
      </x:c>
      <x:c r="C940" s="13" t="s">
        <x:v>1978</x:v>
      </x:c>
      <x:c r="D940" s="13" t="s">
        <x:v>1533</x:v>
      </x:c>
      <x:c r="E940" s="13" t="s">
        <x:v>1568</x:v>
      </x:c>
      <x:c r="F940" s="13" t="s">
        <x:v>2006</x:v>
      </x:c>
      <x:c r="G940" s="13" t="s">
        <x:v>1289</x:v>
      </x:c>
      <x:c r="H940" s="13" t="str">
        <x:f>IFERROR(VLOOKUP(O940,'정보화기기 명부'!A$2:B$187,2,FALSE),"")</x:f>
        <x:v/>
      </x:c>
      <x:c r="I940" s="13"/>
      <x:c r="J940" s="13"/>
      <x:c r="K940" s="13"/>
      <x:c r="L940" s="13">
        <x:v>19990101</x:v>
      </x:c>
      <x:c r="M940" s="13" t="s">
        <x:v>1984</x:v>
      </x:c>
      <x:c r="N940" s="13" t="s">
        <x:v>1965</x:v>
      </x:c>
      <x:c r="O940" s="13" t="s">
        <x:v>1372</x:v>
      </x:c>
      <x:c r="P940" s="13">
        <x:v>142</x:v>
      </x:c>
      <x:c r="Q940" s="13" t="s">
        <x:v>466</x:v>
      </x:c>
      <x:c r="R940" s="13" t="s">
        <x:v>1967</x:v>
      </x:c>
      <x:c r="S940" s="13" t="s">
        <x:v>1448</x:v>
      </x:c>
      <x:c r="T940" s="13" t="s">
        <x:v>1469</x:v>
      </x:c>
      <x:c r="U940" s="13"/>
      <x:c r="V940" s="13" t="s">
        <x:v>2030</x:v>
      </x:c>
    </x:row>
    <x:row r="941" spans="1:22" s="14" customFormat="1" ht="13.5" customHeight="1">
      <x:c r="A941" s="13"/>
      <x:c r="B941" s="25" t="str">
        <x:f t="shared" si="2"/>
        <x:v>19990101-0141</x:v>
      </x:c>
      <x:c r="C941" s="13" t="s">
        <x:v>1978</x:v>
      </x:c>
      <x:c r="D941" s="13" t="s">
        <x:v>1533</x:v>
      </x:c>
      <x:c r="E941" s="13" t="s">
        <x:v>1568</x:v>
      </x:c>
      <x:c r="F941" s="13" t="s">
        <x:v>2006</x:v>
      </x:c>
      <x:c r="G941" s="13" t="s">
        <x:v>1289</x:v>
      </x:c>
      <x:c r="H941" s="13" t="str">
        <x:f>IFERROR(VLOOKUP(O941,'정보화기기 명부'!A$2:B$187,2,FALSE),"")</x:f>
        <x:v/>
      </x:c>
      <x:c r="I941" s="13"/>
      <x:c r="J941" s="13"/>
      <x:c r="K941" s="13"/>
      <x:c r="L941" s="13">
        <x:v>19990101</x:v>
      </x:c>
      <x:c r="M941" s="13" t="s">
        <x:v>1984</x:v>
      </x:c>
      <x:c r="N941" s="13" t="s">
        <x:v>1965</x:v>
      </x:c>
      <x:c r="O941" s="13" t="s">
        <x:v>1372</x:v>
      </x:c>
      <x:c r="P941" s="13">
        <x:v>141</x:v>
      </x:c>
      <x:c r="Q941" s="13" t="s">
        <x:v>466</x:v>
      </x:c>
      <x:c r="R941" s="13" t="s">
        <x:v>1967</x:v>
      </x:c>
      <x:c r="S941" s="13" t="s">
        <x:v>1448</x:v>
      </x:c>
      <x:c r="T941" s="13" t="s">
        <x:v>1469</x:v>
      </x:c>
      <x:c r="U941" s="13"/>
      <x:c r="V941" s="13" t="s">
        <x:v>2030</x:v>
      </x:c>
    </x:row>
    <x:row r="942" spans="1:22" s="14" customFormat="1" ht="13.5" customHeight="1">
      <x:c r="A942" s="13"/>
      <x:c r="B942" s="25" t="str">
        <x:f t="shared" si="2"/>
        <x:v>19990101-0140</x:v>
      </x:c>
      <x:c r="C942" s="13" t="s">
        <x:v>1978</x:v>
      </x:c>
      <x:c r="D942" s="13" t="s">
        <x:v>1533</x:v>
      </x:c>
      <x:c r="E942" s="13" t="s">
        <x:v>1568</x:v>
      </x:c>
      <x:c r="F942" s="13" t="s">
        <x:v>2006</x:v>
      </x:c>
      <x:c r="G942" s="13" t="s">
        <x:v>1289</x:v>
      </x:c>
      <x:c r="H942" s="13" t="str">
        <x:f>IFERROR(VLOOKUP(O942,'정보화기기 명부'!A$2:B$187,2,FALSE),"")</x:f>
        <x:v/>
      </x:c>
      <x:c r="I942" s="13"/>
      <x:c r="J942" s="13"/>
      <x:c r="K942" s="13"/>
      <x:c r="L942" s="13">
        <x:v>19990101</x:v>
      </x:c>
      <x:c r="M942" s="13" t="s">
        <x:v>1984</x:v>
      </x:c>
      <x:c r="N942" s="13" t="s">
        <x:v>1965</x:v>
      </x:c>
      <x:c r="O942" s="13" t="s">
        <x:v>1372</x:v>
      </x:c>
      <x:c r="P942" s="13">
        <x:v>140</x:v>
      </x:c>
      <x:c r="Q942" s="13" t="s">
        <x:v>466</x:v>
      </x:c>
      <x:c r="R942" s="13" t="s">
        <x:v>1967</x:v>
      </x:c>
      <x:c r="S942" s="13" t="s">
        <x:v>1448</x:v>
      </x:c>
      <x:c r="T942" s="13" t="s">
        <x:v>1469</x:v>
      </x:c>
      <x:c r="U942" s="13"/>
      <x:c r="V942" s="13" t="s">
        <x:v>2030</x:v>
      </x:c>
    </x:row>
    <x:row r="943" spans="1:22" s="14" customFormat="1" ht="13.5" customHeight="1">
      <x:c r="A943" s="13"/>
      <x:c r="B943" s="25" t="str">
        <x:f t="shared" si="2"/>
        <x:v>19990101-0139</x:v>
      </x:c>
      <x:c r="C943" s="13" t="s">
        <x:v>1978</x:v>
      </x:c>
      <x:c r="D943" s="13" t="s">
        <x:v>1533</x:v>
      </x:c>
      <x:c r="E943" s="13" t="s">
        <x:v>1568</x:v>
      </x:c>
      <x:c r="F943" s="13" t="s">
        <x:v>2006</x:v>
      </x:c>
      <x:c r="G943" s="13" t="s">
        <x:v>1289</x:v>
      </x:c>
      <x:c r="H943" s="13" t="str">
        <x:f>IFERROR(VLOOKUP(O943,'정보화기기 명부'!A$2:B$187,2,FALSE),"")</x:f>
        <x:v/>
      </x:c>
      <x:c r="I943" s="13"/>
      <x:c r="J943" s="13"/>
      <x:c r="K943" s="13"/>
      <x:c r="L943" s="13">
        <x:v>19990101</x:v>
      </x:c>
      <x:c r="M943" s="13" t="s">
        <x:v>1984</x:v>
      </x:c>
      <x:c r="N943" s="13" t="s">
        <x:v>1965</x:v>
      </x:c>
      <x:c r="O943" s="13" t="s">
        <x:v>1372</x:v>
      </x:c>
      <x:c r="P943" s="13">
        <x:v>139</x:v>
      </x:c>
      <x:c r="Q943" s="13" t="s">
        <x:v>466</x:v>
      </x:c>
      <x:c r="R943" s="13" t="s">
        <x:v>1967</x:v>
      </x:c>
      <x:c r="S943" s="13" t="s">
        <x:v>1448</x:v>
      </x:c>
      <x:c r="T943" s="13" t="s">
        <x:v>1469</x:v>
      </x:c>
      <x:c r="U943" s="13"/>
      <x:c r="V943" s="13" t="s">
        <x:v>2030</x:v>
      </x:c>
    </x:row>
    <x:row r="944" spans="1:22" s="14" customFormat="1" ht="13.5" customHeight="1">
      <x:c r="A944" s="13"/>
      <x:c r="B944" s="25" t="str">
        <x:f t="shared" si="2"/>
        <x:v>19990101-0138</x:v>
      </x:c>
      <x:c r="C944" s="13" t="s">
        <x:v>1978</x:v>
      </x:c>
      <x:c r="D944" s="13" t="s">
        <x:v>1533</x:v>
      </x:c>
      <x:c r="E944" s="13" t="s">
        <x:v>1568</x:v>
      </x:c>
      <x:c r="F944" s="13" t="s">
        <x:v>2006</x:v>
      </x:c>
      <x:c r="G944" s="13" t="s">
        <x:v>1289</x:v>
      </x:c>
      <x:c r="H944" s="13" t="str">
        <x:f>IFERROR(VLOOKUP(O944,'정보화기기 명부'!A$2:B$187,2,FALSE),"")</x:f>
        <x:v/>
      </x:c>
      <x:c r="I944" s="13"/>
      <x:c r="J944" s="13"/>
      <x:c r="K944" s="13"/>
      <x:c r="L944" s="13">
        <x:v>19990101</x:v>
      </x:c>
      <x:c r="M944" s="13" t="s">
        <x:v>1984</x:v>
      </x:c>
      <x:c r="N944" s="13" t="s">
        <x:v>1965</x:v>
      </x:c>
      <x:c r="O944" s="13" t="s">
        <x:v>1372</x:v>
      </x:c>
      <x:c r="P944" s="13">
        <x:v>138</x:v>
      </x:c>
      <x:c r="Q944" s="13" t="s">
        <x:v>466</x:v>
      </x:c>
      <x:c r="R944" s="13" t="s">
        <x:v>1967</x:v>
      </x:c>
      <x:c r="S944" s="13" t="s">
        <x:v>1448</x:v>
      </x:c>
      <x:c r="T944" s="13" t="s">
        <x:v>1469</x:v>
      </x:c>
      <x:c r="U944" s="13"/>
      <x:c r="V944" s="13" t="s">
        <x:v>2030</x:v>
      </x:c>
    </x:row>
    <x:row r="945" spans="1:22" s="14" customFormat="1" ht="13.5" customHeight="1">
      <x:c r="A945" s="13"/>
      <x:c r="B945" s="25" t="str">
        <x:f t="shared" si="2"/>
        <x:v>19990101-0137</x:v>
      </x:c>
      <x:c r="C945" s="13" t="s">
        <x:v>1978</x:v>
      </x:c>
      <x:c r="D945" s="13" t="s">
        <x:v>1533</x:v>
      </x:c>
      <x:c r="E945" s="13" t="s">
        <x:v>1568</x:v>
      </x:c>
      <x:c r="F945" s="13" t="s">
        <x:v>2006</x:v>
      </x:c>
      <x:c r="G945" s="13" t="s">
        <x:v>1289</x:v>
      </x:c>
      <x:c r="H945" s="13" t="str">
        <x:f>IFERROR(VLOOKUP(O945,'정보화기기 명부'!A$2:B$187,2,FALSE),"")</x:f>
        <x:v/>
      </x:c>
      <x:c r="I945" s="13"/>
      <x:c r="J945" s="13"/>
      <x:c r="K945" s="13"/>
      <x:c r="L945" s="13">
        <x:v>19990101</x:v>
      </x:c>
      <x:c r="M945" s="13" t="s">
        <x:v>1984</x:v>
      </x:c>
      <x:c r="N945" s="13" t="s">
        <x:v>1965</x:v>
      </x:c>
      <x:c r="O945" s="13" t="s">
        <x:v>1372</x:v>
      </x:c>
      <x:c r="P945" s="13">
        <x:v>137</x:v>
      </x:c>
      <x:c r="Q945" s="13" t="s">
        <x:v>466</x:v>
      </x:c>
      <x:c r="R945" s="13" t="s">
        <x:v>1967</x:v>
      </x:c>
      <x:c r="S945" s="13" t="s">
        <x:v>1448</x:v>
      </x:c>
      <x:c r="T945" s="13" t="s">
        <x:v>1469</x:v>
      </x:c>
      <x:c r="U945" s="13"/>
      <x:c r="V945" s="13" t="s">
        <x:v>2030</x:v>
      </x:c>
    </x:row>
    <x:row r="946" spans="1:22" s="14" customFormat="1" ht="13.5" customHeight="1">
      <x:c r="A946" s="13"/>
      <x:c r="B946" s="25" t="str">
        <x:f t="shared" si="2"/>
        <x:v>19990101-0136</x:v>
      </x:c>
      <x:c r="C946" s="13" t="s">
        <x:v>1978</x:v>
      </x:c>
      <x:c r="D946" s="13" t="s">
        <x:v>1533</x:v>
      </x:c>
      <x:c r="E946" s="13" t="s">
        <x:v>1568</x:v>
      </x:c>
      <x:c r="F946" s="13" t="s">
        <x:v>2006</x:v>
      </x:c>
      <x:c r="G946" s="13" t="s">
        <x:v>1289</x:v>
      </x:c>
      <x:c r="H946" s="13" t="str">
        <x:f>IFERROR(VLOOKUP(O946,'정보화기기 명부'!A$2:B$187,2,FALSE),"")</x:f>
        <x:v/>
      </x:c>
      <x:c r="I946" s="13"/>
      <x:c r="J946" s="13"/>
      <x:c r="K946" s="13"/>
      <x:c r="L946" s="13">
        <x:v>19990101</x:v>
      </x:c>
      <x:c r="M946" s="13" t="s">
        <x:v>1984</x:v>
      </x:c>
      <x:c r="N946" s="13" t="s">
        <x:v>1965</x:v>
      </x:c>
      <x:c r="O946" s="13" t="s">
        <x:v>1372</x:v>
      </x:c>
      <x:c r="P946" s="13">
        <x:v>136</x:v>
      </x:c>
      <x:c r="Q946" s="13" t="s">
        <x:v>466</x:v>
      </x:c>
      <x:c r="R946" s="13" t="s">
        <x:v>1967</x:v>
      </x:c>
      <x:c r="S946" s="13" t="s">
        <x:v>1448</x:v>
      </x:c>
      <x:c r="T946" s="13" t="s">
        <x:v>1469</x:v>
      </x:c>
      <x:c r="U946" s="13"/>
      <x:c r="V946" s="13" t="s">
        <x:v>2030</x:v>
      </x:c>
    </x:row>
    <x:row r="947" spans="1:22" s="14" customFormat="1" ht="13.5" customHeight="1">
      <x:c r="A947" s="13"/>
      <x:c r="B947" s="25" t="str">
        <x:f t="shared" si="2"/>
        <x:v>19990101-0135</x:v>
      </x:c>
      <x:c r="C947" s="13" t="s">
        <x:v>1978</x:v>
      </x:c>
      <x:c r="D947" s="13" t="s">
        <x:v>1533</x:v>
      </x:c>
      <x:c r="E947" s="13" t="s">
        <x:v>1568</x:v>
      </x:c>
      <x:c r="F947" s="13" t="s">
        <x:v>2006</x:v>
      </x:c>
      <x:c r="G947" s="13" t="s">
        <x:v>1289</x:v>
      </x:c>
      <x:c r="H947" s="13" t="str">
        <x:f>IFERROR(VLOOKUP(O947,'정보화기기 명부'!A$2:B$187,2,FALSE),"")</x:f>
        <x:v/>
      </x:c>
      <x:c r="I947" s="13"/>
      <x:c r="J947" s="13"/>
      <x:c r="K947" s="13"/>
      <x:c r="L947" s="13">
        <x:v>19990101</x:v>
      </x:c>
      <x:c r="M947" s="13" t="s">
        <x:v>1984</x:v>
      </x:c>
      <x:c r="N947" s="13" t="s">
        <x:v>1965</x:v>
      </x:c>
      <x:c r="O947" s="13" t="s">
        <x:v>1372</x:v>
      </x:c>
      <x:c r="P947" s="13">
        <x:v>135</x:v>
      </x:c>
      <x:c r="Q947" s="13" t="s">
        <x:v>466</x:v>
      </x:c>
      <x:c r="R947" s="13" t="s">
        <x:v>1967</x:v>
      </x:c>
      <x:c r="S947" s="13" t="s">
        <x:v>1448</x:v>
      </x:c>
      <x:c r="T947" s="13" t="s">
        <x:v>1469</x:v>
      </x:c>
      <x:c r="U947" s="13"/>
      <x:c r="V947" s="13" t="s">
        <x:v>2030</x:v>
      </x:c>
    </x:row>
    <x:row r="948" spans="1:22" s="14" customFormat="1" ht="13.5" customHeight="1">
      <x:c r="A948" s="13"/>
      <x:c r="B948" s="25" t="str">
        <x:f t="shared" si="2"/>
        <x:v>19990101-0134</x:v>
      </x:c>
      <x:c r="C948" s="13" t="s">
        <x:v>1978</x:v>
      </x:c>
      <x:c r="D948" s="13" t="s">
        <x:v>1533</x:v>
      </x:c>
      <x:c r="E948" s="13" t="s">
        <x:v>1568</x:v>
      </x:c>
      <x:c r="F948" s="13" t="s">
        <x:v>2006</x:v>
      </x:c>
      <x:c r="G948" s="13" t="s">
        <x:v>1289</x:v>
      </x:c>
      <x:c r="H948" s="13" t="str">
        <x:f>IFERROR(VLOOKUP(O948,'정보화기기 명부'!A$2:B$187,2,FALSE),"")</x:f>
        <x:v/>
      </x:c>
      <x:c r="I948" s="13"/>
      <x:c r="J948" s="13"/>
      <x:c r="K948" s="13"/>
      <x:c r="L948" s="13">
        <x:v>19990101</x:v>
      </x:c>
      <x:c r="M948" s="13" t="s">
        <x:v>1984</x:v>
      </x:c>
      <x:c r="N948" s="13" t="s">
        <x:v>1965</x:v>
      </x:c>
      <x:c r="O948" s="13" t="s">
        <x:v>1372</x:v>
      </x:c>
      <x:c r="P948" s="13">
        <x:v>134</x:v>
      </x:c>
      <x:c r="Q948" s="13" t="s">
        <x:v>466</x:v>
      </x:c>
      <x:c r="R948" s="13" t="s">
        <x:v>1967</x:v>
      </x:c>
      <x:c r="S948" s="13" t="s">
        <x:v>1448</x:v>
      </x:c>
      <x:c r="T948" s="13" t="s">
        <x:v>1469</x:v>
      </x:c>
      <x:c r="U948" s="13"/>
      <x:c r="V948" s="13" t="s">
        <x:v>2030</x:v>
      </x:c>
    </x:row>
    <x:row r="949" spans="1:22" s="14" customFormat="1" ht="13.5" customHeight="1">
      <x:c r="A949" s="13"/>
      <x:c r="B949" s="25" t="str">
        <x:f t="shared" si="2"/>
        <x:v>19990101-0133</x:v>
      </x:c>
      <x:c r="C949" s="13" t="s">
        <x:v>1978</x:v>
      </x:c>
      <x:c r="D949" s="13" t="s">
        <x:v>1533</x:v>
      </x:c>
      <x:c r="E949" s="13" t="s">
        <x:v>1568</x:v>
      </x:c>
      <x:c r="F949" s="13" t="s">
        <x:v>2006</x:v>
      </x:c>
      <x:c r="G949" s="13" t="s">
        <x:v>1289</x:v>
      </x:c>
      <x:c r="H949" s="13" t="str">
        <x:f>IFERROR(VLOOKUP(O949,'정보화기기 명부'!A$2:B$187,2,FALSE),"")</x:f>
        <x:v/>
      </x:c>
      <x:c r="I949" s="13"/>
      <x:c r="J949" s="13"/>
      <x:c r="K949" s="13"/>
      <x:c r="L949" s="13">
        <x:v>19990101</x:v>
      </x:c>
      <x:c r="M949" s="13" t="s">
        <x:v>1984</x:v>
      </x:c>
      <x:c r="N949" s="13" t="s">
        <x:v>1965</x:v>
      </x:c>
      <x:c r="O949" s="13" t="s">
        <x:v>1372</x:v>
      </x:c>
      <x:c r="P949" s="13">
        <x:v>133</x:v>
      </x:c>
      <x:c r="Q949" s="13" t="s">
        <x:v>466</x:v>
      </x:c>
      <x:c r="R949" s="13" t="s">
        <x:v>1967</x:v>
      </x:c>
      <x:c r="S949" s="13" t="s">
        <x:v>1448</x:v>
      </x:c>
      <x:c r="T949" s="13" t="s">
        <x:v>1469</x:v>
      </x:c>
      <x:c r="U949" s="13"/>
      <x:c r="V949" s="13" t="s">
        <x:v>2030</x:v>
      </x:c>
    </x:row>
    <x:row r="950" spans="1:22" s="14" customFormat="1" ht="13.5" customHeight="1">
      <x:c r="A950" s="13"/>
      <x:c r="B950" s="25" t="str">
        <x:f t="shared" si="2"/>
        <x:v>19990101-0132</x:v>
      </x:c>
      <x:c r="C950" s="13" t="s">
        <x:v>1978</x:v>
      </x:c>
      <x:c r="D950" s="13" t="s">
        <x:v>1533</x:v>
      </x:c>
      <x:c r="E950" s="13" t="s">
        <x:v>1568</x:v>
      </x:c>
      <x:c r="F950" s="13" t="s">
        <x:v>2006</x:v>
      </x:c>
      <x:c r="G950" s="13" t="s">
        <x:v>1289</x:v>
      </x:c>
      <x:c r="H950" s="13" t="str">
        <x:f>IFERROR(VLOOKUP(O950,'정보화기기 명부'!A$2:B$187,2,FALSE),"")</x:f>
        <x:v/>
      </x:c>
      <x:c r="I950" s="13"/>
      <x:c r="J950" s="13"/>
      <x:c r="K950" s="13"/>
      <x:c r="L950" s="13">
        <x:v>19990101</x:v>
      </x:c>
      <x:c r="M950" s="13" t="s">
        <x:v>1984</x:v>
      </x:c>
      <x:c r="N950" s="13" t="s">
        <x:v>1965</x:v>
      </x:c>
      <x:c r="O950" s="13" t="s">
        <x:v>1372</x:v>
      </x:c>
      <x:c r="P950" s="13">
        <x:v>132</x:v>
      </x:c>
      <x:c r="Q950" s="13" t="s">
        <x:v>466</x:v>
      </x:c>
      <x:c r="R950" s="13" t="s">
        <x:v>1967</x:v>
      </x:c>
      <x:c r="S950" s="13" t="s">
        <x:v>1448</x:v>
      </x:c>
      <x:c r="T950" s="13" t="s">
        <x:v>1469</x:v>
      </x:c>
      <x:c r="U950" s="13"/>
      <x:c r="V950" s="13" t="s">
        <x:v>2030</x:v>
      </x:c>
    </x:row>
    <x:row r="951" spans="1:22" s="14" customFormat="1" ht="13.5" customHeight="1">
      <x:c r="A951" s="13"/>
      <x:c r="B951" s="25" t="str">
        <x:f t="shared" si="2"/>
        <x:v>19990101-0131</x:v>
      </x:c>
      <x:c r="C951" s="13" t="s">
        <x:v>1978</x:v>
      </x:c>
      <x:c r="D951" s="13" t="s">
        <x:v>1533</x:v>
      </x:c>
      <x:c r="E951" s="13" t="s">
        <x:v>1568</x:v>
      </x:c>
      <x:c r="F951" s="13" t="s">
        <x:v>2006</x:v>
      </x:c>
      <x:c r="G951" s="13" t="s">
        <x:v>1289</x:v>
      </x:c>
      <x:c r="H951" s="13" t="str">
        <x:f>IFERROR(VLOOKUP(O951,'정보화기기 명부'!A$2:B$187,2,FALSE),"")</x:f>
        <x:v/>
      </x:c>
      <x:c r="I951" s="13"/>
      <x:c r="J951" s="13"/>
      <x:c r="K951" s="13"/>
      <x:c r="L951" s="13">
        <x:v>19990101</x:v>
      </x:c>
      <x:c r="M951" s="13" t="s">
        <x:v>1984</x:v>
      </x:c>
      <x:c r="N951" s="13" t="s">
        <x:v>1965</x:v>
      </x:c>
      <x:c r="O951" s="13" t="s">
        <x:v>1372</x:v>
      </x:c>
      <x:c r="P951" s="13">
        <x:v>131</x:v>
      </x:c>
      <x:c r="Q951" s="13" t="s">
        <x:v>466</x:v>
      </x:c>
      <x:c r="R951" s="13" t="s">
        <x:v>1967</x:v>
      </x:c>
      <x:c r="S951" s="13" t="s">
        <x:v>1448</x:v>
      </x:c>
      <x:c r="T951" s="13" t="s">
        <x:v>1469</x:v>
      </x:c>
      <x:c r="U951" s="13"/>
      <x:c r="V951" s="13" t="s">
        <x:v>2030</x:v>
      </x:c>
    </x:row>
    <x:row r="952" spans="1:22" s="14" customFormat="1" ht="13.5" customHeight="1">
      <x:c r="A952" s="13"/>
      <x:c r="B952" s="25" t="str">
        <x:f t="shared" si="2"/>
        <x:v>19990101-0130</x:v>
      </x:c>
      <x:c r="C952" s="13" t="s">
        <x:v>1978</x:v>
      </x:c>
      <x:c r="D952" s="13" t="s">
        <x:v>1533</x:v>
      </x:c>
      <x:c r="E952" s="13" t="s">
        <x:v>1568</x:v>
      </x:c>
      <x:c r="F952" s="13" t="s">
        <x:v>2006</x:v>
      </x:c>
      <x:c r="G952" s="13" t="s">
        <x:v>1289</x:v>
      </x:c>
      <x:c r="H952" s="13" t="str">
        <x:f>IFERROR(VLOOKUP(O952,'정보화기기 명부'!A$2:B$187,2,FALSE),"")</x:f>
        <x:v/>
      </x:c>
      <x:c r="I952" s="13"/>
      <x:c r="J952" s="13"/>
      <x:c r="K952" s="13"/>
      <x:c r="L952" s="13">
        <x:v>19990101</x:v>
      </x:c>
      <x:c r="M952" s="13" t="s">
        <x:v>1984</x:v>
      </x:c>
      <x:c r="N952" s="13" t="s">
        <x:v>1965</x:v>
      </x:c>
      <x:c r="O952" s="13" t="s">
        <x:v>1372</x:v>
      </x:c>
      <x:c r="P952" s="13">
        <x:v>130</x:v>
      </x:c>
      <x:c r="Q952" s="13" t="s">
        <x:v>466</x:v>
      </x:c>
      <x:c r="R952" s="13" t="s">
        <x:v>1967</x:v>
      </x:c>
      <x:c r="S952" s="13" t="s">
        <x:v>1448</x:v>
      </x:c>
      <x:c r="T952" s="13" t="s">
        <x:v>1469</x:v>
      </x:c>
      <x:c r="U952" s="13"/>
      <x:c r="V952" s="13" t="s">
        <x:v>2030</x:v>
      </x:c>
    </x:row>
    <x:row r="953" spans="1:22" s="14" customFormat="1" ht="13.5" customHeight="1">
      <x:c r="A953" s="13"/>
      <x:c r="B953" s="25" t="str">
        <x:f t="shared" si="2"/>
        <x:v>19990101-0129</x:v>
      </x:c>
      <x:c r="C953" s="13" t="s">
        <x:v>1978</x:v>
      </x:c>
      <x:c r="D953" s="13" t="s">
        <x:v>1533</x:v>
      </x:c>
      <x:c r="E953" s="13" t="s">
        <x:v>1568</x:v>
      </x:c>
      <x:c r="F953" s="13" t="s">
        <x:v>2006</x:v>
      </x:c>
      <x:c r="G953" s="13" t="s">
        <x:v>1289</x:v>
      </x:c>
      <x:c r="H953" s="13" t="str">
        <x:f>IFERROR(VLOOKUP(O953,'정보화기기 명부'!A$2:B$187,2,FALSE),"")</x:f>
        <x:v/>
      </x:c>
      <x:c r="I953" s="13"/>
      <x:c r="J953" s="13"/>
      <x:c r="K953" s="13"/>
      <x:c r="L953" s="13">
        <x:v>19990101</x:v>
      </x:c>
      <x:c r="M953" s="13" t="s">
        <x:v>1984</x:v>
      </x:c>
      <x:c r="N953" s="13" t="s">
        <x:v>1965</x:v>
      </x:c>
      <x:c r="O953" s="13" t="s">
        <x:v>1372</x:v>
      </x:c>
      <x:c r="P953" s="13">
        <x:v>129</x:v>
      </x:c>
      <x:c r="Q953" s="13" t="s">
        <x:v>466</x:v>
      </x:c>
      <x:c r="R953" s="13" t="s">
        <x:v>1967</x:v>
      </x:c>
      <x:c r="S953" s="13" t="s">
        <x:v>1448</x:v>
      </x:c>
      <x:c r="T953" s="13" t="s">
        <x:v>1469</x:v>
      </x:c>
      <x:c r="U953" s="13"/>
      <x:c r="V953" s="13" t="s">
        <x:v>2030</x:v>
      </x:c>
    </x:row>
    <x:row r="954" spans="1:22" s="14" customFormat="1" ht="13.5" customHeight="1">
      <x:c r="A954" s="13"/>
      <x:c r="B954" s="25" t="str">
        <x:f t="shared" si="2"/>
        <x:v>19990101-0128</x:v>
      </x:c>
      <x:c r="C954" s="13" t="s">
        <x:v>1978</x:v>
      </x:c>
      <x:c r="D954" s="13" t="s">
        <x:v>1533</x:v>
      </x:c>
      <x:c r="E954" s="13" t="s">
        <x:v>1568</x:v>
      </x:c>
      <x:c r="F954" s="13" t="s">
        <x:v>2006</x:v>
      </x:c>
      <x:c r="G954" s="13" t="s">
        <x:v>1289</x:v>
      </x:c>
      <x:c r="H954" s="13" t="str">
        <x:f>IFERROR(VLOOKUP(O954,'정보화기기 명부'!A$2:B$187,2,FALSE),"")</x:f>
        <x:v/>
      </x:c>
      <x:c r="I954" s="13"/>
      <x:c r="J954" s="13"/>
      <x:c r="K954" s="13"/>
      <x:c r="L954" s="13">
        <x:v>19990101</x:v>
      </x:c>
      <x:c r="M954" s="13" t="s">
        <x:v>1984</x:v>
      </x:c>
      <x:c r="N954" s="13" t="s">
        <x:v>1965</x:v>
      </x:c>
      <x:c r="O954" s="13" t="s">
        <x:v>1372</x:v>
      </x:c>
      <x:c r="P954" s="13">
        <x:v>128</x:v>
      </x:c>
      <x:c r="Q954" s="13" t="s">
        <x:v>466</x:v>
      </x:c>
      <x:c r="R954" s="13" t="s">
        <x:v>1967</x:v>
      </x:c>
      <x:c r="S954" s="13" t="s">
        <x:v>1448</x:v>
      </x:c>
      <x:c r="T954" s="13" t="s">
        <x:v>1469</x:v>
      </x:c>
      <x:c r="U954" s="13"/>
      <x:c r="V954" s="13" t="s">
        <x:v>2030</x:v>
      </x:c>
    </x:row>
    <x:row r="955" spans="1:22" s="14" customFormat="1" ht="13.5" customHeight="1">
      <x:c r="A955" s="13"/>
      <x:c r="B955" s="25" t="str">
        <x:f t="shared" si="2"/>
        <x:v>19990101-0127</x:v>
      </x:c>
      <x:c r="C955" s="13" t="s">
        <x:v>1978</x:v>
      </x:c>
      <x:c r="D955" s="13" t="s">
        <x:v>1533</x:v>
      </x:c>
      <x:c r="E955" s="13" t="s">
        <x:v>1568</x:v>
      </x:c>
      <x:c r="F955" s="13" t="s">
        <x:v>2006</x:v>
      </x:c>
      <x:c r="G955" s="13" t="s">
        <x:v>1289</x:v>
      </x:c>
      <x:c r="H955" s="13" t="str">
        <x:f>IFERROR(VLOOKUP(O955,'정보화기기 명부'!A$2:B$187,2,FALSE),"")</x:f>
        <x:v/>
      </x:c>
      <x:c r="I955" s="13"/>
      <x:c r="J955" s="13"/>
      <x:c r="K955" s="13"/>
      <x:c r="L955" s="13">
        <x:v>19990101</x:v>
      </x:c>
      <x:c r="M955" s="13" t="s">
        <x:v>1984</x:v>
      </x:c>
      <x:c r="N955" s="13" t="s">
        <x:v>1965</x:v>
      </x:c>
      <x:c r="O955" s="13" t="s">
        <x:v>1372</x:v>
      </x:c>
      <x:c r="P955" s="13">
        <x:v>127</x:v>
      </x:c>
      <x:c r="Q955" s="13" t="s">
        <x:v>466</x:v>
      </x:c>
      <x:c r="R955" s="13" t="s">
        <x:v>1967</x:v>
      </x:c>
      <x:c r="S955" s="13" t="s">
        <x:v>1448</x:v>
      </x:c>
      <x:c r="T955" s="13" t="s">
        <x:v>1469</x:v>
      </x:c>
      <x:c r="U955" s="13"/>
      <x:c r="V955" s="13" t="s">
        <x:v>2030</x:v>
      </x:c>
    </x:row>
    <x:row r="956" spans="1:22" s="14" customFormat="1" ht="13.5" customHeight="1">
      <x:c r="A956" s="13"/>
      <x:c r="B956" s="25" t="str">
        <x:f t="shared" si="2"/>
        <x:v>19990101-0108</x:v>
      </x:c>
      <x:c r="C956" s="13" t="s">
        <x:v>1978</x:v>
      </x:c>
      <x:c r="D956" s="13" t="s">
        <x:v>1533</x:v>
      </x:c>
      <x:c r="E956" s="13" t="s">
        <x:v>1568</x:v>
      </x:c>
      <x:c r="F956" s="13" t="s">
        <x:v>1996</x:v>
      </x:c>
      <x:c r="G956" s="13" t="s">
        <x:v>1289</x:v>
      </x:c>
      <x:c r="H956" s="13" t="str">
        <x:f>IFERROR(VLOOKUP(O956,'정보화기기 명부'!A$2:B$187,2,FALSE),"")</x:f>
        <x:v/>
      </x:c>
      <x:c r="I956" s="13"/>
      <x:c r="J956" s="13"/>
      <x:c r="K956" s="13"/>
      <x:c r="L956" s="13">
        <x:v>19990101</x:v>
      </x:c>
      <x:c r="M956" s="13" t="s">
        <x:v>638</x:v>
      </x:c>
      <x:c r="N956" s="13" t="s">
        <x:v>1965</x:v>
      </x:c>
      <x:c r="O956" s="13" t="s">
        <x:v>1372</x:v>
      </x:c>
      <x:c r="P956" s="13">
        <x:v>108</x:v>
      </x:c>
      <x:c r="Q956" s="13" t="s">
        <x:v>466</x:v>
      </x:c>
      <x:c r="R956" s="13" t="s">
        <x:v>2017</x:v>
      </x:c>
      <x:c r="S956" s="13" t="s">
        <x:v>1448</x:v>
      </x:c>
      <x:c r="T956" s="13" t="s">
        <x:v>3156</x:v>
      </x:c>
      <x:c r="U956" s="13"/>
      <x:c r="V956" s="13" t="s">
        <x:v>2030</x:v>
      </x:c>
    </x:row>
    <x:row r="957" spans="1:22" s="14" customFormat="1" ht="13.5" customHeight="1">
      <x:c r="A957" s="13"/>
      <x:c r="B957" s="25" t="str">
        <x:f t="shared" si="2"/>
        <x:v>19990101-0107</x:v>
      </x:c>
      <x:c r="C957" s="13" t="s">
        <x:v>1978</x:v>
      </x:c>
      <x:c r="D957" s="13" t="s">
        <x:v>1533</x:v>
      </x:c>
      <x:c r="E957" s="13" t="s">
        <x:v>1568</x:v>
      </x:c>
      <x:c r="F957" s="13" t="s">
        <x:v>1996</x:v>
      </x:c>
      <x:c r="G957" s="13" t="s">
        <x:v>1289</x:v>
      </x:c>
      <x:c r="H957" s="13" t="str">
        <x:f>IFERROR(VLOOKUP(O957,'정보화기기 명부'!A$2:B$187,2,FALSE),"")</x:f>
        <x:v/>
      </x:c>
      <x:c r="I957" s="13"/>
      <x:c r="J957" s="13"/>
      <x:c r="K957" s="13"/>
      <x:c r="L957" s="13">
        <x:v>19990101</x:v>
      </x:c>
      <x:c r="M957" s="13" t="s">
        <x:v>638</x:v>
      </x:c>
      <x:c r="N957" s="13" t="s">
        <x:v>1965</x:v>
      </x:c>
      <x:c r="O957" s="13" t="s">
        <x:v>1372</x:v>
      </x:c>
      <x:c r="P957" s="13">
        <x:v>107</x:v>
      </x:c>
      <x:c r="Q957" s="13" t="s">
        <x:v>466</x:v>
      </x:c>
      <x:c r="R957" s="13" t="s">
        <x:v>2017</x:v>
      </x:c>
      <x:c r="S957" s="13" t="s">
        <x:v>1448</x:v>
      </x:c>
      <x:c r="T957" s="13" t="s">
        <x:v>3156</x:v>
      </x:c>
      <x:c r="U957" s="13"/>
      <x:c r="V957" s="13" t="s">
        <x:v>2030</x:v>
      </x:c>
    </x:row>
    <x:row r="958" spans="1:22" s="14" customFormat="1" ht="13.5" customHeight="1">
      <x:c r="A958" s="13" t="str">
        <x:f>O958</x:f>
        <x:v>김흥태</x:v>
      </x:c>
      <x:c r="B958" s="25" t="str">
        <x:f t="shared" si="2"/>
        <x:v>19990101-0061</x:v>
      </x:c>
      <x:c r="C958" s="13" t="s">
        <x:v>1978</x:v>
      </x:c>
      <x:c r="D958" s="13" t="s">
        <x:v>1533</x:v>
      </x:c>
      <x:c r="E958" s="13" t="s">
        <x:v>1543</x:v>
      </x:c>
      <x:c r="F958" s="13" t="s">
        <x:v>1996</x:v>
      </x:c>
      <x:c r="G958" s="13" t="s">
        <x:v>1289</x:v>
      </x:c>
      <x:c r="H958" s="13" t="str">
        <x:f>IFERROR(VLOOKUP(O958,'정보화기기 명부'!A$2:B$187,2,FALSE),"")</x:f>
        <x:v/>
      </x:c>
      <x:c r="I958" s="13"/>
      <x:c r="J958" s="13"/>
      <x:c r="K958" s="13"/>
      <x:c r="L958" s="13">
        <x:v>19990101</x:v>
      </x:c>
      <x:c r="M958" s="13" t="s">
        <x:v>638</x:v>
      </x:c>
      <x:c r="N958" s="13" t="s">
        <x:v>1965</x:v>
      </x:c>
      <x:c r="O958" s="13" t="s">
        <x:v>1427</x:v>
      </x:c>
      <x:c r="P958" s="13">
        <x:v>61</x:v>
      </x:c>
      <x:c r="Q958" s="13" t="s">
        <x:v>466</x:v>
      </x:c>
      <x:c r="R958" s="13" t="s">
        <x:v>1910</x:v>
      </x:c>
      <x:c r="S958" s="13" t="s">
        <x:v>1464</x:v>
      </x:c>
      <x:c r="T958" s="13" t="s">
        <x:v>3156</x:v>
      </x:c>
      <x:c r="U958" s="13"/>
      <x:c r="V958" s="13" t="s">
        <x:v>2030</x:v>
      </x:c>
    </x:row>
    <x:row r="959" spans="1:22" s="14" customFormat="1" ht="13.5" customHeight="1">
      <x:c r="A959" s="13" t="str">
        <x:f>O959</x:f>
        <x:v>전난영</x:v>
      </x:c>
      <x:c r="B959" s="25" t="str">
        <x:f t="shared" si="2"/>
        <x:v>19990101-0030</x:v>
      </x:c>
      <x:c r="C959" s="13" t="s">
        <x:v>1978</x:v>
      </x:c>
      <x:c r="D959" s="13" t="s">
        <x:v>1533</x:v>
      </x:c>
      <x:c r="E959" s="13" t="s">
        <x:v>1543</x:v>
      </x:c>
      <x:c r="F959" s="13" t="s">
        <x:v>1996</x:v>
      </x:c>
      <x:c r="G959" s="13" t="s">
        <x:v>1289</x:v>
      </x:c>
      <x:c r="H959" s="13" t="str">
        <x:f>IFERROR(VLOOKUP(O959,'정보화기기 명부'!A$2:B$187,2,FALSE),"")</x:f>
        <x:v/>
      </x:c>
      <x:c r="I959" s="13"/>
      <x:c r="J959" s="13"/>
      <x:c r="K959" s="13"/>
      <x:c r="L959" s="13">
        <x:v>19990101</x:v>
      </x:c>
      <x:c r="M959" s="13" t="s">
        <x:v>638</x:v>
      </x:c>
      <x:c r="N959" s="13" t="s">
        <x:v>1965</x:v>
      </x:c>
      <x:c r="O959" s="13" t="s">
        <x:v>1447</x:v>
      </x:c>
      <x:c r="P959" s="13">
        <x:v>30</x:v>
      </x:c>
      <x:c r="Q959" s="13" t="s">
        <x:v>466</x:v>
      </x:c>
      <x:c r="R959" s="13" t="s">
        <x:v>1895</x:v>
      </x:c>
      <x:c r="S959" s="13" t="s">
        <x:v>1464</x:v>
      </x:c>
      <x:c r="T959" s="13" t="s">
        <x:v>1469</x:v>
      </x:c>
      <x:c r="U959" s="13"/>
      <x:c r="V959" s="13" t="s">
        <x:v>2030</x:v>
      </x:c>
    </x:row>
    <x:row r="960" spans="1:22" s="14" customFormat="1" ht="13.5" customHeight="1">
      <x:c r="A960" s="13" t="str">
        <x:f>O960</x:f>
        <x:v>신선영</x:v>
      </x:c>
      <x:c r="B960" s="25" t="str">
        <x:f t="shared" si="2"/>
        <x:v>19990101-0029</x:v>
      </x:c>
      <x:c r="C960" s="13" t="s">
        <x:v>1978</x:v>
      </x:c>
      <x:c r="D960" s="13" t="s">
        <x:v>1533</x:v>
      </x:c>
      <x:c r="E960" s="13" t="s">
        <x:v>1543</x:v>
      </x:c>
      <x:c r="F960" s="13" t="s">
        <x:v>1996</x:v>
      </x:c>
      <x:c r="G960" s="13" t="s">
        <x:v>1289</x:v>
      </x:c>
      <x:c r="H960" s="13" t="str">
        <x:f>IFERROR(VLOOKUP(O960,'정보화기기 명부'!A$2:B$187,2,FALSE),"")</x:f>
        <x:v/>
      </x:c>
      <x:c r="I960" s="13"/>
      <x:c r="J960" s="13"/>
      <x:c r="K960" s="13"/>
      <x:c r="L960" s="13">
        <x:v>19990101</x:v>
      </x:c>
      <x:c r="M960" s="13" t="s">
        <x:v>638</x:v>
      </x:c>
      <x:c r="N960" s="13" t="s">
        <x:v>1965</x:v>
      </x:c>
      <x:c r="O960" s="13" t="s">
        <x:v>1366</x:v>
      </x:c>
      <x:c r="P960" s="13">
        <x:v>29</x:v>
      </x:c>
      <x:c r="Q960" s="13" t="s">
        <x:v>466</x:v>
      </x:c>
      <x:c r="R960" s="13" t="s">
        <x:v>1910</x:v>
      </x:c>
      <x:c r="S960" s="13" t="s">
        <x:v>1464</x:v>
      </x:c>
      <x:c r="T960" s="13" t="s">
        <x:v>3156</x:v>
      </x:c>
      <x:c r="U960" s="13"/>
      <x:c r="V960" s="13" t="s">
        <x:v>2030</x:v>
      </x:c>
    </x:row>
    <x:row r="961">
      <x:c r="B961" t="s" s="25">
        <x:v>3357</x:v>
      </x:c>
      <x:c r="C961" t="s" s="157">
        <x:v>1564</x:v>
      </x:c>
      <x:c r="D961" t="s" s="157">
        <x:v>1581</x:v>
      </x:c>
      <x:c r="E961" t="s" s="157">
        <x:v>1251</x:v>
      </x:c>
      <x:c r="F961" t="s" s="380">
        <x:v>3356</x:v>
      </x:c>
      <x:c r="G961" t="s" s="157">
        <x:v>1289</x:v>
      </x:c>
      <x:c r="L961" s="157">
        <x:v>20260305</x:v>
      </x:c>
      <x:c r="M961" s="382">
        <x:v>1264000</x:v>
      </x:c>
      <x:c r="N961" t="s" s="157">
        <x:v>2034</x:v>
      </x:c>
      <x:c r="P961" s="157">
        <x:v>962</x:v>
      </x:c>
      <x:c r="Q961" t="s" s="157">
        <x:v>706</x:v>
      </x:c>
      <x:c r="R961" t="s" s="124">
        <x:v>3368</x:v>
      </x:c>
      <x:c r="S961" t="s" s="124">
        <x:v>2069</x:v>
      </x:c>
      <x:c r="T961" t="s" s="124">
        <x:v>2055</x:v>
      </x:c>
    </x:row>
    <x:row r="962">
      <x:c r="B962" t="s" s="25">
        <x:v>3358</x:v>
      </x:c>
      <x:c r="C962" t="s" s="157">
        <x:v>1564</x:v>
      </x:c>
      <x:c r="D962" t="s" s="157">
        <x:v>1581</x:v>
      </x:c>
      <x:c r="E962" t="s" s="157">
        <x:v>1251</x:v>
      </x:c>
      <x:c r="F962" t="s" s="380">
        <x:v>3356</x:v>
      </x:c>
      <x:c r="G962" t="s" s="157">
        <x:v>1289</x:v>
      </x:c>
      <x:c r="L962" s="157">
        <x:v>20260305</x:v>
      </x:c>
      <x:c r="M962" s="382">
        <x:v>1264000</x:v>
      </x:c>
      <x:c r="N962" t="s" s="157">
        <x:v>2034</x:v>
      </x:c>
      <x:c r="P962" s="157">
        <x:v>963</x:v>
      </x:c>
      <x:c r="Q962" t="s" s="157">
        <x:v>706</x:v>
      </x:c>
      <x:c r="R962" t="s" s="124">
        <x:v>3368</x:v>
      </x:c>
      <x:c r="S962" t="s" s="124">
        <x:v>2069</x:v>
      </x:c>
      <x:c r="T962" t="s" s="124">
        <x:v>2055</x:v>
      </x:c>
    </x:row>
    <x:row r="963">
      <x:c r="B963" t="s" s="25">
        <x:v>3359</x:v>
      </x:c>
      <x:c r="C963" t="s" s="157">
        <x:v>1564</x:v>
      </x:c>
      <x:c r="D963" t="s" s="157">
        <x:v>1581</x:v>
      </x:c>
      <x:c r="E963" t="s" s="157">
        <x:v>1251</x:v>
      </x:c>
      <x:c r="F963" t="s" s="380">
        <x:v>3356</x:v>
      </x:c>
      <x:c r="G963" t="s" s="157">
        <x:v>1289</x:v>
      </x:c>
      <x:c r="L963" s="157">
        <x:v>20260305</x:v>
      </x:c>
      <x:c r="M963" s="382">
        <x:v>1264000</x:v>
      </x:c>
      <x:c r="N963" t="s" s="157">
        <x:v>2034</x:v>
      </x:c>
      <x:c r="P963" s="157">
        <x:v>964</x:v>
      </x:c>
      <x:c r="Q963" t="s" s="157">
        <x:v>706</x:v>
      </x:c>
      <x:c r="R963" t="s" s="124">
        <x:v>3368</x:v>
      </x:c>
      <x:c r="S963" t="s" s="124">
        <x:v>2069</x:v>
      </x:c>
      <x:c r="T963" t="s" s="124">
        <x:v>2055</x:v>
      </x:c>
    </x:row>
    <x:row r="964">
      <x:c r="B964" t="s" s="25">
        <x:v>3360</x:v>
      </x:c>
      <x:c r="C964" t="s" s="157">
        <x:v>1564</x:v>
      </x:c>
      <x:c r="D964" t="s" s="157">
        <x:v>1581</x:v>
      </x:c>
      <x:c r="E964" t="s" s="157">
        <x:v>1251</x:v>
      </x:c>
      <x:c r="F964" t="s" s="380">
        <x:v>3356</x:v>
      </x:c>
      <x:c r="G964" t="s" s="157">
        <x:v>1289</x:v>
      </x:c>
      <x:c r="L964" s="157">
        <x:v>20260305</x:v>
      </x:c>
      <x:c r="M964" s="382">
        <x:v>1264000</x:v>
      </x:c>
      <x:c r="N964" t="s" s="157">
        <x:v>2034</x:v>
      </x:c>
      <x:c r="P964" s="157">
        <x:v>965</x:v>
      </x:c>
      <x:c r="Q964" t="s" s="157">
        <x:v>706</x:v>
      </x:c>
      <x:c r="R964" t="s" s="124">
        <x:v>3368</x:v>
      </x:c>
      <x:c r="S964" t="s" s="124">
        <x:v>2069</x:v>
      </x:c>
      <x:c r="T964" t="s" s="124">
        <x:v>2055</x:v>
      </x:c>
    </x:row>
    <x:row r="965">
      <x:c r="B965" t="s" s="25">
        <x:v>3361</x:v>
      </x:c>
      <x:c r="C965" t="s" s="157">
        <x:v>1564</x:v>
      </x:c>
      <x:c r="D965" t="s" s="157">
        <x:v>1581</x:v>
      </x:c>
      <x:c r="E965" t="s" s="157">
        <x:v>1251</x:v>
      </x:c>
      <x:c r="F965" t="s" s="380">
        <x:v>3356</x:v>
      </x:c>
      <x:c r="G965" t="s" s="157">
        <x:v>1289</x:v>
      </x:c>
      <x:c r="L965" s="157">
        <x:v>20260305</x:v>
      </x:c>
      <x:c r="M965" s="382">
        <x:v>1264000</x:v>
      </x:c>
      <x:c r="N965" t="s" s="157">
        <x:v>2034</x:v>
      </x:c>
      <x:c r="P965" s="157">
        <x:v>966</x:v>
      </x:c>
      <x:c r="Q965" t="s" s="157">
        <x:v>706</x:v>
      </x:c>
      <x:c r="R965" t="s" s="124">
        <x:v>3368</x:v>
      </x:c>
      <x:c r="S965" t="s" s="124">
        <x:v>2069</x:v>
      </x:c>
      <x:c r="T965" t="s" s="124">
        <x:v>2055</x:v>
      </x:c>
    </x:row>
    <x:row r="966">
      <x:c r="B966" t="s" s="25">
        <x:v>3362</x:v>
      </x:c>
      <x:c r="C966" t="s" s="157">
        <x:v>1564</x:v>
      </x:c>
      <x:c r="D966" t="s" s="157">
        <x:v>1581</x:v>
      </x:c>
      <x:c r="E966" t="s" s="157">
        <x:v>1251</x:v>
      </x:c>
      <x:c r="F966" t="s" s="380">
        <x:v>3356</x:v>
      </x:c>
      <x:c r="G966" t="s" s="157">
        <x:v>1289</x:v>
      </x:c>
      <x:c r="L966" s="157">
        <x:v>20260305</x:v>
      </x:c>
      <x:c r="M966" s="382">
        <x:v>1264000</x:v>
      </x:c>
      <x:c r="N966" t="s" s="157">
        <x:v>2034</x:v>
      </x:c>
      <x:c r="P966" s="157">
        <x:v>967</x:v>
      </x:c>
      <x:c r="Q966" t="s" s="157">
        <x:v>706</x:v>
      </x:c>
      <x:c r="R966" t="s" s="124">
        <x:v>3368</x:v>
      </x:c>
      <x:c r="S966" t="s" s="124">
        <x:v>2069</x:v>
      </x:c>
      <x:c r="T966" t="s" s="124">
        <x:v>2055</x:v>
      </x:c>
    </x:row>
    <x:row r="967">
      <x:c r="B967" t="s" s="25">
        <x:v>3363</x:v>
      </x:c>
      <x:c r="C967" t="s" s="157">
        <x:v>1564</x:v>
      </x:c>
      <x:c r="D967" t="s" s="157">
        <x:v>1581</x:v>
      </x:c>
      <x:c r="E967" t="s" s="157">
        <x:v>1251</x:v>
      </x:c>
      <x:c r="F967" t="s" s="380">
        <x:v>3356</x:v>
      </x:c>
      <x:c r="G967" t="s" s="157">
        <x:v>1289</x:v>
      </x:c>
      <x:c r="L967" s="157">
        <x:v>20260305</x:v>
      </x:c>
      <x:c r="M967" s="382">
        <x:v>1264000</x:v>
      </x:c>
      <x:c r="N967" t="s" s="157">
        <x:v>2034</x:v>
      </x:c>
      <x:c r="P967" s="157">
        <x:v>968</x:v>
      </x:c>
      <x:c r="Q967" t="s" s="157">
        <x:v>706</x:v>
      </x:c>
      <x:c r="R967" t="s" s="124">
        <x:v>3368</x:v>
      </x:c>
      <x:c r="S967" t="s" s="124">
        <x:v>2069</x:v>
      </x:c>
      <x:c r="T967" t="s" s="124">
        <x:v>2055</x:v>
      </x:c>
    </x:row>
    <x:row r="968">
      <x:c r="B968" t="s" s="25">
        <x:v>3364</x:v>
      </x:c>
      <x:c r="C968" t="s" s="157">
        <x:v>1564</x:v>
      </x:c>
      <x:c r="D968" t="s" s="157">
        <x:v>1581</x:v>
      </x:c>
      <x:c r="E968" t="s" s="157">
        <x:v>1251</x:v>
      </x:c>
      <x:c r="F968" t="s" s="380">
        <x:v>3356</x:v>
      </x:c>
      <x:c r="G968" t="s" s="157">
        <x:v>1289</x:v>
      </x:c>
      <x:c r="L968" s="157">
        <x:v>20260305</x:v>
      </x:c>
      <x:c r="M968" s="382">
        <x:v>1264000</x:v>
      </x:c>
      <x:c r="N968" t="s" s="157">
        <x:v>2034</x:v>
      </x:c>
      <x:c r="P968" s="157">
        <x:v>969</x:v>
      </x:c>
      <x:c r="Q968" t="s" s="157">
        <x:v>706</x:v>
      </x:c>
      <x:c r="R968" t="s" s="124">
        <x:v>3368</x:v>
      </x:c>
      <x:c r="S968" t="s" s="124">
        <x:v>2069</x:v>
      </x:c>
      <x:c r="T968" t="s" s="124">
        <x:v>2055</x:v>
      </x:c>
    </x:row>
    <x:row r="969">
      <x:c r="B969" t="s" s="25">
        <x:v>3365</x:v>
      </x:c>
      <x:c r="C969" t="s" s="157">
        <x:v>1564</x:v>
      </x:c>
      <x:c r="D969" t="s" s="157">
        <x:v>1581</x:v>
      </x:c>
      <x:c r="E969" t="s" s="157">
        <x:v>1251</x:v>
      </x:c>
      <x:c r="F969" t="s" s="380">
        <x:v>3356</x:v>
      </x:c>
      <x:c r="G969" t="s" s="157">
        <x:v>1289</x:v>
      </x:c>
      <x:c r="L969" s="157">
        <x:v>20260305</x:v>
      </x:c>
      <x:c r="M969" s="382">
        <x:v>1264000</x:v>
      </x:c>
      <x:c r="N969" t="s" s="157">
        <x:v>2034</x:v>
      </x:c>
      <x:c r="P969" s="157">
        <x:v>970</x:v>
      </x:c>
      <x:c r="Q969" t="s" s="157">
        <x:v>706</x:v>
      </x:c>
      <x:c r="R969" t="s" s="124">
        <x:v>3368</x:v>
      </x:c>
      <x:c r="S969" t="s" s="124">
        <x:v>2069</x:v>
      </x:c>
      <x:c r="T969" t="s" s="124">
        <x:v>2055</x:v>
      </x:c>
    </x:row>
    <x:row r="970">
      <x:c r="B970" t="s" s="25">
        <x:v>3366</x:v>
      </x:c>
      <x:c r="C970" t="s" s="157">
        <x:v>1564</x:v>
      </x:c>
      <x:c r="D970" t="s" s="157">
        <x:v>1581</x:v>
      </x:c>
      <x:c r="E970" t="s" s="157">
        <x:v>1251</x:v>
      </x:c>
      <x:c r="F970" t="s" s="380">
        <x:v>3356</x:v>
      </x:c>
      <x:c r="G970" t="s" s="157">
        <x:v>1289</x:v>
      </x:c>
      <x:c r="L970" s="157">
        <x:v>20260305</x:v>
      </x:c>
      <x:c r="M970" s="382">
        <x:v>1264000</x:v>
      </x:c>
      <x:c r="N970" t="s" s="157">
        <x:v>2034</x:v>
      </x:c>
      <x:c r="P970" s="157">
        <x:v>971</x:v>
      </x:c>
      <x:c r="Q970" t="s" s="157">
        <x:v>706</x:v>
      </x:c>
      <x:c r="R970" t="s" s="124">
        <x:v>3368</x:v>
      </x:c>
      <x:c r="S970" t="s" s="124">
        <x:v>2069</x:v>
      </x:c>
      <x:c r="T970" t="s" s="124">
        <x:v>2055</x:v>
      </x:c>
    </x:row>
    <x:row r="971">
      <x:c r="B971" t="s" s="25">
        <x:v>3367</x:v>
      </x:c>
      <x:c r="C971" t="s" s="157">
        <x:v>1564</x:v>
      </x:c>
      <x:c r="D971" t="s" s="157">
        <x:v>1581</x:v>
      </x:c>
      <x:c r="E971" t="s" s="157">
        <x:v>1251</x:v>
      </x:c>
      <x:c r="F971" t="s" s="380">
        <x:v>3356</x:v>
      </x:c>
      <x:c r="G971" t="s" s="157">
        <x:v>1289</x:v>
      </x:c>
      <x:c r="L971" s="157">
        <x:v>20260305</x:v>
      </x:c>
      <x:c r="M971" s="382">
        <x:v>1264000</x:v>
      </x:c>
      <x:c r="N971" t="s" s="157">
        <x:v>2034</x:v>
      </x:c>
      <x:c r="P971" s="157">
        <x:v>972</x:v>
      </x:c>
      <x:c r="Q971" t="s" s="157">
        <x:v>706</x:v>
      </x:c>
      <x:c r="R971" t="s" s="124">
        <x:v>3368</x:v>
      </x:c>
      <x:c r="S971" t="s" s="124">
        <x:v>2069</x:v>
      </x:c>
      <x:c r="T971" t="s" s="124">
        <x:v>2055</x:v>
      </x:c>
    </x:row>
  </x:sheetData>
  <x:autoFilter ref="A1:Z1">
    <x:sortState columnSort="0" caseSensitive="0" ref="A2:Z894">
      <x:sortCondition descending="1" sortBy="value" ref="L2:L894"/>
    </x:sortState>
  </x:autoFilter>
  <x:sortState columnSort="0" caseSensitive="0" ref="A5:T936">
    <x:sortCondition descending="1" sortBy="value" ref="B24:B936"/>
  </x:sortState>
  <x:pageMargins left="0.75" right="0.75" top="1" bottom="1" header="0.5" footer="0.5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H26"/>
  <x:sheetViews>
    <x:sheetView topLeftCell="A1" zoomScaleNormal="100" zoomScaleSheetLayoutView="100" workbookViewId="0">
      <x:selection activeCell="F13" activeCellId="0" sqref="F13:F13"/>
    </x:sheetView>
  </x:sheetViews>
  <x:sheetFormatPr defaultColWidth="8.9140625" defaultRowHeight="16.39999999999999857891"/>
  <x:cols>
    <x:col min="1" max="1" width="15.83203125" style="1" customWidth="1"/>
    <x:col min="2" max="2" width="8" style="1" bestFit="1" customWidth="1"/>
    <x:col min="3" max="3" width="11.4140625" style="1" bestFit="1" customWidth="1"/>
    <x:col min="4" max="4" width="29.58203125" style="1" bestFit="1" customWidth="1"/>
    <x:col min="5" max="5" width="13.33203125" style="1" bestFit="1" customWidth="1"/>
    <x:col min="6" max="6" width="16.08203125" style="1" customWidth="1"/>
    <x:col min="7" max="7" width="17.33203125" style="1" customWidth="1"/>
    <x:col min="8" max="8" width="12" style="1" bestFit="1" customWidth="1"/>
    <x:col min="9" max="10" width="8.9140625" style="1"/>
    <x:col min="11" max="11" width="9.83203125" style="1" bestFit="1" customWidth="1"/>
    <x:col min="12" max="16384" width="8.9140625" style="1"/>
  </x:cols>
  <x:sheetData>
    <x:row r="1" spans="1:8">
      <x:c r="A1" s="1" t="str">
        <x:f>PC!B1</x:f>
        <x:v>관리번호</x:v>
      </x:c>
      <x:c r="B1" s="1" t="str">
        <x:f>PC!E1</x:f>
        <x:v>관리유형</x:v>
      </x:c>
      <x:c r="C1" s="1" t="str">
        <x:f>PC!G1</x:f>
        <x:v>제조회사</x:v>
      </x:c>
      <x:c r="D1" s="1" t="str">
        <x:f>PC!F1</x:f>
        <x:v>모델명</x:v>
      </x:c>
      <x:c r="E1" s="1" t="str">
        <x:f>PC!H1</x:f>
        <x:v>관리실</x:v>
      </x:c>
      <x:c r="F1" s="1" t="str">
        <x:f>PC!M1</x:f>
        <x:v>구입금액</x:v>
      </x:c>
      <x:c r="G1" s="1" t="str">
        <x:f>PC!L1</x:f>
        <x:v>구입일자</x:v>
      </x:c>
      <x:c r="H1" s="1" t="str">
        <x:f>PC!O1</x:f>
        <x:v>관리자명</x:v>
      </x:c>
    </x:row>
    <x:row r="2" spans="1:8">
      <x:c r="A2" s="1" t="str">
        <x:f>VLOOKUP($H2,PC!$A$1:$M$272,2,FALSE)</x:f>
        <x:v>20210823-0894</x:v>
      </x:c>
      <x:c r="B2" s="1" t="str">
        <x:f>VLOOKUP($H2,PC!$A$1:$O$272,5,FALSE)</x:f>
        <x:v>교원용</x:v>
      </x:c>
      <x:c r="C2" s="1" t="str">
        <x:f>VLOOKUP($H2,PC!$A$1:$O$272,7,FALSE)</x:f>
        <x:v>삼성</x:v>
      </x:c>
      <x:c r="D2" s="1" t="str">
        <x:f>VLOOKUP($H2,PC!$A$1:$O$272,6,FALSE)</x:f>
        <x:v>NT550XDA-KG03G</x:v>
      </x:c>
      <x:c r="E2" s="1" t="str">
        <x:f>VLOOKUP($H2,PC!$A$1:$O$272,8,FALSE)</x:f>
        <x:v/>
      </x:c>
      <x:c r="F2" s="205">
        <x:f>VLOOKUP($H2,PC!$A$1:$O$272,13,FALSE)</x:f>
        <x:v>855000</x:v>
      </x:c>
      <x:c r="G2" s="215">
        <x:f>VLOOKUP($H2,PC!$A$1:$O$272,12,FALSE)</x:f>
        <x:v>20210823</x:v>
      </x:c>
      <x:c r="H2" s="197" t="s">
        <x:v>1758</x:v>
      </x:c>
    </x:row>
    <x:row r="3" spans="1:8">
      <x:c r="A3" s="1" t="str">
        <x:f>VLOOKUP($H3,PC!$A$1:$M$272,2,FALSE)</x:f>
        <x:v>20200901-0848</x:v>
      </x:c>
      <x:c r="B3" s="1" t="str">
        <x:f>VLOOKUP($H3,PC!$A$1:$O$272,5,FALSE)</x:f>
        <x:v>교원용</x:v>
      </x:c>
      <x:c r="C3" s="1" t="str">
        <x:f>VLOOKUP($H3,PC!$A$1:$O$272,7,FALSE)</x:f>
        <x:v>삼성</x:v>
      </x:c>
      <x:c r="D3" s="1">
        <x:f>VLOOKUP($H3,PC!$A$1:$O$272,6,FALSE)</x:f>
        <x:v>0</x:v>
      </x:c>
      <x:c r="E3" s="1">
        <x:f>VLOOKUP($H3,PC!$A$1:$O$272,8,FALSE)</x:f>
        <x:v>0</x:v>
      </x:c>
      <x:c r="F3" s="205">
        <x:f>VLOOKUP($H3,PC!$A$1:$O$272,13,FALSE)</x:f>
        <x:v>820000</x:v>
      </x:c>
      <x:c r="G3" s="215">
        <x:f>VLOOKUP($H3,PC!$A$1:$O$272,12,FALSE)</x:f>
        <x:v>20200901</x:v>
      </x:c>
      <x:c r="H3" s="197" t="s">
        <x:v>840</x:v>
      </x:c>
    </x:row>
    <x:row r="4" spans="6:8">
      <x:c r="F4" s="205"/>
      <x:c r="G4" s="215"/>
      <x:c r="H4" s="197"/>
    </x:row>
    <x:row r="5" spans="6:8">
      <x:c r="F5" s="205"/>
      <x:c r="G5" s="215"/>
      <x:c r="H5" s="197"/>
    </x:row>
    <x:row r="6" spans="6:8">
      <x:c r="F6" s="205"/>
      <x:c r="G6" s="215"/>
      <x:c r="H6" s="197"/>
    </x:row>
    <x:row r="7" spans="6:8">
      <x:c r="F7" s="205"/>
      <x:c r="G7" s="215"/>
      <x:c r="H7" s="197"/>
    </x:row>
    <x:row r="8" spans="6:8">
      <x:c r="F8" s="205"/>
      <x:c r="G8" s="215"/>
      <x:c r="H8" s="197"/>
    </x:row>
    <x:row r="9" spans="6:8">
      <x:c r="F9" s="205"/>
      <x:c r="G9" s="215"/>
      <x:c r="H9" s="197"/>
    </x:row>
    <x:row r="10" spans="6:8">
      <x:c r="F10" s="205"/>
      <x:c r="G10" s="215"/>
      <x:c r="H10" s="197"/>
    </x:row>
    <x:row r="11" spans="6:8">
      <x:c r="F11" s="205"/>
      <x:c r="G11" s="215"/>
      <x:c r="H11" s="25"/>
    </x:row>
    <x:row r="12" spans="6:8">
      <x:c r="F12" s="205"/>
      <x:c r="G12" s="215"/>
      <x:c r="H12" s="25"/>
    </x:row>
    <x:row r="13" spans="6:8">
      <x:c r="F13" s="205"/>
      <x:c r="G13" s="215"/>
      <x:c r="H13" s="25"/>
    </x:row>
    <x:row r="14" spans="6:7">
      <x:c r="F14" s="205"/>
      <x:c r="G14" s="215"/>
    </x:row>
    <x:row r="15" spans="6:7">
      <x:c r="F15" s="205"/>
      <x:c r="G15" s="215"/>
    </x:row>
    <x:row r="16" spans="4:7">
      <x:c r="D16" s="239"/>
      <x:c r="F16" s="205"/>
      <x:c r="G16" s="215"/>
    </x:row>
    <x:row r="17" spans="6:7">
      <x:c r="F17" s="205"/>
      <x:c r="G17" s="215"/>
    </x:row>
    <x:row r="18" spans="6:7">
      <x:c r="F18" s="205"/>
      <x:c r="G18" s="215"/>
    </x:row>
    <x:row r="19" spans="6:7">
      <x:c r="F19" s="205"/>
      <x:c r="G19" s="215"/>
    </x:row>
    <x:row r="20" spans="6:7">
      <x:c r="F20" s="205"/>
      <x:c r="G20" s="215"/>
    </x:row>
    <x:row r="21" spans="6:7">
      <x:c r="F21" s="205"/>
      <x:c r="G21" s="215"/>
    </x:row>
    <x:row r="22" spans="6:7">
      <x:c r="F22" s="205"/>
      <x:c r="G22" s="215"/>
    </x:row>
    <x:row r="23" spans="6:7">
      <x:c r="F23" s="205"/>
      <x:c r="G23" s="215"/>
    </x:row>
    <x:row r="24" spans="6:7">
      <x:c r="F24" s="205"/>
      <x:c r="G24" s="215"/>
    </x:row>
    <x:row r="25" spans="6:7">
      <x:c r="F25" s="205"/>
      <x:c r="G25" s="206"/>
    </x:row>
    <x:row r="26" spans="6:7">
      <x:c r="F26" s="205"/>
      <x:c r="G26" s="206"/>
    </x:row>
  </x:sheetData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M364"/>
  <x:sheetViews>
    <x:sheetView topLeftCell="A1" zoomScaleNormal="100" zoomScaleSheetLayoutView="100" workbookViewId="0">
      <x:pane xSplit="0" ySplit="1" topLeftCell="A2" activePane="bottomLeft" state="frozen"/>
      <x:selection pane="bottomLeft" activeCell="C13" activeCellId="0" sqref="C13:C13"/>
    </x:sheetView>
  </x:sheetViews>
  <x:sheetFormatPr defaultColWidth="8.9140625" defaultRowHeight="16.39999999999999857891"/>
  <x:cols>
    <x:col min="1" max="1" width="7.6640625" style="1" customWidth="1"/>
    <x:col min="2" max="2" width="6.33203125" style="1" bestFit="1" customWidth="1"/>
    <x:col min="3" max="3" width="16.08203125" style="11" bestFit="1" customWidth="1"/>
    <x:col min="4" max="4" width="11.4140625" style="11" customWidth="1"/>
    <x:col min="5" max="5" width="12.9140625" style="11" bestFit="1" customWidth="1"/>
    <x:col min="6" max="6" width="22.6640625" style="194" customWidth="1"/>
    <x:col min="7" max="7" width="8.4140625" style="1" customWidth="1"/>
    <x:col min="8" max="8" width="11.9140625" style="1" customWidth="1"/>
    <x:col min="9" max="9" width="8.4140625" style="1" customWidth="1"/>
    <x:col min="10" max="10" width="11.58203125" style="11" bestFit="1" customWidth="1"/>
    <x:col min="11" max="11" width="11.08203125" style="11" bestFit="1" customWidth="1"/>
    <x:col min="12" max="12" width="8.9140625" style="11"/>
    <x:col min="13" max="13" width="10.6640625" style="11" bestFit="1" customWidth="1"/>
    <x:col min="14" max="14" width="13.08203125" style="11" bestFit="1" customWidth="1"/>
    <x:col min="15" max="16384" width="8.9140625" style="11"/>
  </x:cols>
  <x:sheetData>
    <x:row r="1" spans="1:7">
      <x:c r="A1" s="304" t="s">
        <x:v>1290</x:v>
      </x:c>
      <x:c r="B1" s="305"/>
      <x:c r="C1" s="2" t="s">
        <x:v>1432</x:v>
      </x:c>
      <x:c r="D1" s="2" t="s">
        <x:v>1409</x:v>
      </x:c>
      <x:c r="E1" s="2" t="s">
        <x:v>1970</x:v>
      </x:c>
      <x:c r="F1" s="2" t="s">
        <x:v>1576</x:v>
      </x:c>
      <x:c r="G1" s="2" t="s">
        <x:v>1945</x:v>
      </x:c>
    </x:row>
    <x:row r="2" spans="1:8">
      <x:c r="A2" s="29" t="s">
        <x:v>645</x:v>
      </x:c>
      <x:c r="B2" s="225">
        <x:v>71</x:v>
      </x:c>
      <x:c r="C2" s="226" t="s">
        <x:v>1226</x:v>
      </x:c>
      <x:c r="D2" s="55" t="str">
        <x:f>IFERROR(VLOOKUP(C2,'정보화기기 명부'!A$2:B$138,2,FALSE),"")</x:f>
        <x:v>교장실</x:v>
      </x:c>
      <x:c r="E2" s="4" t="str">
        <x:f>IFERROR(VLOOKUP(C2,PC!A$1:K$435,2,FALSE),"")</x:f>
        <x:v>20210111-0884</x:v>
      </x:c>
      <x:c r="F2" s="188" t="str">
        <x:f>IFERROR(VLOOKUP(C2,PC!A$1:K$435,7,FALSE)&amp;" "&amp;VLOOKUP(C2,PC!A$1:K$435,6,FALSE),"")</x:f>
        <x:v>늑대와여우컴퓨터 NY-Q95PE00D</x:v>
      </x:c>
      <x:c r="G2" s="4" t="str">
        <x:f>IFERROR(VLOOKUP(C2,PC!$A$1:$K$435,3,FALSE),"")</x:f>
        <x:v>데스크톱</x:v>
      </x:c>
      <x:c r="H2" s="1" t="str">
        <x:f>$A$2&amp;B2</x:f>
        <x:v>10.51.90.71</x:v>
      </x:c>
    </x:row>
    <x:row r="3" spans="1:8">
      <x:c r="A3" s="30"/>
      <x:c r="B3" s="227">
        <x:v>72</x:v>
      </x:c>
      <x:c r="C3" s="228" t="s">
        <x:v>1217</x:v>
      </x:c>
      <x:c r="D3" s="55" t="str">
        <x:f>IFERROR(VLOOKUP(C3,'정보화기기 명부'!A$2:B$138,2,FALSE),"")</x:f>
        <x:v>2층 교무실</x:v>
      </x:c>
      <x:c r="E3" s="5" t="str">
        <x:f>IFERROR(VLOOKUP(C3,PC!A$1:K$435,2,FALSE),"")</x:f>
        <x:v>20230721-0903</x:v>
      </x:c>
      <x:c r="F3" s="189" t="str">
        <x:f>IFERROR(VLOOKUP(C3,PC!A$1:K$435,7,FALSE)&amp;" "&amp;VLOOKUP(C3,PC!A$1:K$435,6,FALSE),"")</x:f>
        <x:v>삼보 DG481-GA51-011, Intel Core i5 12500(3GHz)</x:v>
      </x:c>
      <x:c r="G3" s="5" t="str">
        <x:f>IFERROR(VLOOKUP(C3,PC!$A$1:$K$435,3,FALSE),"")</x:f>
        <x:v>데스크톱</x:v>
      </x:c>
      <x:c r="H3" s="1" t="str">
        <x:f t="shared" ref="H3:H66" si="0">$A$2&amp;B3</x:f>
        <x:v>10.51.90.72</x:v>
      </x:c>
    </x:row>
    <x:row r="4" spans="1:8">
      <x:c r="A4" s="30"/>
      <x:c r="B4" s="227">
        <x:v>73</x:v>
      </x:c>
      <x:c r="C4" s="228" t="s">
        <x:v>1493</x:v>
      </x:c>
      <x:c r="D4" s="55" t="str">
        <x:f>IFERROR(VLOOKUP(C4,'정보화기기 명부'!A$2:B$138,2,FALSE),"")</x:f>
        <x:v>교육행정실</x:v>
      </x:c>
      <x:c r="E4" s="5" t="str">
        <x:f>IFERROR(VLOOKUP(C4,PC!A$1:K$435,2,FALSE),"")</x:f>
        <x:v>20220117-0902</x:v>
      </x:c>
      <x:c r="F4" s="189" t="str">
        <x:f>IFERROR(VLOOKUP(C4,PC!A$1:K$435,7,FALSE)&amp;" "&amp;VLOOKUP(C4,PC!A$1:K$435,6,FALSE),"")</x:f>
        <x:v>삼보 DG375-GA31-0BPS</x:v>
      </x:c>
      <x:c r="G4" s="5" t="str">
        <x:f>IFERROR(VLOOKUP(C4,PC!$A$1:$K$435,3,FALSE),"")</x:f>
        <x:v>데스크톱</x:v>
      </x:c>
      <x:c r="H4" s="1" t="str">
        <x:f t="shared" si="0"/>
        <x:v>10.51.90.73</x:v>
      </x:c>
    </x:row>
    <x:row r="5" spans="1:9">
      <x:c r="A5" s="30"/>
      <x:c r="B5" s="227">
        <x:v>74</x:v>
      </x:c>
      <x:c r="C5" s="228" t="s">
        <x:v>1512</x:v>
      </x:c>
      <x:c r="D5" s="55" t="str">
        <x:f>IFERROR(VLOOKUP(C5,'정보화기기 명부'!A$2:B$138,2,FALSE),"")</x:f>
        <x:v>교육행정실</x:v>
      </x:c>
      <x:c r="E5" s="5" t="str">
        <x:f>IFERROR(VLOOKUP(C5,PC!A$1:K$435,2,FALSE),"")</x:f>
        <x:v>20231219-0904</x:v>
      </x:c>
      <x:c r="F5" s="189" t="str">
        <x:f>IFERROR(VLOOKUP(C5,PC!A$1:K$435,7,FALSE)&amp;" "&amp;VLOOKUP(C5,PC!A$1:K$435,6,FALSE),"")</x:f>
        <x:v>삼보 DR281-GS51-012 intel core i5</x:v>
      </x:c>
      <x:c r="G5" s="5" t="str">
        <x:f>IFERROR(VLOOKUP(C5,PC!$A$1:$K$435,3,FALSE),"")</x:f>
        <x:v>데스크톱</x:v>
      </x:c>
      <x:c r="H5" s="1" t="str">
        <x:f t="shared" si="0"/>
        <x:v>10.51.90.74</x:v>
      </x:c>
      <x:c r="I5" s="1" t="s">
        <x:v>1512</x:v>
      </x:c>
    </x:row>
    <x:row r="6" spans="1:9">
      <x:c r="A6" s="30"/>
      <x:c r="B6" s="229">
        <x:v>75</x:v>
      </x:c>
      <x:c r="C6" s="230" t="s">
        <x:v>1463</x:v>
      </x:c>
      <x:c r="D6" s="55" t="str">
        <x:f>IFERROR(VLOOKUP(C6,'정보화기기 명부'!A$2:B$138,2,FALSE),"")</x:f>
        <x:v>교육행정실</x:v>
      </x:c>
      <x:c r="E6" s="7" t="str">
        <x:f>IFERROR(VLOOKUP(C6,PC!A$1:K$435,2,FALSE),"")</x:f>
        <x:v>20220117-0901</x:v>
      </x:c>
      <x:c r="F6" s="190" t="str">
        <x:f>IFERROR(VLOOKUP(C6,PC!A$1:K$435,7,FALSE)&amp;" "&amp;VLOOKUP(C6,PC!A$1:K$435,6,FALSE),"")</x:f>
        <x:v>삼보 DG375-GA31-0BPS</x:v>
      </x:c>
      <x:c r="G6" s="7" t="str">
        <x:f>IFERROR(VLOOKUP(C6,PC!$A$1:$K$435,3,FALSE),"")</x:f>
        <x:v>데스크톱</x:v>
      </x:c>
      <x:c r="H6" s="1" t="str">
        <x:f t="shared" si="0"/>
        <x:v>10.51.90.75</x:v>
      </x:c>
      <x:c r="I6" s="1" t="s">
        <x:v>1463</x:v>
      </x:c>
    </x:row>
    <x:row r="7" spans="1:12">
      <x:c r="A7" s="30"/>
      <x:c r="B7" s="225">
        <x:v>76</x:v>
      </x:c>
      <x:c r="C7" s="226" t="s">
        <x:v>1480</x:v>
      </x:c>
      <x:c r="D7" s="55" t="str">
        <x:f>IFERROR(VLOOKUP(C7,'정보화기기 명부'!A$2:B$138,2,FALSE),"")</x:f>
        <x:v>교육행정실</x:v>
      </x:c>
      <x:c r="E7" s="4" t="str">
        <x:f>IFERROR(VLOOKUP(C7,PC!A$1:K$435,2,FALSE),"")</x:f>
        <x:v>20210512-0885</x:v>
      </x:c>
      <x:c r="F7" s="188" t="str">
        <x:f>IFERROR(VLOOKUP(C7,PC!A$1:K$435,7,FALSE)&amp;" "&amp;VLOOKUP(C7,PC!A$1:K$435,6,FALSE),"")</x:f>
        <x:v>성주컴텍 TD210-GCL23S</x:v>
      </x:c>
      <x:c r="G7" s="4" t="str">
        <x:f>IFERROR(VLOOKUP(C7,PC!$A$1:$K$435,3,FALSE),"")</x:f>
        <x:v>데스크톱</x:v>
      </x:c>
      <x:c r="H7" s="1" t="str">
        <x:f t="shared" si="0"/>
        <x:v>10.51.90.76</x:v>
      </x:c>
      <x:c r="I7" s="1" t="s">
        <x:v>1480</x:v>
      </x:c>
      <x:c r="L7" s="146"/>
    </x:row>
    <x:row r="8" spans="1:9">
      <x:c r="A8" s="30"/>
      <x:c r="B8" s="227">
        <x:v>77</x:v>
      </x:c>
      <x:c r="C8" s="228" t="s">
        <x:v>1392</x:v>
      </x:c>
      <x:c r="D8" s="55" t="str">
        <x:f>IFERROR(VLOOKUP(C8,'정보화기기 명부'!A$2:B$138,2,FALSE),"")</x:f>
        <x:v>교육행정실</x:v>
      </x:c>
      <x:c r="E8" s="5" t="str">
        <x:f>IFERROR(VLOOKUP(C8,PC!A$1:K$435,2,FALSE),"")</x:f>
        <x:v>20250708-0805</x:v>
      </x:c>
      <x:c r="F8" s="189" t="str">
        <x:f>IFERROR(VLOOKUP(C8,PC!A$1:K$435,7,FALSE)&amp;" "&amp;VLOOKUP(C8,PC!A$1:K$435,6,FALSE),"")</x:f>
        <x:v>대우루컴즈 DS361A-245430</x:v>
      </x:c>
      <x:c r="G8" s="5" t="str">
        <x:f>IFERROR(VLOOKUP(C8,PC!$A$1:$K$435,3,FALSE),"")</x:f>
        <x:v>데스크톱</x:v>
      </x:c>
      <x:c r="H8" s="1" t="str">
        <x:f t="shared" si="0"/>
        <x:v>10.51.90.77</x:v>
      </x:c>
      <x:c r="I8" s="1" t="s">
        <x:v>1392</x:v>
      </x:c>
    </x:row>
    <x:row r="9" spans="1:9">
      <x:c r="A9" s="30"/>
      <x:c r="B9" s="227">
        <x:v>78</x:v>
      </x:c>
      <x:c r="C9" s="228" t="s">
        <x:v>1502</x:v>
      </x:c>
      <x:c r="D9" s="55" t="str">
        <x:f>IFERROR(VLOOKUP(C9,'정보화기기 명부'!A$2:B$138,2,FALSE),"")</x:f>
        <x:v>교육행정실</x:v>
      </x:c>
      <x:c r="E9" s="5" t="str">
        <x:f>IFERROR(VLOOKUP(C9,PC!A$1:K$435,2,FALSE),"")</x:f>
        <x:v/>
      </x:c>
      <x:c r="F9" s="189" t="str">
        <x:f>IFERROR(VLOOKUP(C9,PC!A$1:K$435,7,FALSE)&amp;" "&amp;VLOOKUP(C9,PC!A$1:K$435,6,FALSE),"")</x:f>
        <x:v/>
      </x:c>
      <x:c r="G9" s="5" t="str">
        <x:f>IFERROR(VLOOKUP(C9,PC!$A$1:$K$435,3,FALSE),"")</x:f>
        <x:v/>
      </x:c>
      <x:c r="H9" s="1" t="str">
        <x:f t="shared" si="0"/>
        <x:v>10.51.90.78</x:v>
      </x:c>
      <x:c r="I9" s="1" t="s">
        <x:v>1502</x:v>
      </x:c>
    </x:row>
    <x:row r="10" spans="1:8">
      <x:c r="A10" s="30"/>
      <x:c r="B10" s="227">
        <x:v>79</x:v>
      </x:c>
      <x:c r="C10" s="228" t="s">
        <x:v>1202</x:v>
      </x:c>
      <x:c r="D10" s="55" t="str">
        <x:f>IFERROR(VLOOKUP(C10,'정보화기기 명부'!A$2:B$138,2,FALSE),"")</x:f>
        <x:v>급식실</x:v>
      </x:c>
      <x:c r="E10" s="5" t="str">
        <x:f>IFERROR(VLOOKUP(C10,PC!A$1:K$435,2,FALSE),"")</x:f>
        <x:v>20190927-0804</x:v>
      </x:c>
      <x:c r="F10" s="189" t="str">
        <x:f>IFERROR(VLOOKUP(C10,PC!A$1:K$435,7,FALSE)&amp;" "&amp;VLOOKUP(C10,PC!A$1:K$435,6,FALSE),"")</x:f>
        <x:v>레드스톤 VITO RMS-565S</x:v>
      </x:c>
      <x:c r="G10" s="5" t="str">
        <x:f>IFERROR(VLOOKUP(C10,PC!$A$1:$K$435,3,FALSE),"")</x:f>
        <x:v>데스크톱</x:v>
      </x:c>
      <x:c r="H10" s="1" t="str">
        <x:f t="shared" si="0"/>
        <x:v>10.51.90.79</x:v>
      </x:c>
    </x:row>
    <x:row r="11" spans="1:8">
      <x:c r="A11" s="30"/>
      <x:c r="B11" s="229">
        <x:v>80</x:v>
      </x:c>
      <x:c r="C11" s="230" t="s">
        <x:v>1475</x:v>
      </x:c>
      <x:c r="D11" s="55" t="str">
        <x:f>IFERROR(VLOOKUP(C11,'정보화기기 명부'!A$2:B$138,2,FALSE),"")</x:f>
        <x:v>시설관리실</x:v>
      </x:c>
      <x:c r="E11" s="7" t="str">
        <x:f>IFERROR(VLOOKUP(C11,PC!A$1:K$435,2,FALSE),"")</x:f>
        <x:v>20250708-0803</x:v>
      </x:c>
      <x:c r="F11" s="190" t="str">
        <x:f>IFERROR(VLOOKUP(C11,PC!A$1:K$435,7,FALSE)&amp;" "&amp;VLOOKUP(C11,PC!A$1:K$435,6,FALSE),"")</x:f>
        <x:v>대우루컴즈 DS361A-245430</x:v>
      </x:c>
      <x:c r="G11" s="7" t="str">
        <x:f>IFERROR(VLOOKUP(C11,PC!$A$1:$K$435,3,FALSE),"")</x:f>
        <x:v>데스크톱</x:v>
      </x:c>
      <x:c r="H11" s="1" t="str">
        <x:f t="shared" si="0"/>
        <x:v>10.51.90.80</x:v>
      </x:c>
    </x:row>
    <x:row r="12" spans="1:8">
      <x:c r="A12" s="30"/>
      <x:c r="B12" s="225">
        <x:v>81</x:v>
      </x:c>
      <x:c r="C12" s="226" t="s">
        <x:v>1450</x:v>
      </x:c>
      <x:c r="D12" s="55" t="str">
        <x:f>IFERROR(VLOOKUP(C12,'정보화기기 명부'!A$2:B$138,2,FALSE),"")</x:f>
        <x:v>1학년부</x:v>
      </x:c>
      <x:c r="E12" s="4" t="str">
        <x:f>IFERROR(VLOOKUP(C12,PC!A$1:K$435,2,FALSE),"")</x:f>
        <x:v>20220829-0907</x:v>
      </x:c>
      <x:c r="F12" s="188" t="str">
        <x:f>IFERROR(VLOOKUP(C12,PC!A$1:K$435,7,FALSE)&amp;" "&amp;VLOOKUP(C12,PC!A$1:K$435,6,FALSE),"")</x:f>
        <x:v>삼보 N5800-G050-OU02</x:v>
      </x:c>
      <x:c r="G12" s="4" t="str">
        <x:f>IFERROR(VLOOKUP(C12,PC!$A$1:$K$435,3,FALSE),"")</x:f>
        <x:v>노트북</x:v>
      </x:c>
      <x:c r="H12" s="1" t="str">
        <x:f t="shared" si="0"/>
        <x:v>10.51.90.81</x:v>
      </x:c>
    </x:row>
    <x:row r="13" spans="1:10">
      <x:c r="A13" s="30"/>
      <x:c r="B13" s="227">
        <x:v>82</x:v>
      </x:c>
      <x:c r="C13" s="228" t="s">
        <x:v>1225</x:v>
      </x:c>
      <x:c r="D13" s="55" t="str">
        <x:f>IFERROR(VLOOKUP(C13,'정보화기기 명부'!A$2:B$138,2,FALSE),"")</x:f>
        <x:v>3학년부</x:v>
      </x:c>
      <x:c r="E13" s="5" t="str">
        <x:f>IFERROR(VLOOKUP(C13,PC!A$1:K$435,2,FALSE),"")</x:f>
        <x:v/>
      </x:c>
      <x:c r="F13" s="189" t="str">
        <x:f>IFERROR(VLOOKUP(C13,PC!A$1:K$435,7,FALSE)&amp;" "&amp;VLOOKUP(C13,PC!A$1:K$435,6,FALSE),"")</x:f>
        <x:v/>
      </x:c>
      <x:c r="G13" s="5" t="str">
        <x:f>IFERROR(VLOOKUP(C13,PC!$A$1:$K$435,3,FALSE),"")</x:f>
        <x:v/>
      </x:c>
      <x:c r="H13" s="1" t="str">
        <x:f t="shared" si="0"/>
        <x:v>10.51.90.82</x:v>
      </x:c>
      <x:c r="J13" s="1"/>
    </x:row>
    <x:row r="14" spans="1:10">
      <x:c r="A14" s="30"/>
      <x:c r="B14" s="231">
        <x:v>83</x:v>
      </x:c>
      <x:c r="C14" s="232" t="s">
        <x:v>1221</x:v>
      </x:c>
      <x:c r="D14" s="55" t="str">
        <x:f>IFERROR(VLOOKUP(C14,'정보화기기 명부'!A$2:B$138,2,FALSE),"")</x:f>
        <x:v>혁신교육부</x:v>
      </x:c>
      <x:c r="E14" s="5" t="str">
        <x:f>IFERROR(VLOOKUP(C14,PC!A$1:K$435,2,FALSE),"")</x:f>
        <x:v>20230315-0919</x:v>
      </x:c>
      <x:c r="F14" s="189" t="str">
        <x:f>IFERROR(VLOOKUP(C14,PC!A$1:K$435,7,FALSE)&amp;" "&amp;VLOOKUP(C14,PC!A$1:K$435,6,FALSE),"")</x:f>
        <x:v>삼성 NT550XED-KG03G</x:v>
      </x:c>
      <x:c r="G14" s="5" t="str">
        <x:f>IFERROR(VLOOKUP(C14,PC!$A$1:$K$435,3,FALSE),"")</x:f>
        <x:v>노트북</x:v>
      </x:c>
      <x:c r="H14" s="1" t="str">
        <x:f t="shared" si="0"/>
        <x:v>10.51.90.83</x:v>
      </x:c>
      <x:c r="J14" s="1"/>
    </x:row>
    <x:row r="15" spans="1:10">
      <x:c r="A15" s="30"/>
      <x:c r="B15" s="227">
        <x:v>84</x:v>
      </x:c>
      <x:c r="C15" s="228" t="s">
        <x:v>1209</x:v>
      </x:c>
      <x:c r="D15" s="55" t="str">
        <x:f>IFERROR(VLOOKUP(C15,'정보화기기 명부'!A$2:B$138,2,FALSE),"")</x:f>
        <x:v>수리과학부</x:v>
      </x:c>
      <x:c r="E15" s="5" t="str">
        <x:f>IFERROR(VLOOKUP(C15,PC!A$1:K$435,2,FALSE),"")</x:f>
        <x:v>20230315-0920</x:v>
      </x:c>
      <x:c r="F15" s="189" t="str">
        <x:f>IFERROR(VLOOKUP(C15,PC!A$1:K$435,7,FALSE)&amp;" "&amp;VLOOKUP(C15,PC!A$1:K$435,6,FALSE),"")</x:f>
        <x:v>삼성 NT550XED-KG03G</x:v>
      </x:c>
      <x:c r="G15" s="5" t="str">
        <x:f>IFERROR(VLOOKUP(C15,PC!$A$1:$K$435,3,FALSE),"")</x:f>
        <x:v>노트북</x:v>
      </x:c>
      <x:c r="H15" s="1" t="str">
        <x:f t="shared" si="0"/>
        <x:v>10.51.90.84</x:v>
      </x:c>
      <x:c r="J15" s="1"/>
    </x:row>
    <x:row r="16" spans="1:8">
      <x:c r="A16" s="30"/>
      <x:c r="B16" s="34">
        <x:v>85</x:v>
      </x:c>
      <x:c r="C16" s="7" t="s">
        <x:v>1834</x:v>
      </x:c>
      <x:c r="D16" s="55" t="str">
        <x:f>IFERROR(VLOOKUP(C16,'정보화기기 명부'!A$2:B$138,2,FALSE),"")</x:f>
        <x:v/>
      </x:c>
      <x:c r="E16" s="7" t="str">
        <x:f>IFERROR(VLOOKUP(C16,PC!A$1:K$435,2,FALSE),"")</x:f>
        <x:v/>
      </x:c>
      <x:c r="F16" s="190" t="str">
        <x:f>IFERROR(VLOOKUP(C16,PC!A$1:K$435,7,FALSE)&amp;" "&amp;VLOOKUP(C16,PC!A$1:K$435,6,FALSE),"")</x:f>
        <x:v/>
      </x:c>
      <x:c r="G16" s="7" t="str">
        <x:f>IFERROR(VLOOKUP(C16,PC!$A$1:$K$435,3,FALSE),"")</x:f>
        <x:v/>
      </x:c>
      <x:c r="H16" s="1" t="str">
        <x:f t="shared" si="0"/>
        <x:v>10.51.90.85</x:v>
      </x:c>
    </x:row>
    <x:row r="17" spans="1:9">
      <x:c r="A17" s="30"/>
      <x:c r="B17" s="225">
        <x:v>86</x:v>
      </x:c>
      <x:c r="C17" s="226" t="s">
        <x:v>1211</x:v>
      </x:c>
      <x:c r="D17" s="55" t="str">
        <x:f>IFERROR(VLOOKUP(C17,'정보화기기 명부'!A$2:B$138,2,FALSE),"")</x:f>
        <x:v>2층 교무실</x:v>
      </x:c>
      <x:c r="E17" s="4" t="str">
        <x:f>IFERROR(VLOOKUP(C17,PC!A$1:K$435,2,FALSE),"")</x:f>
        <x:v>20190927-0806</x:v>
      </x:c>
      <x:c r="F17" s="188" t="str">
        <x:f>IFERROR(VLOOKUP(C17,PC!A$1:K$435,7,FALSE)&amp;" "&amp;VLOOKUP(C17,PC!A$1:K$435,6,FALSE),"")</x:f>
        <x:v>레드스톤 VITO RMS-565S</x:v>
      </x:c>
      <x:c r="G17" s="4" t="str">
        <x:f>IFERROR(VLOOKUP(C17,PC!$A$1:$K$435,3,FALSE),"")</x:f>
        <x:v>데스크톱</x:v>
      </x:c>
      <x:c r="H17" s="1" t="str">
        <x:f t="shared" si="0"/>
        <x:v>10.51.90.86</x:v>
      </x:c>
      <x:c r="I17" s="1" t="s">
        <x:v>1506</x:v>
      </x:c>
    </x:row>
    <x:row r="18" spans="1:8">
      <x:c r="A18" s="30"/>
      <x:c r="B18" s="227">
        <x:v>87</x:v>
      </x:c>
      <x:c r="C18" s="228" t="s">
        <x:v>1204</x:v>
      </x:c>
      <x:c r="D18" s="55" t="str">
        <x:f>IFERROR(VLOOKUP(C18,'정보화기기 명부'!A$2:B$138,2,FALSE),"")</x:f>
        <x:v>2층 교무실</x:v>
      </x:c>
      <x:c r="E18" s="5" t="str">
        <x:f>IFERROR(VLOOKUP(C18,PC!A$1:K$435,2,FALSE),"")</x:f>
        <x:v>20180601-0777</x:v>
      </x:c>
      <x:c r="F18" s="189" t="str">
        <x:f>IFERROR(VLOOKUP(C18,PC!A$1:K$435,7,FALSE)&amp;" "&amp;VLOOKUP(C18,PC!A$1:K$435,6,FALSE),"")</x:f>
        <x:v>늑대와여우컴퓨터 WFG-H116FC-IGTB</x:v>
      </x:c>
      <x:c r="G18" s="5" t="str">
        <x:f>IFERROR(VLOOKUP(C18,PC!$A$1:$K$435,3,FALSE),"")</x:f>
        <x:v>데스크톱</x:v>
      </x:c>
      <x:c r="H18" s="1" t="str">
        <x:f t="shared" si="0"/>
        <x:v>10.51.90.87</x:v>
      </x:c>
    </x:row>
    <x:row r="19" spans="1:8">
      <x:c r="A19" s="30"/>
      <x:c r="B19" s="33">
        <x:v>88</x:v>
      </x:c>
      <x:c r="C19" s="5" t="s">
        <x:v>1438</x:v>
      </x:c>
      <x:c r="D19" s="55" t="str">
        <x:f>IFERROR(VLOOKUP(C19,'정보화기기 명부'!A$2:B$138,2,FALSE),"")</x:f>
        <x:v/>
      </x:c>
      <x:c r="E19" s="5" t="str">
        <x:f>IFERROR(VLOOKUP(C19,PC!A$1:K$435,2,FALSE),"")</x:f>
        <x:v/>
      </x:c>
      <x:c r="F19" s="189" t="str">
        <x:f>IFERROR(VLOOKUP(C19,PC!A$1:K$435,7,FALSE)&amp;" "&amp;VLOOKUP(C19,PC!A$1:K$435,6,FALSE),"")</x:f>
        <x:v/>
      </x:c>
      <x:c r="G19" s="5" t="str">
        <x:f>IFERROR(VLOOKUP(C19,PC!$A$1:$K$435,3,FALSE),"")</x:f>
        <x:v/>
      </x:c>
      <x:c r="H19" s="1" t="str">
        <x:f t="shared" si="0"/>
        <x:v>10.51.90.88</x:v>
      </x:c>
    </x:row>
    <x:row r="20" spans="1:8">
      <x:c r="A20" s="30"/>
      <x:c r="B20" s="227">
        <x:v>89</x:v>
      </x:c>
      <x:c r="C20" s="228" t="s">
        <x:v>1234</x:v>
      </x:c>
      <x:c r="D20" s="55" t="str">
        <x:f>IFERROR(VLOOKUP(C20,'정보화기기 명부'!A$2:B$138,2,FALSE),"")</x:f>
        <x:v>교무기획부</x:v>
      </x:c>
      <x:c r="E20" s="5" t="str">
        <x:f>IFERROR(VLOOKUP(C20,PC!A$1:K$435,2,FALSE),"")</x:f>
        <x:v/>
      </x:c>
      <x:c r="F20" s="189" t="str">
        <x:f>IFERROR(VLOOKUP(C20,PC!A$1:K$435,7,FALSE)&amp;" "&amp;VLOOKUP(C20,PC!A$1:K$435,6,FALSE),"")</x:f>
        <x:v/>
      </x:c>
      <x:c r="G20" s="5" t="str">
        <x:f>IFERROR(VLOOKUP(C20,PC!$A$1:$K$435,3,FALSE),"")</x:f>
        <x:v/>
      </x:c>
      <x:c r="H20" s="1" t="str">
        <x:f t="shared" si="0"/>
        <x:v>10.51.90.89</x:v>
      </x:c>
    </x:row>
    <x:row r="21" spans="1:8">
      <x:c r="A21" s="30"/>
      <x:c r="B21" s="34">
        <x:v>90</x:v>
      </x:c>
      <x:c r="C21" s="213" t="s">
        <x:v>1939</x:v>
      </x:c>
      <x:c r="D21" s="55" t="str">
        <x:f>IFERROR(VLOOKUP(C21,'정보화기기 명부'!A$2:B$138,2,FALSE),"")</x:f>
        <x:v>수업분석실</x:v>
      </x:c>
      <x:c r="E21" s="7" t="str">
        <x:f>IFERROR(VLOOKUP(C21,PC!A$1:K$435,2,FALSE),"")</x:f>
        <x:v/>
      </x:c>
      <x:c r="F21" s="190" t="str">
        <x:f>IFERROR(VLOOKUP(C21,PC!A$1:K$435,7,FALSE)&amp;" "&amp;VLOOKUP(C21,PC!A$1:K$435,6,FALSE),"")</x:f>
        <x:v/>
      </x:c>
      <x:c r="G21" s="7" t="str">
        <x:f>IFERROR(VLOOKUP(C21,PC!$A$1:$K$435,3,FALSE),"")</x:f>
        <x:v/>
      </x:c>
      <x:c r="H21" s="1" t="str">
        <x:f t="shared" si="0"/>
        <x:v>10.51.90.90</x:v>
      </x:c>
    </x:row>
    <x:row r="22" spans="1:8">
      <x:c r="A22" s="30"/>
      <x:c r="B22" s="225">
        <x:v>91</x:v>
      </x:c>
      <x:c r="C22" s="226" t="s">
        <x:v>1223</x:v>
      </x:c>
      <x:c r="D22" s="55" t="str">
        <x:f>IFERROR(VLOOKUP(C22,'정보화기기 명부'!A$2:B$138,2,FALSE),"")</x:f>
        <x:v>1학년부</x:v>
      </x:c>
      <x:c r="E22" s="4" t="str">
        <x:f>IFERROR(VLOOKUP(C22,PC!A$1:K$435,2,FALSE),"")</x:f>
        <x:v/>
      </x:c>
      <x:c r="F22" s="188" t="str">
        <x:f>IFERROR(VLOOKUP(C22,PC!A$1:K$435,7,FALSE)&amp;" "&amp;VLOOKUP(C22,PC!A$1:K$435,6,FALSE),"")</x:f>
        <x:v/>
      </x:c>
      <x:c r="G22" s="4" t="str">
        <x:f>IFERROR(VLOOKUP(C22,PC!$A$1:$K$435,3,FALSE),"")</x:f>
        <x:v/>
      </x:c>
      <x:c r="H22" s="1" t="str">
        <x:f t="shared" si="0"/>
        <x:v>10.51.90.91</x:v>
      </x:c>
    </x:row>
    <x:row r="23" spans="1:8">
      <x:c r="A23" s="30"/>
      <x:c r="B23" s="227">
        <x:v>92</x:v>
      </x:c>
      <x:c r="C23" s="228" t="s">
        <x:v>1201</x:v>
      </x:c>
      <x:c r="D23" s="55" t="str">
        <x:f>IFERROR(VLOOKUP(C23,'정보화기기 명부'!A$2:B$138,2,FALSE),"")</x:f>
        <x:v>진로진학상담부</x:v>
      </x:c>
      <x:c r="E23" s="5" t="str">
        <x:f>IFERROR(VLOOKUP(C23,PC!A$1:K$435,2,FALSE),"")</x:f>
        <x:v/>
      </x:c>
      <x:c r="F23" s="189" t="str">
        <x:f>IFERROR(VLOOKUP(C23,PC!A$1:K$435,7,FALSE)&amp;" "&amp;VLOOKUP(C23,PC!A$1:K$435,6,FALSE),"")</x:f>
        <x:v/>
      </x:c>
      <x:c r="G23" s="5" t="str">
        <x:f>IFERROR(VLOOKUP(C23,PC!$A$1:$K$435,3,FALSE),"")</x:f>
        <x:v/>
      </x:c>
      <x:c r="H23" s="1" t="str">
        <x:f t="shared" si="0"/>
        <x:v>10.51.90.92</x:v>
      </x:c>
    </x:row>
    <x:row r="24" spans="1:8">
      <x:c r="A24" s="30" t="s">
        <x:v>1614</x:v>
      </x:c>
      <x:c r="B24" s="233">
        <x:v>93</x:v>
      </x:c>
      <x:c r="C24" s="234" t="s">
        <x:v>1846</x:v>
      </x:c>
      <x:c r="D24" s="55" t="str">
        <x:f>IFERROR(VLOOKUP(C24,'정보화기기 명부'!A$2:B$138,2,FALSE),"")</x:f>
        <x:v/>
      </x:c>
      <x:c r="E24" s="5" t="str">
        <x:f>IFERROR(VLOOKUP(C24,PC!A$1:K$435,2,FALSE),"")</x:f>
        <x:v/>
      </x:c>
      <x:c r="F24" s="189" t="str">
        <x:f>IFERROR(VLOOKUP(C24,PC!A$1:K$435,7,FALSE)&amp;" "&amp;VLOOKUP(C24,PC!A$1:K$435,6,FALSE),"")</x:f>
        <x:v/>
      </x:c>
      <x:c r="G24" s="5" t="str">
        <x:f>IFERROR(VLOOKUP(C24,PC!$A$1:$K$435,3,FALSE),"")</x:f>
        <x:v/>
      </x:c>
      <x:c r="H24" s="1" t="str">
        <x:f t="shared" si="0"/>
        <x:v>10.51.90.93</x:v>
      </x:c>
    </x:row>
    <x:row r="25" spans="1:8">
      <x:c r="A25" s="30"/>
      <x:c r="B25" s="227">
        <x:v>94</x:v>
      </x:c>
      <x:c r="C25" s="228" t="s">
        <x:v>1262</x:v>
      </x:c>
      <x:c r="D25" s="55" t="str">
        <x:f>IFERROR(VLOOKUP(C25,'정보화기기 명부'!A$2:B$138,2,FALSE),"")</x:f>
        <x:v>3학년부</x:v>
      </x:c>
      <x:c r="E25" s="5" t="str">
        <x:f>IFERROR(VLOOKUP(C25,PC!A$1:K$435,2,FALSE),"")</x:f>
        <x:v/>
      </x:c>
      <x:c r="F25" s="189" t="str">
        <x:f>IFERROR(VLOOKUP(C25,PC!A$1:K$435,7,FALSE)&amp;" "&amp;VLOOKUP(C25,PC!A$1:K$435,6,FALSE),"")</x:f>
        <x:v/>
      </x:c>
      <x:c r="G25" s="5" t="str">
        <x:f>IFERROR(VLOOKUP(C25,PC!$A$1:$K$435,3,FALSE),"")</x:f>
        <x:v/>
      </x:c>
      <x:c r="H25" s="1" t="str">
        <x:f t="shared" si="0"/>
        <x:v>10.51.90.94</x:v>
      </x:c>
    </x:row>
    <x:row r="26" spans="1:8">
      <x:c r="A26" s="30"/>
      <x:c r="B26" s="229">
        <x:v>95</x:v>
      </x:c>
      <x:c r="C26" s="230" t="s">
        <x:v>1218</x:v>
      </x:c>
      <x:c r="D26" s="55" t="str">
        <x:f>IFERROR(VLOOKUP(C26,'정보화기기 명부'!A$2:B$138,2,FALSE),"")</x:f>
        <x:v/>
      </x:c>
      <x:c r="E26" s="7" t="str">
        <x:f>IFERROR(VLOOKUP(C26,PC!A$1:K$435,2,FALSE),"")</x:f>
        <x:v/>
      </x:c>
      <x:c r="F26" s="248" t="s">
        <x:v>3203</x:v>
      </x:c>
      <x:c r="G26" s="7" t="str">
        <x:f>IFERROR(VLOOKUP(C26,PC!$A$1:$K$435,3,FALSE),"")</x:f>
        <x:v/>
      </x:c>
      <x:c r="H26" s="1" t="str">
        <x:f t="shared" si="0"/>
        <x:v>10.51.90.95</x:v>
      </x:c>
    </x:row>
    <x:row r="27" spans="1:8">
      <x:c r="A27" s="30"/>
      <x:c r="B27" s="225">
        <x:v>96</x:v>
      </x:c>
      <x:c r="C27" s="226" t="s">
        <x:v>1238</x:v>
      </x:c>
      <x:c r="D27" s="55" t="str">
        <x:f>IFERROR(VLOOKUP(C27,'정보화기기 명부'!A$2:B$138,2,FALSE),"")</x:f>
        <x:v>2학년부</x:v>
      </x:c>
      <x:c r="E27" s="4" t="str">
        <x:f>IFERROR(VLOOKUP(C27,PC!A$1:K$435,2,FALSE),"")</x:f>
        <x:v/>
      </x:c>
      <x:c r="F27" s="188" t="str">
        <x:f>IFERROR(VLOOKUP(C27,PC!A$1:K$435,7,FALSE)&amp;" "&amp;VLOOKUP(C27,PC!A$1:K$435,6,FALSE),"")</x:f>
        <x:v/>
      </x:c>
      <x:c r="G27" s="4" t="str">
        <x:f>IFERROR(VLOOKUP(C27,PC!$A$1:$K$435,3,FALSE),"")</x:f>
        <x:v/>
      </x:c>
      <x:c r="H27" s="1" t="str">
        <x:f t="shared" si="0"/>
        <x:v>10.51.90.96</x:v>
      </x:c>
    </x:row>
    <x:row r="28" spans="1:8">
      <x:c r="A28" s="30"/>
      <x:c r="B28" s="227">
        <x:v>97</x:v>
      </x:c>
      <x:c r="C28" s="228" t="s">
        <x:v>1495</x:v>
      </x:c>
      <x:c r="D28" s="55" t="str">
        <x:f>IFERROR(VLOOKUP(C28,'정보화기기 명부'!A$2:B$138,2,FALSE),"")</x:f>
        <x:v>1학년부</x:v>
      </x:c>
      <x:c r="E28" s="5" t="str">
        <x:f>IFERROR(VLOOKUP(C28,PC!A$1:K$435,2,FALSE),"")</x:f>
        <x:v/>
      </x:c>
      <x:c r="F28" s="248" t="s">
        <x:v>3203</x:v>
      </x:c>
      <x:c r="G28" s="5" t="str">
        <x:f>IFERROR(VLOOKUP(C28,PC!$A$1:$K$435,3,FALSE),"")</x:f>
        <x:v/>
      </x:c>
      <x:c r="H28" s="1" t="str">
        <x:f t="shared" si="0"/>
        <x:v>10.51.90.97</x:v>
      </x:c>
    </x:row>
    <x:row r="29" spans="1:8">
      <x:c r="A29" s="30"/>
      <x:c r="B29" s="227">
        <x:v>98</x:v>
      </x:c>
      <x:c r="C29" s="228" t="s">
        <x:v>1651</x:v>
      </x:c>
      <x:c r="D29" s="55" t="str">
        <x:f>IFERROR(VLOOKUP(C29,'정보화기기 명부'!A$2:B$138,2,FALSE),"")</x:f>
        <x:v>교무기획부</x:v>
      </x:c>
      <x:c r="E29" s="5" t="str">
        <x:f>IFERROR(VLOOKUP(C29,PC!A$1:K$435,2,FALSE),"")</x:f>
        <x:v>20180521-0776</x:v>
      </x:c>
      <x:c r="F29" s="189" t="str">
        <x:f>IFERROR(VLOOKUP(C29,PC!A$1:K$435,7,FALSE)&amp;" "&amp;VLOOKUP(C29,PC!A$1:K$435,6,FALSE),"")</x:f>
        <x:v>주연테크 JY-AX44P5G</x:v>
      </x:c>
      <x:c r="G29" s="5" t="str">
        <x:f>IFERROR(VLOOKUP(C29,PC!$A$1:$K$435,3,FALSE),"")</x:f>
        <x:v>데스크톱</x:v>
      </x:c>
      <x:c r="H29" s="1" t="str">
        <x:f t="shared" si="0"/>
        <x:v>10.51.90.98</x:v>
      </x:c>
    </x:row>
    <x:row r="30" spans="1:8">
      <x:c r="A30" s="30"/>
      <x:c r="B30" s="227">
        <x:v>99</x:v>
      </x:c>
      <x:c r="C30" s="228" t="s">
        <x:v>1220</x:v>
      </x:c>
      <x:c r="D30" s="55" t="str">
        <x:f>IFERROR(VLOOKUP(C30,'정보화기기 명부'!A$2:B$138,2,FALSE),"")</x:f>
        <x:v>학생인권안전부</x:v>
      </x:c>
      <x:c r="E30" s="5" t="str">
        <x:f>IFERROR(VLOOKUP(C30,PC!A$1:K$435,2,FALSE),"")</x:f>
        <x:v/>
      </x:c>
      <x:c r="F30" s="189" t="str">
        <x:f>IFERROR(VLOOKUP(C30,PC!A$1:K$435,7,FALSE)&amp;" "&amp;VLOOKUP(C30,PC!A$1:K$435,6,FALSE),"")</x:f>
        <x:v/>
      </x:c>
      <x:c r="G30" s="5" t="str">
        <x:f>IFERROR(VLOOKUP(C30,PC!$A$1:$K$435,3,FALSE),"")</x:f>
        <x:v/>
      </x:c>
      <x:c r="H30" s="1" t="str">
        <x:f t="shared" si="0"/>
        <x:v>10.51.90.99</x:v>
      </x:c>
    </x:row>
    <x:row r="31" spans="1:11" ht="16.75">
      <x:c r="A31" s="30"/>
      <x:c r="B31" s="34">
        <x:v>100</x:v>
      </x:c>
      <x:c r="C31" s="213" t="s">
        <x:v>1617</x:v>
      </x:c>
      <x:c r="D31" s="55" t="str">
        <x:f>IFERROR(VLOOKUP(C31,'정보화기기 명부'!A$2:B$138,2,FALSE),"")</x:f>
        <x:v>정보교육부</x:v>
      </x:c>
      <x:c r="E31" s="7" t="str">
        <x:f>IFERROR(VLOOKUP(C31,PC!A$1:K$435,2,FALSE),"")</x:f>
        <x:v>20190927-0802</x:v>
      </x:c>
      <x:c r="F31" s="190" t="str">
        <x:f>IFERROR(VLOOKUP(C31,PC!A$1:K$435,7,FALSE)&amp;" "&amp;VLOOKUP(C31,PC!A$1:K$435,6,FALSE),"")</x:f>
        <x:v>레드스톤 VITO RMS-565S</x:v>
      </x:c>
      <x:c r="G31" s="7" t="str">
        <x:f>IFERROR(VLOOKUP(C31,PC!$A$1:$K$435,3,FALSE),"")</x:f>
        <x:v>데스크톱</x:v>
      </x:c>
      <x:c r="H31" s="1" t="str">
        <x:f t="shared" si="0"/>
        <x:v>10.51.90.100</x:v>
      </x:c>
      <x:c r="J31" s="306" t="s">
        <x:v>1937</x:v>
      </x:c>
      <x:c r="K31" s="306"/>
    </x:row>
    <x:row r="32" spans="1:11" ht="16.75">
      <x:c r="A32" s="30"/>
      <x:c r="B32" s="225">
        <x:v>101</x:v>
      </x:c>
      <x:c r="C32" s="226" t="s">
        <x:v>1216</x:v>
      </x:c>
      <x:c r="D32" s="55" t="str">
        <x:f>IFERROR(VLOOKUP(C32,'정보화기기 명부'!A$2:B$138,2,FALSE),"")</x:f>
        <x:v>3학년부</x:v>
      </x:c>
      <x:c r="E32" s="4" t="str">
        <x:f>IFERROR(VLOOKUP(C32,PC!A$1:K$435,2,FALSE),"")</x:f>
        <x:v>20230315-0921</x:v>
      </x:c>
      <x:c r="F32" s="188" t="str">
        <x:f>IFERROR(VLOOKUP(C32,PC!A$1:K$435,7,FALSE)&amp;" "&amp;VLOOKUP(C32,PC!A$1:K$435,6,FALSE),"")</x:f>
        <x:v>삼성 NT550XED-KG03G</x:v>
      </x:c>
      <x:c r="G32" s="4" t="str">
        <x:f>IFERROR(VLOOKUP(C32,PC!$A$1:$K$435,3,FALSE),"")</x:f>
        <x:v>노트북</x:v>
      </x:c>
      <x:c r="H32" s="1" t="str">
        <x:f t="shared" si="0"/>
        <x:v>10.51.90.101</x:v>
      </x:c>
      <x:c r="J32" s="62" t="s">
        <x:v>1410</x:v>
      </x:c>
      <x:c r="K32" s="61" t="s">
        <x:v>1454</x:v>
      </x:c>
    </x:row>
    <x:row r="33" spans="1:11">
      <x:c r="A33" s="30"/>
      <x:c r="B33" s="227">
        <x:v>102</x:v>
      </x:c>
      <x:c r="C33" s="228" t="s">
        <x:v>1574</x:v>
      </x:c>
      <x:c r="D33" s="55" t="str">
        <x:f>IFERROR(VLOOKUP(C33,'정보화기기 명부'!A$2:B$138,2,FALSE),"")</x:f>
        <x:v>혁신교육부</x:v>
      </x:c>
      <x:c r="E33" s="5" t="str">
        <x:f>IFERROR(VLOOKUP(C33,PC!A$1:K$435,2,FALSE),"")</x:f>
        <x:v>20220829-0912</x:v>
      </x:c>
      <x:c r="F33" s="189" t="str">
        <x:f>IFERROR(VLOOKUP(C33,PC!A$1:K$435,7,FALSE)&amp;" "&amp;VLOOKUP(C33,PC!A$1:K$435,6,FALSE),"")</x:f>
        <x:v>삼보 N5800-G050-OU02</x:v>
      </x:c>
      <x:c r="G33" s="5" t="str">
        <x:f>IFERROR(VLOOKUP(C33,PC!$A$1:$K$435,3,FALSE),"")</x:f>
        <x:v>노트북</x:v>
      </x:c>
      <x:c r="H33" s="1" t="str">
        <x:f t="shared" si="0"/>
        <x:v>10.51.90.102</x:v>
      </x:c>
      <x:c r="J33" s="63" t="s">
        <x:v>2151</x:v>
      </x:c>
      <x:c r="K33" s="60" t="s">
        <x:v>1938</x:v>
      </x:c>
    </x:row>
    <x:row r="34" spans="1:13">
      <x:c r="A34" s="30"/>
      <x:c r="B34" s="227">
        <x:v>103</x:v>
      </x:c>
      <x:c r="C34" s="228" t="s">
        <x:v>1612</x:v>
      </x:c>
      <x:c r="D34" s="55" t="str">
        <x:f>IFERROR(VLOOKUP(C34,'정보화기기 명부'!A$2:B$138,2,FALSE),"")</x:f>
        <x:v>2학년부</x:v>
      </x:c>
      <x:c r="E34" s="5" t="str">
        <x:f>IFERROR(VLOOKUP(C34,PC!A$1:K$435,2,FALSE),"")</x:f>
        <x:v/>
      </x:c>
      <x:c r="F34" s="189" t="str">
        <x:f>IFERROR(VLOOKUP(C34,PC!A$1:K$435,7,FALSE)&amp;" "&amp;VLOOKUP(C34,PC!A$1:K$435,6,FALSE),"")</x:f>
        <x:v/>
      </x:c>
      <x:c r="G34" s="5" t="str">
        <x:f>IFERROR(VLOOKUP(C34,PC!$A$1:$K$435,3,FALSE),"")</x:f>
        <x:v/>
      </x:c>
      <x:c r="H34" s="1" t="str">
        <x:f t="shared" si="0"/>
        <x:v>10.51.90.103</x:v>
      </x:c>
      <x:c r="J34" s="63" t="s">
        <x:v>1452</x:v>
      </x:c>
      <x:c r="K34" s="60" t="s">
        <x:v>1990</x:v>
      </x:c>
      <x:c r="L34" s="11" t="s">
        <x:v>1946</x:v>
      </x:c>
      <x:c r="M34" s="11">
        <x:v>5519305</x:v>
      </x:c>
    </x:row>
    <x:row r="35" spans="1:11">
      <x:c r="A35" s="30"/>
      <x:c r="B35" s="227">
        <x:v>104</x:v>
      </x:c>
      <x:c r="C35" s="228" t="s">
        <x:v>1206</x:v>
      </x:c>
      <x:c r="D35" s="55" t="str">
        <x:f>IFERROR(VLOOKUP(C35,'정보화기기 명부'!A$2:B$138,2,FALSE),"")</x:f>
        <x:v>정보교육부</x:v>
      </x:c>
      <x:c r="E35" s="5" t="str">
        <x:f>IFERROR(VLOOKUP(C35,PC!A$1:K$435,2,FALSE),"")</x:f>
        <x:v/>
      </x:c>
      <x:c r="F35" s="189" t="str">
        <x:f>IFERROR(VLOOKUP(C35,PC!A$1:K$435,7,FALSE)&amp;" "&amp;VLOOKUP(C35,PC!A$1:K$435,6,FALSE),"")</x:f>
        <x:v/>
      </x:c>
      <x:c r="G35" s="5" t="str">
        <x:f>IFERROR(VLOOKUP(C35,PC!$A$1:$K$435,3,FALSE),"")</x:f>
        <x:v/>
      </x:c>
      <x:c r="H35" s="1" t="str">
        <x:f t="shared" si="0"/>
        <x:v>10.51.90.104</x:v>
      </x:c>
      <x:c r="J35" s="63" t="s">
        <x:v>1955</x:v>
      </x:c>
      <x:c r="K35" s="60" t="s">
        <x:v>643</x:v>
      </x:c>
    </x:row>
    <x:row r="36" spans="1:11">
      <x:c r="A36" s="30"/>
      <x:c r="B36" s="229">
        <x:v>105</x:v>
      </x:c>
      <x:c r="C36" s="230" t="s">
        <x:v>1496</x:v>
      </x:c>
      <x:c r="D36" s="55" t="str">
        <x:f>IFERROR(VLOOKUP(C36,'정보화기기 명부'!A$2:B$138,2,FALSE),"")</x:f>
        <x:v>체육보건부</x:v>
      </x:c>
      <x:c r="E36" s="7" t="str">
        <x:f>IFERROR(VLOOKUP(C36,PC!A$1:K$435,2,FALSE),"")</x:f>
        <x:v/>
      </x:c>
      <x:c r="F36" s="190" t="str">
        <x:f>IFERROR(VLOOKUP(C36,PC!A$1:K$435,7,FALSE)&amp;" "&amp;VLOOKUP(C36,PC!A$1:K$435,6,FALSE),"")</x:f>
        <x:v/>
      </x:c>
      <x:c r="G36" s="7" t="str">
        <x:f>IFERROR(VLOOKUP(C36,PC!$A$1:$K$435,3,FALSE),"")</x:f>
        <x:v/>
      </x:c>
      <x:c r="H36" s="1" t="str">
        <x:f t="shared" si="0"/>
        <x:v>10.51.90.105</x:v>
      </x:c>
      <x:c r="J36" s="63" t="s">
        <x:v>1926</x:v>
      </x:c>
      <x:c r="K36" s="60" t="s">
        <x:v>1938</x:v>
      </x:c>
    </x:row>
    <x:row r="37" spans="1:11">
      <x:c r="A37" s="30"/>
      <x:c r="B37" s="32">
        <x:v>106</x:v>
      </x:c>
      <x:c r="C37" s="214" t="s">
        <x:v>1482</x:v>
      </x:c>
      <x:c r="D37" s="55" t="str">
        <x:f>IFERROR(VLOOKUP(C37,'정보화기기 명부'!A$2:B$138,2,FALSE),"")</x:f>
        <x:v/>
      </x:c>
      <x:c r="E37" s="4" t="str">
        <x:f>IFERROR(VLOOKUP(C37,PC!A$1:K$435,2,FALSE),"")</x:f>
        <x:v>20190927-0801</x:v>
      </x:c>
      <x:c r="F37" s="188" t="str">
        <x:f>IFERROR(VLOOKUP(C37,PC!A$1:K$435,7,FALSE)&amp;" "&amp;VLOOKUP(C37,PC!A$1:K$435,6,FALSE),"")</x:f>
        <x:v>레드스톤 VITO RMS-565S</x:v>
      </x:c>
      <x:c r="G37" s="4" t="str">
        <x:f>IFERROR(VLOOKUP(C37,PC!$A$1:$K$435,3,FALSE),"")</x:f>
        <x:v>데스크톱</x:v>
      </x:c>
      <x:c r="H37" s="1" t="str">
        <x:f t="shared" si="0"/>
        <x:v>10.51.90.106</x:v>
      </x:c>
      <x:c r="J37" s="63" t="s">
        <x:v>1482</x:v>
      </x:c>
      <x:c r="K37" s="60" t="s">
        <x:v>1957</x:v>
      </x:c>
    </x:row>
    <x:row r="38" spans="1:11" ht="16.75">
      <x:c r="A38" s="30"/>
      <x:c r="B38" s="227">
        <x:v>107</x:v>
      </x:c>
      <x:c r="C38" s="228" t="s">
        <x:v>1562</x:v>
      </x:c>
      <x:c r="D38" s="55" t="str">
        <x:f>IFERROR(VLOOKUP(C38,'정보화기기 명부'!A$2:B$138,2,FALSE),"")</x:f>
        <x:v>정보교육부</x:v>
      </x:c>
      <x:c r="E38" s="5" t="str">
        <x:f>IFERROR(VLOOKUP(C38,PC!A$1:K$435,2,FALSE),"")</x:f>
        <x:v>20220308-0903</x:v>
      </x:c>
      <x:c r="F38" s="189" t="str">
        <x:f>IFERROR(VLOOKUP(C38,PC!A$1:K$435,7,FALSE)&amp;" "&amp;VLOOKUP(C38,PC!A$1:K$435,6,FALSE),"")</x:f>
        <x:v>삼성 NT550XDA-KG01G</x:v>
      </x:c>
      <x:c r="G38" s="5" t="str">
        <x:f>IFERROR(VLOOKUP(C38,PC!$A$1:$K$435,3,FALSE),"")</x:f>
        <x:v>노트북</x:v>
      </x:c>
      <x:c r="H38" s="1" t="str">
        <x:f t="shared" si="0"/>
        <x:v>10.51.90.107</x:v>
      </x:c>
      <x:c r="J38" s="121" t="s">
        <x:v>1443</x:v>
      </x:c>
      <x:c r="K38" s="122" t="s">
        <x:v>1909</x:v>
      </x:c>
    </x:row>
    <x:row r="39" spans="1:8">
      <x:c r="A39" s="30"/>
      <x:c r="B39" s="227">
        <x:v>108</x:v>
      </x:c>
      <x:c r="C39" s="228" t="s">
        <x:v>1203</x:v>
      </x:c>
      <x:c r="D39" s="55" t="str">
        <x:f>IFERROR(VLOOKUP(C39,'정보화기기 명부'!A$2:B$138,2,FALSE),"")</x:f>
        <x:v>교무기획부</x:v>
      </x:c>
      <x:c r="E39" s="5" t="str">
        <x:f>IFERROR(VLOOKUP(C39,PC!A$1:K$435,2,FALSE),"")</x:f>
        <x:v/>
      </x:c>
      <x:c r="F39" s="189" t="str">
        <x:f>IFERROR(VLOOKUP(C39,PC!A$1:K$435,7,FALSE)&amp;" "&amp;VLOOKUP(C39,PC!A$1:K$435,6,FALSE),"")</x:f>
        <x:v/>
      </x:c>
      <x:c r="G39" s="5" t="str">
        <x:f>IFERROR(VLOOKUP(C39,PC!$A$1:$K$435,3,FALSE),"")</x:f>
        <x:v/>
      </x:c>
      <x:c r="H39" s="1" t="str">
        <x:f t="shared" si="0"/>
        <x:v>10.51.90.108</x:v>
      </x:c>
    </x:row>
    <x:row r="40" spans="1:8">
      <x:c r="A40" s="30"/>
      <x:c r="B40" s="227">
        <x:v>109</x:v>
      </x:c>
      <x:c r="C40" s="228" t="s">
        <x:v>1239</x:v>
      </x:c>
      <x:c r="D40" s="55" t="str">
        <x:f>IFERROR(VLOOKUP(C40,'정보화기기 명부'!A$2:B$138,2,FALSE),"")</x:f>
        <x:v>교육과정부</x:v>
      </x:c>
      <x:c r="E40" s="5" t="str">
        <x:f>IFERROR(VLOOKUP(C40,PC!A$1:K$435,2,FALSE),"")</x:f>
        <x:v/>
      </x:c>
      <x:c r="F40" s="189" t="str">
        <x:f>IFERROR(VLOOKUP(C40,PC!A$1:K$435,7,FALSE)&amp;" "&amp;VLOOKUP(C40,PC!A$1:K$435,6,FALSE),"")</x:f>
        <x:v/>
      </x:c>
      <x:c r="G40" s="5" t="str">
        <x:f>IFERROR(VLOOKUP(C40,PC!$A$1:$K$435,3,FALSE),"")</x:f>
        <x:v/>
      </x:c>
      <x:c r="H40" s="1" t="str">
        <x:f t="shared" si="0"/>
        <x:v>10.51.90.109</x:v>
      </x:c>
    </x:row>
    <x:row r="41" spans="1:8">
      <x:c r="A41" s="30"/>
      <x:c r="B41" s="34">
        <x:v>110</x:v>
      </x:c>
      <x:c r="C41" s="213" t="s">
        <x:v>2051</x:v>
      </x:c>
      <x:c r="D41" s="55" t="str">
        <x:f>IFERROR(VLOOKUP(C41,'정보화기기 명부'!A$2:B$138,2,FALSE),"")</x:f>
        <x:v>소강당</x:v>
      </x:c>
      <x:c r="E41" s="7" t="str">
        <x:f>IFERROR(VLOOKUP(C41,PC!A$1:K$435,2,FALSE),"")</x:f>
        <x:v>20190115-0788</x:v>
      </x:c>
      <x:c r="F41" s="190" t="str">
        <x:f>IFERROR(VLOOKUP(C41,PC!A$1:K$435,7,FALSE)&amp;" "&amp;VLOOKUP(C41,PC!A$1:K$435,6,FALSE),"")</x:f>
        <x:v>대우루컴즈 솔로탑G-3FEE</x:v>
      </x:c>
      <x:c r="G41" s="7" t="str">
        <x:f>IFERROR(VLOOKUP(C41,PC!$A$1:$K$435,3,FALSE),"")</x:f>
        <x:v>데스크톱</x:v>
      </x:c>
      <x:c r="H41" s="1" t="str">
        <x:f t="shared" si="0"/>
        <x:v>10.51.90.110</x:v>
      </x:c>
    </x:row>
    <x:row r="42" spans="1:8">
      <x:c r="A42" s="30"/>
      <x:c r="B42" s="225">
        <x:v>111</x:v>
      </x:c>
      <x:c r="C42" s="226" t="s">
        <x:v>1645</x:v>
      </x:c>
      <x:c r="D42" s="55" t="str">
        <x:f>IFERROR(VLOOKUP(C42,'정보화기기 명부'!A$2:B$138,2,FALSE),"")</x:f>
        <x:v>정보교육부</x:v>
      </x:c>
      <x:c r="E42" s="4" t="str">
        <x:f>IFERROR(VLOOKUP(C42,PC!A$1:K$435,2,FALSE),"")</x:f>
        <x:v>20161223-0733</x:v>
      </x:c>
      <x:c r="F42" s="188" t="str">
        <x:f>IFERROR(VLOOKUP(C42,PC!A$1:K$435,7,FALSE)&amp;" "&amp;VLOOKUP(C42,PC!A$1:K$435,6,FALSE),"")</x:f>
        <x:v>레드스톤시스템 RHS-549PE</x:v>
      </x:c>
      <x:c r="G42" s="4" t="str">
        <x:f>IFERROR(VLOOKUP(C42,PC!$A$1:$K$435,3,FALSE),"")</x:f>
        <x:v>데스크톱</x:v>
      </x:c>
      <x:c r="H42" s="1" t="str">
        <x:f t="shared" si="0"/>
        <x:v>10.51.90.111</x:v>
      </x:c>
    </x:row>
    <x:row r="43" spans="1:8">
      <x:c r="A43" s="30"/>
      <x:c r="B43" s="227">
        <x:v>112</x:v>
      </x:c>
      <x:c r="C43" s="228" t="s">
        <x:v>1232</x:v>
      </x:c>
      <x:c r="D43" s="55" t="str">
        <x:f>IFERROR(VLOOKUP(C43,'정보화기기 명부'!A$2:B$138,2,FALSE),"")</x:f>
        <x:v>2학년부</x:v>
      </x:c>
      <x:c r="E43" s="5" t="str">
        <x:f>IFERROR(VLOOKUP(C43,PC!A$1:K$435,2,FALSE),"")</x:f>
        <x:v/>
      </x:c>
      <x:c r="F43" s="189" t="str">
        <x:f>IFERROR(VLOOKUP(C43,PC!A$1:K$435,7,FALSE)&amp;" "&amp;VLOOKUP(C43,PC!A$1:K$435,6,FALSE),"")</x:f>
        <x:v/>
      </x:c>
      <x:c r="G43" s="5" t="str">
        <x:f>IFERROR(VLOOKUP(C43,PC!$A$1:$K$435,3,FALSE),"")</x:f>
        <x:v/>
      </x:c>
      <x:c r="H43" s="1" t="str">
        <x:f t="shared" si="0"/>
        <x:v>10.51.90.112</x:v>
      </x:c>
    </x:row>
    <x:row r="44" spans="1:8">
      <x:c r="A44" s="30"/>
      <x:c r="B44" s="227">
        <x:v>113</x:v>
      </x:c>
      <x:c r="C44" s="228" t="s">
        <x:v>1497</x:v>
      </x:c>
      <x:c r="D44" s="55" t="str">
        <x:f>IFERROR(VLOOKUP(C44,'정보화기기 명부'!A$2:B$138,2,FALSE),"")</x:f>
        <x:v>1학년부</x:v>
      </x:c>
      <x:c r="E44" s="5" t="str">
        <x:f>IFERROR(VLOOKUP(C44,PC!A$1:K$435,2,FALSE),"")</x:f>
        <x:v/>
      </x:c>
      <x:c r="F44" s="248" t="s">
        <x:v>3203</x:v>
      </x:c>
      <x:c r="G44" s="5" t="str">
        <x:f>IFERROR(VLOOKUP(C44,PC!$A$1:$K$435,3,FALSE),"")</x:f>
        <x:v/>
      </x:c>
      <x:c r="H44" s="1" t="str">
        <x:f t="shared" si="0"/>
        <x:v>10.51.90.113</x:v>
      </x:c>
    </x:row>
    <x:row r="45" spans="1:8">
      <x:c r="A45" s="30"/>
      <x:c r="B45" s="227">
        <x:v>114</x:v>
      </x:c>
      <x:c r="C45" s="228" t="s">
        <x:v>1213</x:v>
      </x:c>
      <x:c r="D45" s="55" t="str">
        <x:f>IFERROR(VLOOKUP(C45,'정보화기기 명부'!A$2:B$138,2,FALSE),"")</x:f>
        <x:v>3학년부</x:v>
      </x:c>
      <x:c r="E45" s="5" t="str">
        <x:f>IFERROR(VLOOKUP(C45,PC!A$1:K$435,2,FALSE),"")</x:f>
        <x:v/>
      </x:c>
      <x:c r="F45" s="189" t="str">
        <x:f>IFERROR(VLOOKUP(C45,PC!A$1:K$435,7,FALSE)&amp;" "&amp;VLOOKUP(C45,PC!A$1:K$435,6,FALSE),"")</x:f>
        <x:v/>
      </x:c>
      <x:c r="G45" s="5" t="str">
        <x:f>IFERROR(VLOOKUP(C45,PC!$A$1:$K$435,3,FALSE),"")</x:f>
        <x:v/>
      </x:c>
      <x:c r="H45" s="1" t="str">
        <x:f t="shared" si="0"/>
        <x:v>10.51.90.114</x:v>
      </x:c>
    </x:row>
    <x:row r="46" spans="1:8">
      <x:c r="A46" s="30"/>
      <x:c r="B46" s="229">
        <x:v>115</x:v>
      </x:c>
      <x:c r="C46" s="230" t="s">
        <x:v>1419</x:v>
      </x:c>
      <x:c r="D46" s="55" t="str">
        <x:f>IFERROR(VLOOKUP(C46,'정보화기기 명부'!A$2:B$138,2,FALSE),"")</x:f>
        <x:v>2학년부</x:v>
      </x:c>
      <x:c r="E46" s="7" t="str">
        <x:f>IFERROR(VLOOKUP(C46,PC!A$1:K$435,2,FALSE),"")</x:f>
        <x:v/>
      </x:c>
      <x:c r="F46" s="248" t="s">
        <x:v>3203</x:v>
      </x:c>
      <x:c r="G46" s="7" t="str">
        <x:f>IFERROR(VLOOKUP(C46,PC!$A$1:$K$435,3,FALSE),"")</x:f>
        <x:v/>
      </x:c>
      <x:c r="H46" s="1" t="str">
        <x:f t="shared" si="0"/>
        <x:v>10.51.90.115</x:v>
      </x:c>
    </x:row>
    <x:row r="47" spans="1:13" ht="16.75">
      <x:c r="A47" s="30"/>
      <x:c r="B47" s="225">
        <x:v>116</x:v>
      </x:c>
      <x:c r="C47" s="226" t="s">
        <x:v>1224</x:v>
      </x:c>
      <x:c r="D47" s="55" t="str">
        <x:f>IFERROR(VLOOKUP(C47,'정보화기기 명부'!A$2:B$138,2,FALSE),"")</x:f>
        <x:v>1학년부</x:v>
      </x:c>
      <x:c r="E47" s="4" t="str">
        <x:f>IFERROR(VLOOKUP(C47,PC!A$1:K$435,2,FALSE),"")</x:f>
        <x:v/>
      </x:c>
      <x:c r="F47" s="248" t="s">
        <x:v>3203</x:v>
      </x:c>
      <x:c r="G47" s="4" t="str">
        <x:f>IFERROR(VLOOKUP(C47,PC!$A$1:$K$435,3,FALSE),"")</x:f>
        <x:v/>
      </x:c>
      <x:c r="H47" s="1" t="str">
        <x:f t="shared" si="0"/>
        <x:v>10.51.90.116</x:v>
      </x:c>
      <x:c r="J47" s="307" t="s">
        <x:v>2225</x:v>
      </x:c>
      <x:c r="K47" s="309" t="s">
        <x:v>1466</x:v>
      </x:c>
      <x:c r="L47" s="311" t="s">
        <x:v>2010</x:v>
      </x:c>
      <x:c r="M47" s="312"/>
    </x:row>
    <x:row r="48" spans="1:13">
      <x:c r="A48" s="30"/>
      <x:c r="B48" s="227">
        <x:v>117</x:v>
      </x:c>
      <x:c r="C48" s="228" t="s">
        <x:v>1268</x:v>
      </x:c>
      <x:c r="D48" s="55" t="str">
        <x:f>IFERROR(VLOOKUP(C48,'정보화기기 명부'!A$2:B$138,2,FALSE),"")</x:f>
        <x:v>Wee클래스</x:v>
      </x:c>
      <x:c r="E48" s="5" t="str">
        <x:f>IFERROR(VLOOKUP(C48,PC!A$1:K$435,2,FALSE),"")</x:f>
        <x:v>20250708-0853</x:v>
      </x:c>
      <x:c r="F48" s="189" t="str">
        <x:f>IFERROR(VLOOKUP(C48,PC!A$1:K$435,7,FALSE)&amp;" "&amp;VLOOKUP(C48,PC!A$1:K$435,6,FALSE),"")</x:f>
        <x:v>대우루컴즈 DS361A-245430</x:v>
      </x:c>
      <x:c r="G48" s="5" t="str">
        <x:f>IFERROR(VLOOKUP(C48,PC!$A$1:$K$435,3,FALSE),"")</x:f>
        <x:v>데스크톱</x:v>
      </x:c>
      <x:c r="H48" s="1" t="str">
        <x:f t="shared" si="0"/>
        <x:v>10.51.90.117</x:v>
      </x:c>
      <x:c r="I48" s="103"/>
      <x:c r="J48" s="308"/>
      <x:c r="K48" s="310"/>
      <x:c r="L48" s="2" t="s">
        <x:v>1930</x:v>
      </x:c>
      <x:c r="M48" s="104" t="s">
        <x:v>1904</x:v>
      </x:c>
    </x:row>
    <x:row r="49" spans="1:13">
      <x:c r="A49" s="30"/>
      <x:c r="B49" s="227">
        <x:v>118</x:v>
      </x:c>
      <x:c r="C49" s="228" t="s">
        <x:v>1231</x:v>
      </x:c>
      <x:c r="D49" s="55" t="str">
        <x:f>IFERROR(VLOOKUP(C49,'정보화기기 명부'!A$2:B$138,2,FALSE),"")</x:f>
        <x:v>체육보건부</x:v>
      </x:c>
      <x:c r="E49" s="5" t="str">
        <x:f>IFERROR(VLOOKUP(C49,PC!A$1:K$435,2,FALSE),"")</x:f>
        <x:v/>
      </x:c>
      <x:c r="F49" s="248" t="s">
        <x:v>3203</x:v>
      </x:c>
      <x:c r="G49" s="5" t="str">
        <x:f>IFERROR(VLOOKUP(C49,PC!$A$1:$K$435,3,FALSE),"")</x:f>
        <x:v/>
      </x:c>
      <x:c r="H49" s="1" t="str">
        <x:f t="shared" si="0"/>
        <x:v>10.51.90.118</x:v>
      </x:c>
      <x:c r="J49" s="105" t="s">
        <x:v>1470</x:v>
      </x:c>
      <x:c r="K49" s="2" t="s">
        <x:v>1963</x:v>
      </x:c>
      <x:c r="L49" s="2" t="s">
        <x:v>1879</x:v>
      </x:c>
      <x:c r="M49" s="104" t="s">
        <x:v>640</x:v>
      </x:c>
    </x:row>
    <x:row r="50" spans="1:13" ht="16.75">
      <x:c r="A50" s="30"/>
      <x:c r="B50" s="227">
        <x:v>119</x:v>
      </x:c>
      <x:c r="C50" s="228" t="s">
        <x:v>1515</x:v>
      </x:c>
      <x:c r="D50" s="55" t="str">
        <x:f>IFERROR(VLOOKUP(C50,'정보화기기 명부'!A$2:B$138,2,FALSE),"")</x:f>
        <x:v>3학년부</x:v>
      </x:c>
      <x:c r="E50" s="5" t="str">
        <x:f>IFERROR(VLOOKUP(C50,PC!A$1:K$435,2,FALSE),"")</x:f>
        <x:v/>
      </x:c>
      <x:c r="F50" s="189" t="str">
        <x:f>IFERROR(VLOOKUP(C50,PC!A$1:K$435,7,FALSE)&amp;" "&amp;VLOOKUP(C50,PC!A$1:K$435,6,FALSE),"")</x:f>
        <x:v/>
      </x:c>
      <x:c r="G50" s="5" t="str">
        <x:f>IFERROR(VLOOKUP(C50,PC!$A$1:$K$435,3,FALSE),"")</x:f>
        <x:v/>
      </x:c>
      <x:c r="H50" s="1" t="str">
        <x:f t="shared" si="0"/>
        <x:v>10.51.90.119</x:v>
      </x:c>
      <x:c r="J50" s="106" t="s">
        <x:v>1391</x:v>
      </x:c>
      <x:c r="K50" s="107" t="s">
        <x:v>1938</x:v>
      </x:c>
      <x:c r="L50" s="313" t="s">
        <x:v>653</x:v>
      </x:c>
      <x:c r="M50" s="314"/>
    </x:row>
    <x:row r="51" spans="1:13">
      <x:c r="A51" s="30"/>
      <x:c r="B51" s="229">
        <x:v>120</x:v>
      </x:c>
      <x:c r="C51" s="230" t="s">
        <x:v>1230</x:v>
      </x:c>
      <x:c r="D51" s="55" t="str">
        <x:f>IFERROR(VLOOKUP(C51,'정보화기기 명부'!A$2:B$138,2,FALSE),"")</x:f>
        <x:v>1학년부</x:v>
      </x:c>
      <x:c r="E51" s="7" t="str">
        <x:f>IFERROR(VLOOKUP(C51,PC!A$1:K$435,2,FALSE),"")</x:f>
        <x:v/>
      </x:c>
      <x:c r="F51" s="190" t="str">
        <x:f>IFERROR(VLOOKUP(C51,PC!A$1:K$435,7,FALSE)&amp;" "&amp;VLOOKUP(C51,PC!A$1:K$435,6,FALSE),"")</x:f>
        <x:v/>
      </x:c>
      <x:c r="G51" s="7" t="str">
        <x:f>IFERROR(VLOOKUP(C51,PC!$A$1:$K$435,3,FALSE),"")</x:f>
        <x:v/>
      </x:c>
      <x:c r="H51" s="1" t="str">
        <x:f t="shared" si="0"/>
        <x:v>10.51.90.120</x:v>
      </x:c>
      <x:c r="J51" s="1"/>
      <x:c r="L51" s="1"/>
      <x:c r="M51" s="1"/>
    </x:row>
    <x:row r="52" spans="1:11">
      <x:c r="A52" s="30"/>
      <x:c r="B52" s="225">
        <x:v>121</x:v>
      </x:c>
      <x:c r="C52" s="226" t="s">
        <x:v>1210</x:v>
      </x:c>
      <x:c r="D52" s="55" t="str">
        <x:f>IFERROR(VLOOKUP(C52,'정보화기기 명부'!A$2:B$138,2,FALSE),"")</x:f>
        <x:v>인문사회부</x:v>
      </x:c>
      <x:c r="E52" s="4" t="str">
        <x:f>IFERROR(VLOOKUP(C52,PC!A$1:K$435,2,FALSE),"")</x:f>
        <x:v>20220829-0913</x:v>
      </x:c>
      <x:c r="F52" s="188" t="str">
        <x:f>IFERROR(VLOOKUP(C52,PC!A$1:K$435,7,FALSE)&amp;" "&amp;VLOOKUP(C52,PC!A$1:K$435,6,FALSE),"")</x:f>
        <x:v>삼보 N5800-G050-OU02</x:v>
      </x:c>
      <x:c r="G52" s="4" t="str">
        <x:f>IFERROR(VLOOKUP(C52,PC!$A$1:$K$435,3,FALSE),"")</x:f>
        <x:v>노트북</x:v>
      </x:c>
      <x:c r="H52" s="1" t="str">
        <x:f t="shared" si="0"/>
        <x:v>10.51.90.121</x:v>
      </x:c>
      <x:c r="J52" s="11" t="s">
        <x:v>1852</x:v>
      </x:c>
      <x:c r="K52" s="11" t="s">
        <x:v>2280</x:v>
      </x:c>
    </x:row>
    <x:row r="53" spans="1:11">
      <x:c r="A53" s="30"/>
      <x:c r="B53" s="227">
        <x:v>122</x:v>
      </x:c>
      <x:c r="C53" s="228" t="s">
        <x:v>1489</x:v>
      </x:c>
      <x:c r="D53" s="55" t="str">
        <x:f>IFERROR(VLOOKUP(C53,'정보화기기 명부'!A$2:B$138,2,FALSE),"")</x:f>
        <x:v>교무기획부</x:v>
      </x:c>
      <x:c r="E53" s="5" t="str">
        <x:f>IFERROR(VLOOKUP(C53,PC!A$1:K$435,2,FALSE),"")</x:f>
        <x:v/>
      </x:c>
      <x:c r="F53" s="189" t="str">
        <x:f>IFERROR(VLOOKUP(C53,PC!A$1:K$435,7,FALSE)&amp;" "&amp;VLOOKUP(C53,PC!A$1:K$435,6,FALSE),"")</x:f>
        <x:v/>
      </x:c>
      <x:c r="G53" s="5" t="str">
        <x:f>IFERROR(VLOOKUP(C53,PC!$A$1:$K$435,3,FALSE),"")</x:f>
        <x:v/>
      </x:c>
      <x:c r="H53" s="1" t="str">
        <x:f t="shared" si="0"/>
        <x:v>10.51.90.122</x:v>
      </x:c>
      <x:c r="J53" s="11" t="s">
        <x:v>1815</x:v>
      </x:c>
      <x:c r="K53" s="11" t="s">
        <x:v>688</x:v>
      </x:c>
    </x:row>
    <x:row r="54" spans="1:11">
      <x:c r="A54" s="30"/>
      <x:c r="B54" s="227">
        <x:v>123</x:v>
      </x:c>
      <x:c r="C54" s="228" t="s">
        <x:v>1214</x:v>
      </x:c>
      <x:c r="D54" s="55" t="str">
        <x:f>IFERROR(VLOOKUP(C54,'정보화기기 명부'!A$2:B$138,2,FALSE),"")</x:f>
        <x:v>특수교육부</x:v>
      </x:c>
      <x:c r="E54" s="5" t="str">
        <x:f>IFERROR(VLOOKUP(C54,PC!A$1:K$435,2,FALSE),"")</x:f>
        <x:v>20220829-0910</x:v>
      </x:c>
      <x:c r="F54" s="189" t="str">
        <x:f>IFERROR(VLOOKUP(C54,PC!A$1:K$435,7,FALSE)&amp;" "&amp;VLOOKUP(C54,PC!A$1:K$435,6,FALSE),"")</x:f>
        <x:v>삼보 N5800-G050-OU02</x:v>
      </x:c>
      <x:c r="G54" s="5" t="str">
        <x:f>IFERROR(VLOOKUP(C54,PC!$A$1:$K$435,3,FALSE),"")</x:f>
        <x:v>노트북</x:v>
      </x:c>
      <x:c r="H54" s="1" t="str">
        <x:f t="shared" si="0"/>
        <x:v>10.51.90.123</x:v>
      </x:c>
      <x:c r="J54" s="11" t="s">
        <x:v>690</x:v>
      </x:c>
      <x:c r="K54" s="11" t="s">
        <x:v>2269</x:v>
      </x:c>
    </x:row>
    <x:row r="55" spans="1:11">
      <x:c r="A55" s="30"/>
      <x:c r="B55" s="227">
        <x:v>124</x:v>
      </x:c>
      <x:c r="C55" s="228" t="s">
        <x:v>1205</x:v>
      </x:c>
      <x:c r="D55" s="55" t="str">
        <x:f>IFERROR(VLOOKUP(C55,'정보화기기 명부'!A$2:B$138,2,FALSE),"")</x:f>
        <x:v>특수교육부</x:v>
      </x:c>
      <x:c r="E55" s="5" t="str">
        <x:f>IFERROR(VLOOKUP(C55,PC!A$1:K$435,2,FALSE),"")</x:f>
        <x:v>20220829-0908</x:v>
      </x:c>
      <x:c r="F55" s="189" t="str">
        <x:f>IFERROR(VLOOKUP(C55,PC!A$1:K$435,7,FALSE)&amp;" "&amp;VLOOKUP(C55,PC!A$1:K$435,6,FALSE),"")</x:f>
        <x:v>삼보 N5800-G050-OU02</x:v>
      </x:c>
      <x:c r="G55" s="5" t="str">
        <x:f>IFERROR(VLOOKUP(C55,PC!$A$1:$K$435,3,FALSE),"")</x:f>
        <x:v>노트북</x:v>
      </x:c>
      <x:c r="H55" s="1" t="str">
        <x:f t="shared" si="0"/>
        <x:v>10.51.90.124</x:v>
      </x:c>
      <x:c r="J55" s="11" t="s">
        <x:v>2095</x:v>
      </x:c>
      <x:c r="K55" s="11" t="s">
        <x:v>1827</x:v>
      </x:c>
    </x:row>
    <x:row r="56" spans="1:8">
      <x:c r="A56" s="30"/>
      <x:c r="B56" s="229">
        <x:v>125</x:v>
      </x:c>
      <x:c r="C56" s="230" t="s">
        <x:v>1267</x:v>
      </x:c>
      <x:c r="D56" s="55" t="str">
        <x:f>IFERROR(VLOOKUP(C56,'정보화기기 명부'!A$2:B$138,2,FALSE),"")</x:f>
        <x:v>1학년부</x:v>
      </x:c>
      <x:c r="E56" s="7" t="str">
        <x:f>IFERROR(VLOOKUP(C56,PC!A$1:K$435,2,FALSE),"")</x:f>
        <x:v/>
      </x:c>
      <x:c r="F56" s="248" t="s">
        <x:v>3203</x:v>
      </x:c>
      <x:c r="G56" s="7" t="str">
        <x:f>IFERROR(VLOOKUP(C56,PC!$A$1:$K$435,3,FALSE),"")</x:f>
        <x:v/>
      </x:c>
      <x:c r="H56" s="1" t="str">
        <x:f t="shared" si="0"/>
        <x:v>10.51.90.125</x:v>
      </x:c>
    </x:row>
    <x:row r="57" spans="1:8">
      <x:c r="A57" s="30"/>
      <x:c r="B57" s="225">
        <x:v>126</x:v>
      </x:c>
      <x:c r="C57" s="226" t="s">
        <x:v>1207</x:v>
      </x:c>
      <x:c r="D57" s="55" t="str">
        <x:f>IFERROR(VLOOKUP(C57,'정보화기기 명부'!A$2:B$138,2,FALSE),"")</x:f>
        <x:v>수리과학부</x:v>
      </x:c>
      <x:c r="E57" s="4" t="str">
        <x:f>IFERROR(VLOOKUP(C57,PC!A$1:K$435,2,FALSE),"")</x:f>
        <x:v>20220829-0909</x:v>
      </x:c>
      <x:c r="F57" s="188" t="str">
        <x:f>IFERROR(VLOOKUP(C57,PC!A$1:K$435,7,FALSE)&amp;" "&amp;VLOOKUP(C57,PC!A$1:K$435,6,FALSE),"")</x:f>
        <x:v>삼보 N5800-G050-OU02</x:v>
      </x:c>
      <x:c r="G57" s="4" t="str">
        <x:f>IFERROR(VLOOKUP(C57,PC!$A$1:$K$435,3,FALSE),"")</x:f>
        <x:v>노트북</x:v>
      </x:c>
      <x:c r="H57" s="1" t="str">
        <x:f t="shared" si="0"/>
        <x:v>10.51.90.126</x:v>
      </x:c>
    </x:row>
    <x:row r="58" spans="1:8">
      <x:c r="A58" s="30"/>
      <x:c r="B58" s="227">
        <x:v>127</x:v>
      </x:c>
      <x:c r="C58" s="228" t="s">
        <x:v>2087</x:v>
      </x:c>
      <x:c r="D58" s="55" t="str">
        <x:f>IFERROR(VLOOKUP(C58,'정보화기기 명부'!A$2:B$138,2,FALSE),"")</x:f>
        <x:v/>
      </x:c>
      <x:c r="E58" s="5" t="str">
        <x:f>IFERROR(VLOOKUP(C58,PC!A$1:K$435,2,FALSE),"")</x:f>
        <x:v>20250708-0808</x:v>
      </x:c>
      <x:c r="F58" s="189" t="str">
        <x:f>IFERROR(VLOOKUP(C58,PC!A$1:K$435,7,FALSE)&amp;" "&amp;VLOOKUP(C58,PC!A$1:K$435,6,FALSE),"")</x:f>
        <x:v>대우루컴즈 DS361A-245430</x:v>
      </x:c>
      <x:c r="G58" s="5" t="str">
        <x:f>IFERROR(VLOOKUP(C58,PC!$A$1:$K$435,3,FALSE),"")</x:f>
        <x:v>데스크톱</x:v>
      </x:c>
      <x:c r="H58" s="1" t="str">
        <x:f t="shared" si="0"/>
        <x:v>10.51.90.127</x:v>
      </x:c>
    </x:row>
    <x:row r="59" spans="1:8">
      <x:c r="A59" s="30"/>
      <x:c r="B59" s="33">
        <x:v>128</x:v>
      </x:c>
      <x:c r="C59" s="212" t="s">
        <x:v>1838</x:v>
      </x:c>
      <x:c r="D59" s="55" t="str">
        <x:f>IFERROR(VLOOKUP(C59,'정보화기기 명부'!A$2:B$138,2,FALSE),"")</x:f>
        <x:v/>
      </x:c>
      <x:c r="E59" s="5" t="str">
        <x:f>IFERROR(VLOOKUP(C59,PC!A$1:K$435,2,FALSE),"")</x:f>
        <x:v>20190927-0807</x:v>
      </x:c>
      <x:c r="F59" s="189" t="str">
        <x:f>IFERROR(VLOOKUP(C59,PC!A$1:K$435,7,FALSE)&amp;" "&amp;VLOOKUP(C59,PC!A$1:K$435,6,FALSE),"")</x:f>
        <x:v>레드스톤 VITO RMS-565S</x:v>
      </x:c>
      <x:c r="G59" s="5" t="str">
        <x:f>IFERROR(VLOOKUP(C59,PC!$A$1:$K$435,3,FALSE),"")</x:f>
        <x:v>데스크톱</x:v>
      </x:c>
      <x:c r="H59" s="1" t="str">
        <x:f t="shared" si="0"/>
        <x:v>10.51.90.128</x:v>
      </x:c>
    </x:row>
    <x:row r="60" spans="1:8">
      <x:c r="A60" s="30"/>
      <x:c r="B60" s="33">
        <x:v>129</x:v>
      </x:c>
      <x:c r="C60" s="212" t="s">
        <x:v>2100</x:v>
      </x:c>
      <x:c r="D60" s="55" t="str">
        <x:f>IFERROR(VLOOKUP(C60,'정보화기기 명부'!A$2:B$138,2,FALSE),"")</x:f>
        <x:v/>
      </x:c>
      <x:c r="E60" s="5" t="str">
        <x:f>IFERROR(VLOOKUP(C60,PC!A$1:K$435,2,FALSE),"")</x:f>
        <x:v/>
      </x:c>
      <x:c r="F60" s="189" t="str">
        <x:f>IFERROR(VLOOKUP(C60,PC!A$1:K$435,7,FALSE)&amp;" "&amp;VLOOKUP(C60,PC!A$1:K$435,6,FALSE),"")</x:f>
        <x:v/>
      </x:c>
      <x:c r="G60" s="5" t="str">
        <x:f>IFERROR(VLOOKUP(C60,PC!$A$1:$K$435,3,FALSE),"")</x:f>
        <x:v/>
      </x:c>
      <x:c r="H60" s="1" t="str">
        <x:f t="shared" si="0"/>
        <x:v>10.51.90.129</x:v>
      </x:c>
    </x:row>
    <x:row r="61" spans="1:8">
      <x:c r="A61" s="30"/>
      <x:c r="B61" s="34">
        <x:v>130</x:v>
      </x:c>
      <x:c r="C61" s="213" t="s">
        <x:v>2015</x:v>
      </x:c>
      <x:c r="D61" s="55" t="str">
        <x:f>IFERROR(VLOOKUP(C61,'정보화기기 명부'!A$2:B$138,2,FALSE),"")</x:f>
        <x:v>도서실</x:v>
      </x:c>
      <x:c r="E61" s="7" t="str">
        <x:f>IFERROR(VLOOKUP(C61,PC!A$1:K$435,2,FALSE),"")</x:f>
        <x:v>20180918-0786</x:v>
      </x:c>
      <x:c r="F61" s="190" t="str">
        <x:f>IFERROR(VLOOKUP(C61,PC!A$1:K$435,7,FALSE)&amp;" "&amp;VLOOKUP(C61,PC!A$1:K$435,6,FALSE),"")</x:f>
        <x:v>에이텍 A6SBG6P</x:v>
      </x:c>
      <x:c r="G61" s="7" t="str">
        <x:f>IFERROR(VLOOKUP(C61,PC!$A$1:$K$435,3,FALSE),"")</x:f>
        <x:v>데스크톱</x:v>
      </x:c>
      <x:c r="H61" s="1" t="str">
        <x:f t="shared" si="0"/>
        <x:v>10.51.90.130</x:v>
      </x:c>
    </x:row>
    <x:row r="62" spans="1:8">
      <x:c r="A62" s="30"/>
      <x:c r="B62" s="225">
        <x:v>131</x:v>
      </x:c>
      <x:c r="C62" s="226" t="s">
        <x:v>1215</x:v>
      </x:c>
      <x:c r="D62" s="55" t="str">
        <x:f>IFERROR(VLOOKUP(C62,'정보화기기 명부'!A$2:B$138,2,FALSE),"")</x:f>
        <x:v>교육과정부</x:v>
      </x:c>
      <x:c r="E62" s="4" t="str">
        <x:f>IFERROR(VLOOKUP(C62,PC!A$1:K$435,2,FALSE),"")</x:f>
        <x:v>20220829-0906</x:v>
      </x:c>
      <x:c r="F62" s="188" t="str">
        <x:f>IFERROR(VLOOKUP(C62,PC!A$1:K$435,7,FALSE)&amp;" "&amp;VLOOKUP(C62,PC!A$1:K$435,6,FALSE),"")</x:f>
        <x:v>삼보 N5800-G050-OU02</x:v>
      </x:c>
      <x:c r="G62" s="4" t="str">
        <x:f>IFERROR(VLOOKUP(C62,PC!$A$1:$K$435,3,FALSE),"")</x:f>
        <x:v>노트북</x:v>
      </x:c>
      <x:c r="H62" s="1" t="str">
        <x:f t="shared" si="0"/>
        <x:v>10.51.90.131</x:v>
      </x:c>
    </x:row>
    <x:row r="63" spans="1:8">
      <x:c r="A63" s="30"/>
      <x:c r="B63" s="227">
        <x:v>132</x:v>
      </x:c>
      <x:c r="C63" s="228" t="s">
        <x:v>1269</x:v>
      </x:c>
      <x:c r="D63" s="55" t="str">
        <x:f>IFERROR(VLOOKUP(C63,'정보화기기 명부'!A$2:B$138,2,FALSE),"")</x:f>
        <x:v>3학년부</x:v>
      </x:c>
      <x:c r="E63" s="5" t="str">
        <x:f>IFERROR(VLOOKUP(C63,PC!A$1:K$435,2,FALSE),"")</x:f>
        <x:v>20220829-0905</x:v>
      </x:c>
      <x:c r="F63" s="189" t="str">
        <x:f>IFERROR(VLOOKUP(C63,PC!A$1:K$435,7,FALSE)&amp;" "&amp;VLOOKUP(C63,PC!A$1:K$435,6,FALSE),"")</x:f>
        <x:v>삼보 N5800-G050-OU02</x:v>
      </x:c>
      <x:c r="G63" s="5" t="str">
        <x:f>IFERROR(VLOOKUP(C63,PC!$A$1:$K$435,3,FALSE),"")</x:f>
        <x:v>노트북</x:v>
      </x:c>
      <x:c r="H63" s="1" t="str">
        <x:f t="shared" si="0"/>
        <x:v>10.51.90.132</x:v>
      </x:c>
    </x:row>
    <x:row r="64" spans="1:8">
      <x:c r="A64" s="30"/>
      <x:c r="B64" s="227">
        <x:v>133</x:v>
      </x:c>
      <x:c r="C64" s="228" t="s">
        <x:v>1255</x:v>
      </x:c>
      <x:c r="D64" s="55" t="str">
        <x:f>IFERROR(VLOOKUP(C64,'정보화기기 명부'!A$2:B$138,2,FALSE),"")</x:f>
        <x:v>3학년부</x:v>
      </x:c>
      <x:c r="E64" s="5" t="str">
        <x:f>IFERROR(VLOOKUP(C64,PC!A$1:K$435,2,FALSE),"")</x:f>
        <x:v>20220308-0904</x:v>
      </x:c>
      <x:c r="F64" s="189" t="str">
        <x:f>IFERROR(VLOOKUP(C64,PC!A$1:K$435,7,FALSE)&amp;" "&amp;VLOOKUP(C64,PC!A$1:K$435,6,FALSE),"")</x:f>
        <x:v>삼성 NT550XDA-KG01G</x:v>
      </x:c>
      <x:c r="G64" s="5" t="str">
        <x:f>IFERROR(VLOOKUP(C64,PC!$A$1:$K$435,3,FALSE),"")</x:f>
        <x:v>노트북</x:v>
      </x:c>
      <x:c r="H64" s="1" t="str">
        <x:f t="shared" si="0"/>
        <x:v>10.51.90.133</x:v>
      </x:c>
    </x:row>
    <x:row r="65" spans="1:8">
      <x:c r="A65" s="30"/>
      <x:c r="B65" s="227">
        <x:v>134</x:v>
      </x:c>
      <x:c r="C65" s="228" t="s">
        <x:v>1436</x:v>
      </x:c>
      <x:c r="D65" s="55" t="str">
        <x:f>IFERROR(VLOOKUP(C65,'정보화기기 명부'!A$2:B$138,2,FALSE),"")</x:f>
        <x:v>교무기획부</x:v>
      </x:c>
      <x:c r="E65" s="5" t="str">
        <x:f>IFERROR(VLOOKUP(C65,PC!A$1:K$435,2,FALSE),"")</x:f>
        <x:v/>
      </x:c>
      <x:c r="F65" s="189" t="str">
        <x:f>IFERROR(VLOOKUP(C65,PC!A$1:K$435,7,FALSE)&amp;" "&amp;VLOOKUP(C65,PC!A$1:K$435,6,FALSE),"")</x:f>
        <x:v/>
      </x:c>
      <x:c r="G65" s="5" t="str">
        <x:f>IFERROR(VLOOKUP(C65,PC!$A$1:$K$435,3,FALSE),"")</x:f>
        <x:v/>
      </x:c>
      <x:c r="H65" s="1" t="str">
        <x:f t="shared" si="0"/>
        <x:v>10.51.90.134</x:v>
      </x:c>
    </x:row>
    <x:row r="66" spans="1:8">
      <x:c r="A66" s="30"/>
      <x:c r="B66" s="34">
        <x:v>135</x:v>
      </x:c>
      <x:c r="C66" s="213" t="s">
        <x:v>1518</x:v>
      </x:c>
      <x:c r="D66" s="55" t="str">
        <x:f>IFERROR(VLOOKUP(C66,'정보화기기 명부'!A$2:B$138,2,FALSE),"")</x:f>
        <x:v>수리과학부</x:v>
      </x:c>
      <x:c r="E66" s="7" t="str">
        <x:f>IFERROR(VLOOKUP(C66,PC!A$1:K$435,2,FALSE),"")</x:f>
        <x:v>20170705-0746</x:v>
      </x:c>
      <x:c r="F66" s="190" t="str">
        <x:f>IFERROR(VLOOKUP(C66,PC!A$1:K$435,7,FALSE)&amp;" "&amp;VLOOKUP(C66,PC!A$1:K$435,6,FALSE),"")</x:f>
        <x:v>삼성 NT300E5L-K51G</x:v>
      </x:c>
      <x:c r="G66" s="7" t="str">
        <x:f>IFERROR(VLOOKUP(C66,PC!$A$1:$K$435,3,FALSE),"")</x:f>
        <x:v>노트북</x:v>
      </x:c>
      <x:c r="H66" s="1" t="str">
        <x:f t="shared" si="0"/>
        <x:v>10.51.90.135</x:v>
      </x:c>
    </x:row>
    <x:row r="67" spans="1:8">
      <x:c r="A67" s="30"/>
      <x:c r="B67" s="225">
        <x:v>136</x:v>
      </x:c>
      <x:c r="C67" s="226" t="s">
        <x:v>1265</x:v>
      </x:c>
      <x:c r="D67" s="55" t="str">
        <x:f>IFERROR(VLOOKUP(C67,'정보화기기 명부'!A$2:B$138,2,FALSE),"")</x:f>
        <x:v>학생인권안전부</x:v>
      </x:c>
      <x:c r="E67" s="4" t="str">
        <x:f>IFERROR(VLOOKUP(C67,PC!A$1:K$435,2,FALSE),"")</x:f>
        <x:v>20220829-0911</x:v>
      </x:c>
      <x:c r="F67" s="188" t="str">
        <x:f>IFERROR(VLOOKUP(C67,PC!A$1:K$435,7,FALSE)&amp;" "&amp;VLOOKUP(C67,PC!A$1:K$435,6,FALSE),"")</x:f>
        <x:v>삼보 N5800-G050-OU02</x:v>
      </x:c>
      <x:c r="G67" s="4" t="str">
        <x:f>IFERROR(VLOOKUP(C67,PC!$A$1:$K$435,3,FALSE),"")</x:f>
        <x:v>노트북</x:v>
      </x:c>
      <x:c r="H67" s="1" t="str">
        <x:f t="shared" ref="H67:H130" si="1">$A$2&amp;B67</x:f>
        <x:v>10.51.90.136</x:v>
      </x:c>
    </x:row>
    <x:row r="68" spans="1:8">
      <x:c r="A68" s="30"/>
      <x:c r="B68" s="231">
        <x:v>137</x:v>
      </x:c>
      <x:c r="C68" s="232"/>
      <x:c r="D68" s="55" t="str">
        <x:f>IFERROR(VLOOKUP(C68,'정보화기기 명부'!A$2:B$138,2,FALSE),"")</x:f>
        <x:v/>
      </x:c>
      <x:c r="E68" s="5" t="str">
        <x:f>IFERROR(VLOOKUP(C68,PC!A$1:K$435,2,FALSE),"")</x:f>
        <x:v/>
      </x:c>
      <x:c r="F68" s="189" t="str">
        <x:f>IFERROR(VLOOKUP(C68,PC!A$1:K$435,7,FALSE)&amp;" "&amp;VLOOKUP(C68,PC!A$1:K$435,6,FALSE),"")</x:f>
        <x:v/>
      </x:c>
      <x:c r="G68" s="5" t="str">
        <x:f>IFERROR(VLOOKUP(C68,PC!$A$1:$K$435,3,FALSE),"")</x:f>
        <x:v/>
      </x:c>
      <x:c r="H68" s="1" t="str">
        <x:f t="shared" si="1"/>
        <x:v>10.51.90.137</x:v>
      </x:c>
    </x:row>
    <x:row r="69" spans="1:8">
      <x:c r="A69" s="30" t="s">
        <x:v>1476</x:v>
      </x:c>
      <x:c r="B69" s="235">
        <x:v>138</x:v>
      </x:c>
      <x:c r="C69" s="236" t="s">
        <x:v>1252</x:v>
      </x:c>
      <x:c r="D69" s="55"/>
      <x:c r="E69" s="5"/>
      <x:c r="F69" s="189"/>
      <x:c r="G69" s="5" t="str">
        <x:f>IFERROR(VLOOKUP(C69,PC!$A$1:$K$435,3,FALSE),"")</x:f>
        <x:v/>
      </x:c>
      <x:c r="H69" s="1" t="str">
        <x:f t="shared" si="1"/>
        <x:v>10.51.90.138</x:v>
      </x:c>
    </x:row>
    <x:row r="70" spans="1:8">
      <x:c r="A70" s="30"/>
      <x:c r="B70" s="227">
        <x:v>139</x:v>
      </x:c>
      <x:c r="C70" s="228" t="s">
        <x:v>1522</x:v>
      </x:c>
      <x:c r="D70" s="55" t="str">
        <x:f>IFERROR(VLOOKUP(C70,'정보화기기 명부'!A$2:B$138,2,FALSE),"")</x:f>
        <x:v>3학년부</x:v>
      </x:c>
      <x:c r="E70" s="5" t="str">
        <x:f>IFERROR(VLOOKUP(C70,PC!A$1:K$435,2,FALSE),"")</x:f>
        <x:v/>
      </x:c>
      <x:c r="F70" s="189" t="str">
        <x:f>IFERROR(VLOOKUP(C70,PC!A$1:K$435,7,FALSE)&amp;" "&amp;VLOOKUP(C70,PC!A$1:K$435,6,FALSE),"")</x:f>
        <x:v/>
      </x:c>
      <x:c r="G70" s="5" t="str">
        <x:f>IFERROR(VLOOKUP(C70,PC!$A$1:$K$435,3,FALSE),"")</x:f>
        <x:v/>
      </x:c>
      <x:c r="H70" s="1" t="str">
        <x:f t="shared" si="1"/>
        <x:v>10.51.90.139</x:v>
      </x:c>
    </x:row>
    <x:row r="71" spans="1:8">
      <x:c r="A71" s="30"/>
      <x:c r="B71" s="229">
        <x:v>140</x:v>
      </x:c>
      <x:c r="C71" s="230" t="s">
        <x:v>1208</x:v>
      </x:c>
      <x:c r="D71" s="55" t="str">
        <x:f>IFERROR(VLOOKUP(C71,'정보화기기 명부'!A$2:B$138,2,FALSE),"")</x:f>
        <x:v>1학년부</x:v>
      </x:c>
      <x:c r="E71" s="7" t="str">
        <x:f>IFERROR(VLOOKUP(C71,PC!A$1:K$435,2,FALSE),"")</x:f>
        <x:v/>
      </x:c>
      <x:c r="F71" s="190" t="str">
        <x:f>IFERROR(VLOOKUP(C71,PC!A$1:K$435,7,FALSE)&amp;" "&amp;VLOOKUP(C71,PC!A$1:K$435,6,FALSE),"")</x:f>
        <x:v/>
      </x:c>
      <x:c r="G71" s="7" t="str">
        <x:f>IFERROR(VLOOKUP(C71,PC!$A$1:$K$435,3,FALSE),"")</x:f>
        <x:v/>
      </x:c>
      <x:c r="H71" s="1" t="str">
        <x:f t="shared" si="1"/>
        <x:v>10.51.90.140</x:v>
      </x:c>
    </x:row>
    <x:row r="72" spans="1:8">
      <x:c r="A72" s="30"/>
      <x:c r="B72" s="225">
        <x:v>141</x:v>
      </x:c>
      <x:c r="C72" s="226" t="s">
        <x:v>1219</x:v>
      </x:c>
      <x:c r="D72" s="55" t="str">
        <x:f>IFERROR(VLOOKUP(C72,'정보화기기 명부'!A$2:B$138,2,FALSE),"")</x:f>
        <x:v>인문사회부</x:v>
      </x:c>
      <x:c r="E72" s="4" t="str">
        <x:f>IFERROR(VLOOKUP(C72,PC!A$1:K$435,2,FALSE),"")</x:f>
        <x:v/>
      </x:c>
      <x:c r="F72" s="248" t="s">
        <x:v>3203</x:v>
      </x:c>
      <x:c r="G72" s="4" t="str">
        <x:f>IFERROR(VLOOKUP(C72,PC!$A$1:$K$435,3,FALSE),"")</x:f>
        <x:v/>
      </x:c>
      <x:c r="H72" s="1" t="str">
        <x:f t="shared" si="1"/>
        <x:v>10.51.90.141</x:v>
      </x:c>
    </x:row>
    <x:row r="73" spans="1:8">
      <x:c r="A73" s="30"/>
      <x:c r="B73" s="231">
        <x:v>142</x:v>
      </x:c>
      <x:c r="C73" s="232" t="s">
        <x:v>1228</x:v>
      </x:c>
      <x:c r="D73" s="55" t="str">
        <x:f>IFERROR(VLOOKUP(C73,'정보화기기 명부'!A$2:B$138,2,FALSE),"")</x:f>
        <x:v>1학년부</x:v>
      </x:c>
      <x:c r="E73" s="5" t="str">
        <x:f>IFERROR(VLOOKUP(C73,PC!A$1:K$435,2,FALSE),"")</x:f>
        <x:v>20220829-0914</x:v>
      </x:c>
      <x:c r="F73" s="189" t="str">
        <x:f>IFERROR(VLOOKUP(C73,PC!A$1:K$435,7,FALSE)&amp;" "&amp;VLOOKUP(C73,PC!A$1:K$435,6,FALSE),"")</x:f>
        <x:v>삼보 N5800-G050-OU02</x:v>
      </x:c>
      <x:c r="G73" s="5" t="str">
        <x:f>IFERROR(VLOOKUP(C73,PC!$A$1:$K$435,3,FALSE),"")</x:f>
        <x:v>노트북</x:v>
      </x:c>
      <x:c r="H73" s="1" t="str">
        <x:f t="shared" si="1"/>
        <x:v>10.51.90.142</x:v>
      </x:c>
    </x:row>
    <x:row r="74" spans="1:8">
      <x:c r="A74" s="30"/>
      <x:c r="B74" s="227">
        <x:v>143</x:v>
      </x:c>
      <x:c r="C74" s="228" t="s">
        <x:v>1270</x:v>
      </x:c>
      <x:c r="D74" s="55" t="str">
        <x:f>IFERROR(VLOOKUP(C74,'정보화기기 명부'!A$2:B$138,2,FALSE),"")</x:f>
        <x:v>3학년부</x:v>
      </x:c>
      <x:c r="E74" s="5" t="str">
        <x:f>IFERROR(VLOOKUP(C74,PC!A$1:K$435,2,FALSE),"")</x:f>
        <x:v/>
      </x:c>
      <x:c r="F74" s="189" t="str">
        <x:f>IFERROR(VLOOKUP(C74,PC!A$1:K$435,7,FALSE)&amp;" "&amp;VLOOKUP(C74,PC!A$1:K$435,6,FALSE),"")</x:f>
        <x:v/>
      </x:c>
      <x:c r="G74" s="5" t="str">
        <x:f>IFERROR(VLOOKUP(C74,PC!$A$1:$K$435,3,FALSE),"")</x:f>
        <x:v/>
      </x:c>
      <x:c r="H74" s="1" t="str">
        <x:f t="shared" si="1"/>
        <x:v>10.51.90.143</x:v>
      </x:c>
    </x:row>
    <x:row r="75" spans="1:8">
      <x:c r="A75" s="30"/>
      <x:c r="B75" s="33">
        <x:v>144</x:v>
      </x:c>
      <x:c r="C75" s="212" t="s">
        <x:v>1994</x:v>
      </x:c>
      <x:c r="D75" s="55" t="str">
        <x:f>IFERROR(VLOOKUP(C75,'정보화기기 명부'!A$2:B$138,2,FALSE),"")</x:f>
        <x:v>교장실</x:v>
      </x:c>
      <x:c r="E75" s="5" t="str">
        <x:f>IFERROR(VLOOKUP(C75,PC!A$1:K$435,2,FALSE),"")</x:f>
        <x:v>20220905-0915</x:v>
      </x:c>
      <x:c r="F75" s="189" t="str">
        <x:f>IFERROR(VLOOKUP(C75,PC!A$1:K$435,7,FALSE)&amp;" "&amp;VLOOKUP(C75,PC!A$1:K$435,6,FALSE),"")</x:f>
        <x:v>삼성 NT550XDA-KG03G</x:v>
      </x:c>
      <x:c r="G75" s="5" t="str">
        <x:f>IFERROR(VLOOKUP(C75,PC!$A$1:$K$435,3,FALSE),"")</x:f>
        <x:v>노트북</x:v>
      </x:c>
      <x:c r="H75" s="1" t="str">
        <x:f t="shared" si="1"/>
        <x:v>10.51.90.144</x:v>
      </x:c>
    </x:row>
    <x:row r="76" spans="1:8">
      <x:c r="A76" s="30"/>
      <x:c r="B76" s="229">
        <x:v>145</x:v>
      </x:c>
      <x:c r="C76" s="230" t="s">
        <x:v>1222</x:v>
      </x:c>
      <x:c r="D76" s="55" t="str">
        <x:f>IFERROR(VLOOKUP(C76,'정보화기기 명부'!A$2:B$138,2,FALSE),"")</x:f>
        <x:v>2학년부</x:v>
      </x:c>
      <x:c r="E76" s="7" t="str">
        <x:f>IFERROR(VLOOKUP(C76,PC!A$1:K$435,2,FALSE),"")</x:f>
        <x:v/>
      </x:c>
      <x:c r="F76" s="190" t="str">
        <x:f>IFERROR(VLOOKUP(C76,PC!A$1:K$435,7,FALSE)&amp;" "&amp;VLOOKUP(C76,PC!A$1:K$435,6,FALSE),"")</x:f>
        <x:v/>
      </x:c>
      <x:c r="G76" s="7" t="str">
        <x:f>IFERROR(VLOOKUP(C76,PC!$A$1:$K$435,3,FALSE),"")</x:f>
        <x:v/>
      </x:c>
      <x:c r="H76" s="1" t="str">
        <x:f t="shared" si="1"/>
        <x:v>10.51.90.145</x:v>
      </x:c>
    </x:row>
    <x:row r="77" spans="1:8">
      <x:c r="A77" s="30"/>
      <x:c r="B77" s="225">
        <x:v>146</x:v>
      </x:c>
      <x:c r="C77" s="226" t="s">
        <x:v>1227</x:v>
      </x:c>
      <x:c r="D77" s="55" t="str">
        <x:f>IFERROR(VLOOKUP(C77,'정보화기기 명부'!A$2:B$138,2,FALSE),"")</x:f>
        <x:v>2학년부</x:v>
      </x:c>
      <x:c r="E77" s="4" t="str">
        <x:f>IFERROR(VLOOKUP(C77,PC!A$1:K$435,2,FALSE),"")</x:f>
        <x:v/>
      </x:c>
      <x:c r="F77" s="248" t="s">
        <x:v>3203</x:v>
      </x:c>
      <x:c r="G77" s="4" t="str">
        <x:f>IFERROR(VLOOKUP(C77,PC!$A$1:$K$435,3,FALSE),"")</x:f>
        <x:v/>
      </x:c>
      <x:c r="H77" s="1" t="str">
        <x:f t="shared" si="1"/>
        <x:v>10.51.90.146</x:v>
      </x:c>
    </x:row>
    <x:row r="78" spans="1:8">
      <x:c r="A78" s="30"/>
      <x:c r="B78" s="33">
        <x:v>147</x:v>
      </x:c>
      <x:c r="C78" s="216" t="s">
        <x:v>1566</x:v>
      </x:c>
      <x:c r="D78" s="55" t="str">
        <x:f>IFERROR(VLOOKUP(C78,'정보화기기 명부'!A$2:B$138,2,FALSE),"")</x:f>
        <x:v>야구부합숙소</x:v>
      </x:c>
      <x:c r="E78" s="110" t="str">
        <x:f>IFERROR(VLOOKUP(C78,PC!A$1:K$435,2,FALSE),"")</x:f>
        <x:v>20160107-0774</x:v>
      </x:c>
      <x:c r="F78" s="191" t="str">
        <x:f>IFERROR(VLOOKUP(C78,PC!A$1:K$435,7,FALSE)&amp;" "&amp;VLOOKUP(C78,PC!A$1:K$435,6,FALSE),"")</x:f>
        <x:v>다나와컴퓨터 TSF-P16MBC</x:v>
      </x:c>
      <x:c r="G78" s="5" t="str">
        <x:f>IFERROR(VLOOKUP(C78,PC!$A$1:$K$435,3,FALSE),"")</x:f>
        <x:v>데스크톱</x:v>
      </x:c>
      <x:c r="H78" s="1" t="str">
        <x:f t="shared" si="1"/>
        <x:v>10.51.90.147</x:v>
      </x:c>
    </x:row>
    <x:row r="79" spans="1:8">
      <x:c r="A79" s="30"/>
      <x:c r="B79" s="33">
        <x:v>148</x:v>
      </x:c>
      <x:c r="C79" s="280" t="s">
        <x:v>1731</x:v>
      </x:c>
      <x:c r="D79" s="281" t="str">
        <x:f>IFERROR(VLOOKUP(C79,'정보화기기 명부'!A$2:B$138,2,FALSE),"")</x:f>
        <x:v/>
      </x:c>
      <x:c r="E79" s="265" t="str">
        <x:f>IFERROR(VLOOKUP(C79,PC!A$1:K$435,2,FALSE),"")</x:f>
        <x:v>20170328-0775</x:v>
      </x:c>
      <x:c r="F79" s="266" t="str">
        <x:f>IFERROR(VLOOKUP(C79,PC!A$1:K$435,7,FALSE)&amp;" "&amp;VLOOKUP(C79,PC!A$1:K$435,6,FALSE),"")</x:f>
        <x:v>엘지 CN/15Z960-GP50KN</x:v>
      </x:c>
      <x:c r="G79" s="5" t="str">
        <x:f>IFERROR(VLOOKUP(C79,PC!$A$1:$K$435,3,FALSE),"")</x:f>
        <x:v>노트북</x:v>
      </x:c>
      <x:c r="H79" s="1" t="str">
        <x:f t="shared" si="1"/>
        <x:v>10.51.90.148</x:v>
      </x:c>
    </x:row>
    <x:row r="80" spans="1:8">
      <x:c r="A80" s="30"/>
      <x:c r="B80" s="227">
        <x:v>149</x:v>
      </x:c>
      <x:c r="C80" s="228" t="s">
        <x:v>1521</x:v>
      </x:c>
      <x:c r="D80" s="55" t="str">
        <x:f>IFERROR(VLOOKUP(C80,'정보화기기 명부'!A$2:B$138,2,FALSE),"")</x:f>
        <x:v>2학년부</x:v>
      </x:c>
      <x:c r="E80" s="5" t="str">
        <x:f>IFERROR(VLOOKUP(C80,PC!A$1:K$435,2,FALSE),"")</x:f>
        <x:v/>
      </x:c>
      <x:c r="F80" s="189" t="str">
        <x:f>IFERROR(VLOOKUP(C80,PC!A$1:K$435,7,FALSE)&amp;" "&amp;VLOOKUP(C80,PC!A$1:K$435,6,FALSE),"")</x:f>
        <x:v/>
      </x:c>
      <x:c r="G80" s="5" t="str">
        <x:f>IFERROR(VLOOKUP(C80,PC!$A$1:$K$435,3,FALSE),"")</x:f>
        <x:v/>
      </x:c>
      <x:c r="H80" s="1" t="str">
        <x:f t="shared" si="1"/>
        <x:v>10.51.90.149</x:v>
      </x:c>
    </x:row>
    <x:row r="81" spans="1:8">
      <x:c r="A81" s="30"/>
      <x:c r="B81" s="34">
        <x:v>150</x:v>
      </x:c>
      <x:c r="C81" s="7" t="s">
        <x:v>1235</x:v>
      </x:c>
      <x:c r="D81" s="55" t="str">
        <x:f>IFERROR(VLOOKUP(C81,'정보화기기 명부'!A$2:B$138,2,FALSE),"")</x:f>
        <x:v>2층 교무실</x:v>
      </x:c>
      <x:c r="E81" s="7" t="str">
        <x:f>IFERROR(VLOOKUP(C81,PC!A$1:K$435,2,FALSE),"")</x:f>
        <x:v>20191224-0809</x:v>
      </x:c>
      <x:c r="F81" s="190" t="str">
        <x:f>IFERROR(VLOOKUP(C81,PC!A$1:K$435,7,FALSE)&amp;" "&amp;VLOOKUP(C81,PC!A$1:K$435,6,FALSE),"")</x:f>
        <x:v>엘지 CN/15UG470-MP5SKN</x:v>
      </x:c>
      <x:c r="G81" s="7" t="str">
        <x:f>IFERROR(VLOOKUP(C81,PC!$A$1:$K$435,3,FALSE),"")</x:f>
        <x:v>노트북</x:v>
      </x:c>
      <x:c r="H81" s="1" t="str">
        <x:f t="shared" si="1"/>
        <x:v>10.51.90.150</x:v>
      </x:c>
    </x:row>
    <x:row r="82" spans="1:8">
      <x:c r="A82" s="30"/>
      <x:c r="B82" s="32">
        <x:v>151</x:v>
      </x:c>
      <x:c r="C82" s="4" t="s">
        <x:v>2078</x:v>
      </x:c>
      <x:c r="D82" s="55" t="str">
        <x:f>IFERROR(VLOOKUP(C82,'정보화기기 명부'!A$2:B$138,2,FALSE),"")</x:f>
        <x:v>교육과정부</x:v>
      </x:c>
      <x:c r="E82" s="4" t="str">
        <x:f>IFERROR(VLOOKUP(C82,PC!A$1:K$435,2,FALSE),"")</x:f>
        <x:v>20170404-0744</x:v>
      </x:c>
      <x:c r="F82" s="188" t="str">
        <x:f>IFERROR(VLOOKUP(C82,PC!A$1:K$435,7,FALSE)&amp;" "&amp;VLOOKUP(C82,PC!A$1:K$435,6,FALSE),"")</x:f>
        <x:v>삼성 NT500R5L-M01G</x:v>
      </x:c>
      <x:c r="G82" s="4" t="str">
        <x:f>IFERROR(VLOOKUP(C82,PC!$A$1:$K$435,3,FALSE),"")</x:f>
        <x:v>노트북</x:v>
      </x:c>
      <x:c r="H82" s="1" t="str">
        <x:f t="shared" si="1"/>
        <x:v>10.51.90.151</x:v>
      </x:c>
    </x:row>
    <x:row r="83" spans="1:8">
      <x:c r="A83" s="30"/>
      <x:c r="B83" s="227">
        <x:v>152</x:v>
      </x:c>
      <x:c r="C83" s="228" t="s">
        <x:v>1229</x:v>
      </x:c>
      <x:c r="D83" s="55" t="str">
        <x:f>IFERROR(VLOOKUP(C83,'정보화기기 명부'!A$2:B$138,2,FALSE),"")</x:f>
        <x:v>3학년부</x:v>
      </x:c>
      <x:c r="E83" s="5" t="str">
        <x:f>IFERROR(VLOOKUP(C83,PC!A$1:K$435,2,FALSE),"")</x:f>
        <x:v/>
      </x:c>
      <x:c r="F83" s="189" t="str">
        <x:f>IFERROR(VLOOKUP(C83,PC!A$1:K$435,7,FALSE)&amp;" "&amp;VLOOKUP(C83,PC!A$1:K$435,6,FALSE),"")</x:f>
        <x:v/>
      </x:c>
      <x:c r="G83" s="5" t="str">
        <x:f>IFERROR(VLOOKUP(C83,PC!$A$1:$K$435,3,FALSE),"")</x:f>
        <x:v/>
      </x:c>
      <x:c r="H83" s="1" t="str">
        <x:f t="shared" si="1"/>
        <x:v>10.51.90.152</x:v>
      </x:c>
    </x:row>
    <x:row r="84" spans="1:9">
      <x:c r="A84" s="30"/>
      <x:c r="B84" s="33">
        <x:v>153</x:v>
      </x:c>
      <x:c r="C84" s="101" t="s">
        <x:v>1953</x:v>
      </x:c>
      <x:c r="D84" s="55" t="str">
        <x:f>IFERROR(VLOOKUP(C84,'정보화기기 명부'!A$2:B$138,2,FALSE),"")</x:f>
        <x:v/>
      </x:c>
      <x:c r="E84" s="5" t="str">
        <x:f>IFERROR(VLOOKUP(C84,PC!A$1:K$435,2,FALSE),"")</x:f>
        <x:v/>
      </x:c>
      <x:c r="F84" s="208" t="str">
        <x:f>IFERROR(VLOOKUP(C84,PC!A$1:K$435,7,FALSE)&amp;" "&amp;VLOOKUP(C84,PC!A$1:K$435,6,FALSE),"")</x:f>
        <x:v/>
      </x:c>
      <x:c r="G84" s="101" t="s">
        <x:v>1564</x:v>
      </x:c>
      <x:c r="H84" s="1" t="str">
        <x:f t="shared" si="1"/>
        <x:v>10.51.90.153</x:v>
      </x:c>
      <x:c r="I84" s="115" t="s">
        <x:v>1445</x:v>
      </x:c>
    </x:row>
    <x:row r="85" spans="1:8">
      <x:c r="A85" s="30"/>
      <x:c r="B85" s="227">
        <x:v>154</x:v>
      </x:c>
      <x:c r="C85" s="9" t="s">
        <x:v>1264</x:v>
      </x:c>
      <x:c r="D85" s="55" t="s">
        <x:v>1917</x:v>
      </x:c>
      <x:c r="E85" s="5" t="str">
        <x:f>IFERROR(VLOOKUP(C85,PC!A$1:K$435,2,FALSE),"")</x:f>
        <x:v/>
      </x:c>
      <x:c r="F85" s="248" t="s">
        <x:v>3203</x:v>
      </x:c>
      <x:c r="G85" s="5" t="s">
        <x:v>1564</x:v>
      </x:c>
      <x:c r="H85" s="1" t="str">
        <x:f t="shared" si="1"/>
        <x:v>10.51.90.154</x:v>
      </x:c>
    </x:row>
    <x:row r="86" spans="1:10">
      <x:c r="A86" s="30"/>
      <x:c r="B86" s="229">
        <x:v>155</x:v>
      </x:c>
      <x:c r="C86" s="230" t="s">
        <x:v>1648</x:v>
      </x:c>
      <x:c r="D86" s="55" t="str">
        <x:f>IFERROR(VLOOKUP(C86,'정보화기기 명부'!A$2:B$138,2,FALSE),"")</x:f>
        <x:v>3학년부</x:v>
      </x:c>
      <x:c r="E86" s="7" t="str">
        <x:f>IFERROR(VLOOKUP(C86,PC!A$1:K$435,2,FALSE),"")</x:f>
        <x:v>20150223-0662</x:v>
      </x:c>
      <x:c r="F86" s="190" t="str">
        <x:f>IFERROR(VLOOKUP(C86,PC!A$1:K$435,7,FALSE)&amp;" "&amp;VLOOKUP(C86,PC!A$1:K$435,6,FALSE),"")</x:f>
        <x:v>삼성 NT550P7C-S04G</x:v>
      </x:c>
      <x:c r="G86" s="7" t="str">
        <x:f>IFERROR(VLOOKUP(C86,PC!$A$1:$K$435,3,FALSE),"")</x:f>
        <x:v>노트북</x:v>
      </x:c>
      <x:c r="H86" s="1" t="str">
        <x:f t="shared" si="1"/>
        <x:v>10.51.90.155</x:v>
      </x:c>
      <x:c r="I86" s="1" t="s">
        <x:v>1861</x:v>
      </x:c>
      <x:c r="J86" s="11" t="s">
        <x:v>851</x:v>
      </x:c>
    </x:row>
    <x:row r="87" spans="1:8">
      <x:c r="A87" s="30"/>
      <x:c r="B87" s="225">
        <x:v>156</x:v>
      </x:c>
      <x:c r="C87" s="228" t="s">
        <x:v>691</x:v>
      </x:c>
      <x:c r="D87" s="55" t="str">
        <x:f>IFERROR(VLOOKUP(#REF!,'정보화기기 명부'!A$2:B$138,2,FALSE),"")</x:f>
        <x:v/>
      </x:c>
      <x:c r="E87" s="5" t="str">
        <x:f>IFERROR(VLOOKUP(#REF!,PC!A$1:K$435,2,FALSE),"")</x:f>
        <x:v/>
      </x:c>
      <x:c r="F87" s="189" t="s">
        <x:v>2058</x:v>
      </x:c>
      <x:c r="G87" s="4" t="str">
        <x:f>IFERROR(VLOOKUP(#REF!,PC!$A$1:$K$435,3,FALSE),"")</x:f>
        <x:v/>
      </x:c>
      <x:c r="H87" s="1" t="str">
        <x:f t="shared" si="1"/>
        <x:v>10.51.90.156</x:v>
      </x:c>
    </x:row>
    <x:row r="88" spans="1:8">
      <x:c r="A88" s="30"/>
      <x:c r="B88" s="33">
        <x:v>157</x:v>
      </x:c>
      <x:c r="C88" s="5"/>
      <x:c r="D88" s="55"/>
      <x:c r="E88" s="5"/>
      <x:c r="F88" s="189"/>
      <x:c r="G88" s="5"/>
      <x:c r="H88" s="1" t="str">
        <x:f t="shared" si="1"/>
        <x:v>10.51.90.157</x:v>
      </x:c>
    </x:row>
    <x:row r="89" spans="1:8">
      <x:c r="A89" s="30"/>
      <x:c r="B89" s="33">
        <x:v>158</x:v>
      </x:c>
      <x:c r="C89" s="5" t="s">
        <x:v>1426</x:v>
      </x:c>
      <x:c r="D89" s="55" t="str">
        <x:f>IFERROR(VLOOKUP(C89,'정보화기기 명부'!A$2:B$138,2,FALSE),"")</x:f>
        <x:v>공익</x:v>
      </x:c>
      <x:c r="E89" s="5" t="str">
        <x:f>IFERROR(VLOOKUP(C89,PC!A$1:K$435,2,FALSE),"")</x:f>
        <x:v/>
      </x:c>
      <x:c r="F89" s="189" t="str">
        <x:f>IFERROR(VLOOKUP(C89,PC!A$1:K$435,7,FALSE)&amp;" "&amp;VLOOKUP(C89,PC!A$1:K$435,6,FALSE),"")</x:f>
        <x:v/>
      </x:c>
      <x:c r="G89" s="5" t="str">
        <x:f>IFERROR(VLOOKUP(C89,PC!$A$1:$K$435,3,FALSE),"")</x:f>
        <x:v/>
      </x:c>
      <x:c r="H89" s="1" t="str">
        <x:f t="shared" si="1"/>
        <x:v>10.51.90.158</x:v>
      </x:c>
    </x:row>
    <x:row r="90" spans="1:8">
      <x:c r="A90" s="30"/>
      <x:c r="B90" s="33">
        <x:v>159</x:v>
      </x:c>
      <x:c r="C90" s="5" t="s">
        <x:v>1438</x:v>
      </x:c>
      <x:c r="D90" s="55" t="str">
        <x:f>IFERROR(VLOOKUP(C90,'정보화기기 명부'!A$2:B$138,2,FALSE),"")</x:f>
        <x:v/>
      </x:c>
      <x:c r="E90" s="5" t="str">
        <x:f>IFERROR(VLOOKUP(C90,PC!A$1:K$435,2,FALSE),"")</x:f>
        <x:v/>
      </x:c>
      <x:c r="F90" s="189" t="str">
        <x:f>IFERROR(VLOOKUP(C90,PC!A$1:K$435,7,FALSE)&amp;" "&amp;VLOOKUP(C90,PC!A$1:K$435,6,FALSE),"")</x:f>
        <x:v/>
      </x:c>
      <x:c r="G90" s="5" t="str">
        <x:f>IFERROR(VLOOKUP(C90,PC!$A$1:$K$435,3,FALSE),"")</x:f>
        <x:v/>
      </x:c>
      <x:c r="H90" s="1" t="str">
        <x:f t="shared" si="1"/>
        <x:v>10.51.90.159</x:v>
      </x:c>
    </x:row>
    <x:row r="91" spans="1:8">
      <x:c r="A91" s="30"/>
      <x:c r="B91" s="34">
        <x:v>160</x:v>
      </x:c>
      <x:c r="C91" s="7" t="s">
        <x:v>751</x:v>
      </x:c>
      <x:c r="D91" s="55" t="str">
        <x:f>IFERROR(VLOOKUP(C91,'정보화기기 명부'!A$2:B$138,2,FALSE),"")</x:f>
        <x:v>3학년부</x:v>
      </x:c>
      <x:c r="E91" s="7" t="str">
        <x:f>IFERROR(VLOOKUP(C91,PC!A$1:K$435,2,FALSE),"")</x:f>
        <x:v>20170101-0734</x:v>
      </x:c>
      <x:c r="F91" s="190" t="str">
        <x:f>IFERROR(VLOOKUP(C91,PC!A$1:K$435,7,FALSE)&amp;" "&amp;VLOOKUP(C91,PC!A$1:K$435,6,FALSE),"")</x:f>
        <x:v>삼성 NT500R5L-M01G</x:v>
      </x:c>
      <x:c r="G91" s="7" t="str">
        <x:f>IFERROR(VLOOKUP(C91,PC!$A$1:$K$435,3,FALSE),"")</x:f>
        <x:v>노트북</x:v>
      </x:c>
      <x:c r="H91" s="1" t="str">
        <x:f t="shared" si="1"/>
        <x:v>10.51.90.160</x:v>
      </x:c>
    </x:row>
    <x:row r="92" spans="1:8">
      <x:c r="A92" s="30"/>
      <x:c r="B92" s="225">
        <x:v>161</x:v>
      </x:c>
      <x:c r="C92" s="226" t="s">
        <x:v>1233</x:v>
      </x:c>
      <x:c r="D92" s="55" t="str">
        <x:f>IFERROR(VLOOKUP(C92,'정보화기기 명부'!A$2:B$138,2,FALSE),"")</x:f>
        <x:v>특수교육부</x:v>
      </x:c>
      <x:c r="E92" s="4" t="str">
        <x:f>IFERROR(VLOOKUP(C92,PC!A$1:K$435,2,FALSE),"")</x:f>
        <x:v>20191224-0811</x:v>
      </x:c>
      <x:c r="F92" s="188" t="str">
        <x:f>IFERROR(VLOOKUP(C92,PC!A$1:K$435,7,FALSE)&amp;" "&amp;VLOOKUP(C92,PC!A$1:K$435,6,FALSE),"")</x:f>
        <x:v>엘지 CN/15UG470-MP5SKN</x:v>
      </x:c>
      <x:c r="G92" s="4" t="str">
        <x:f>IFERROR(VLOOKUP(C92,PC!$A$1:$K$435,3,FALSE),"")</x:f>
        <x:v>노트북</x:v>
      </x:c>
      <x:c r="H92" s="1" t="str">
        <x:f t="shared" si="1"/>
        <x:v>10.51.90.161</x:v>
      </x:c>
    </x:row>
    <x:row r="93" spans="1:8">
      <x:c r="A93" s="30"/>
      <x:c r="B93" s="33">
        <x:v>162</x:v>
      </x:c>
      <x:c r="C93" s="150" t="s">
        <x:v>1438</x:v>
      </x:c>
      <x:c r="D93" s="55" t="str">
        <x:f>IFERROR(VLOOKUP(C93,'정보화기기 명부'!A$2:B$138,2,FALSE),"")</x:f>
        <x:v/>
      </x:c>
      <x:c r="E93" s="5" t="str">
        <x:f>IFERROR(VLOOKUP(C93,PC!A$1:K$435,2,FALSE),"")</x:f>
        <x:v/>
      </x:c>
      <x:c r="F93" s="189" t="str">
        <x:f>IFERROR(VLOOKUP(C93,PC!A$1:K$435,7,FALSE)&amp;" "&amp;VLOOKUP(C93,PC!A$1:K$435,6,FALSE),"")</x:f>
        <x:v/>
      </x:c>
      <x:c r="G93" s="5" t="str">
        <x:f>IFERROR(VLOOKUP(C93,PC!$A$1:$K$435,3,FALSE),"")</x:f>
        <x:v/>
      </x:c>
      <x:c r="H93" s="1" t="str">
        <x:f t="shared" si="1"/>
        <x:v>10.51.90.162</x:v>
      </x:c>
    </x:row>
    <x:row r="94" spans="1:8">
      <x:c r="A94" s="30"/>
      <x:c r="B94" s="227">
        <x:v>163</x:v>
      </x:c>
      <x:c r="C94" s="228" t="s">
        <x:v>1240</x:v>
      </x:c>
      <x:c r="D94" s="55" t="str">
        <x:f>IFERROR(VLOOKUP(C94,'정보화기기 명부'!A$2:B$138,2,FALSE),"")</x:f>
        <x:v>2학년부</x:v>
      </x:c>
      <x:c r="E94" s="5" t="str">
        <x:f>IFERROR(VLOOKUP(C94,PC!A$1:K$435,2,FALSE),"")</x:f>
        <x:v/>
      </x:c>
      <x:c r="F94" s="189" t="str">
        <x:f>IFERROR(VLOOKUP(C94,PC!A$1:K$435,7,FALSE)&amp;" "&amp;VLOOKUP(C94,PC!A$1:K$435,6,FALSE),"")</x:f>
        <x:v/>
      </x:c>
      <x:c r="G94" s="5" t="str">
        <x:f>IFERROR(VLOOKUP(C94,PC!$A$1:$K$435,3,FALSE),"")</x:f>
        <x:v/>
      </x:c>
      <x:c r="H94" s="1" t="str">
        <x:f t="shared" si="1"/>
        <x:v>10.51.90.163</x:v>
      </x:c>
    </x:row>
    <x:row r="95" spans="1:8">
      <x:c r="A95" s="30"/>
      <x:c r="B95" s="227">
        <x:v>164</x:v>
      </x:c>
      <x:c r="C95" s="228" t="s">
        <x:v>1242</x:v>
      </x:c>
      <x:c r="D95" s="55" t="str">
        <x:f>IFERROR(VLOOKUP(C95,'정보화기기 명부'!A$2:B$138,2,FALSE),"")</x:f>
        <x:v>특수교육부</x:v>
      </x:c>
      <x:c r="E95" s="5">
        <x:v>2023</x:v>
      </x:c>
      <x:c r="F95" s="190" t="str">
        <x:f>IFERROR(VLOOKUP(C95,PC!A$1:K$435,7,FALSE)&amp;" "&amp;VLOOKUP(C95,PC!A$1:K$435,6,FALSE),"")</x:f>
        <x:v/>
      </x:c>
      <x:c r="G95" s="5" t="s">
        <x:v>1564</x:v>
      </x:c>
      <x:c r="H95" s="1" t="str">
        <x:f t="shared" si="1"/>
        <x:v>10.51.90.164</x:v>
      </x:c>
    </x:row>
    <x:row r="96" spans="1:8">
      <x:c r="A96" s="30"/>
      <x:c r="B96" s="229">
        <x:v>165</x:v>
      </x:c>
      <x:c r="C96" s="230" t="s">
        <x:v>1528</x:v>
      </x:c>
      <x:c r="D96" s="55" t="str">
        <x:f>IFERROR(VLOOKUP(C96,'정보화기기 명부'!A$2:B$138,2,FALSE),"")</x:f>
        <x:v>2학년부</x:v>
      </x:c>
      <x:c r="E96" s="7">
        <x:v>2023</x:v>
      </x:c>
      <x:c r="F96" s="189" t="s">
        <x:v>3273</x:v>
      </x:c>
      <x:c r="G96" s="7" t="s">
        <x:v>1564</x:v>
      </x:c>
      <x:c r="H96" s="1" t="str">
        <x:f t="shared" si="1"/>
        <x:v>10.51.90.165</x:v>
      </x:c>
    </x:row>
    <x:row r="97" spans="1:8">
      <x:c r="A97" s="30"/>
      <x:c r="B97" s="32">
        <x:v>166</x:v>
      </x:c>
      <x:c r="C97" s="151" t="s">
        <x:v>1438</x:v>
      </x:c>
      <x:c r="D97" s="55" t="str">
        <x:f>IFERROR(VLOOKUP(C97,'정보화기기 명부'!A$2:B$138,2,FALSE),"")</x:f>
        <x:v/>
      </x:c>
      <x:c r="E97" s="151" t="str">
        <x:f>IFERROR(VLOOKUP(C97,PC!A$1:K$435,2,FALSE),"")</x:f>
        <x:v/>
      </x:c>
      <x:c r="F97" s="192" t="str">
        <x:f>IFERROR(VLOOKUP(C97,PC!A$1:K$435,7,FALSE)&amp;" "&amp;VLOOKUP(C97,PC!A$1:K$435,6,FALSE),"")</x:f>
        <x:v/>
      </x:c>
      <x:c r="G97" s="5" t="s">
        <x:v>1919</x:v>
      </x:c>
      <x:c r="H97" s="1" t="str">
        <x:f t="shared" si="1"/>
        <x:v>10.51.90.166</x:v>
      </x:c>
    </x:row>
    <x:row r="98" spans="1:8">
      <x:c r="A98" s="30"/>
      <x:c r="B98" s="33">
        <x:v>167</x:v>
      </x:c>
      <x:c r="C98" s="5" t="s">
        <x:v>1438</x:v>
      </x:c>
      <x:c r="D98" s="55" t="str">
        <x:f>IFERROR(VLOOKUP(C98,'정보화기기 명부'!A$2:B$138,2,FALSE),"")</x:f>
        <x:v/>
      </x:c>
      <x:c r="E98" s="5" t="str">
        <x:f>IFERROR(VLOOKUP(C98,PC!A$1:K$435,2,FALSE),"")</x:f>
        <x:v/>
      </x:c>
      <x:c r="F98" s="189" t="str">
        <x:f>IFERROR(VLOOKUP(C98,PC!A$1:K$435,7,FALSE)&amp;" "&amp;VLOOKUP(C98,PC!A$1:K$435,6,FALSE),"")</x:f>
        <x:v/>
      </x:c>
      <x:c r="G98" s="5" t="s">
        <x:v>1919</x:v>
      </x:c>
      <x:c r="H98" s="1" t="str">
        <x:f t="shared" si="1"/>
        <x:v>10.51.90.167</x:v>
      </x:c>
    </x:row>
    <x:row r="99" spans="1:8">
      <x:c r="A99" s="30"/>
      <x:c r="B99" s="33">
        <x:v>168</x:v>
      </x:c>
      <x:c r="C99" s="5" t="s">
        <x:v>1438</x:v>
      </x:c>
      <x:c r="D99" s="55" t="str">
        <x:f>IFERROR(VLOOKUP(C99,'정보화기기 명부'!A$2:B$138,2,FALSE),"")</x:f>
        <x:v/>
      </x:c>
      <x:c r="E99" s="5" t="str">
        <x:f>IFERROR(VLOOKUP(C99,PC!A$1:K$435,2,FALSE),"")</x:f>
        <x:v/>
      </x:c>
      <x:c r="F99" s="189" t="str">
        <x:f>IFERROR(VLOOKUP(C99,PC!A$1:K$435,7,FALSE)&amp;" "&amp;VLOOKUP(C99,PC!A$1:K$435,6,FALSE),"")</x:f>
        <x:v/>
      </x:c>
      <x:c r="G99" s="5" t="s">
        <x:v>1919</x:v>
      </x:c>
      <x:c r="H99" s="1" t="str">
        <x:f t="shared" si="1"/>
        <x:v>10.51.90.168</x:v>
      </x:c>
    </x:row>
    <x:row r="100" spans="1:9">
      <x:c r="A100" s="30"/>
      <x:c r="B100" s="33">
        <x:v>169</x:v>
      </x:c>
      <x:c r="C100" s="5" t="s">
        <x:v>2278</x:v>
      </x:c>
      <x:c r="D100" s="55" t="str">
        <x:f>IFERROR(VLOOKUP(C100,'정보화기기 명부'!A$2:B$138,2,FALSE),"")</x:f>
        <x:v/>
      </x:c>
      <x:c r="E100" s="5" t="str">
        <x:f>IFERROR(VLOOKUP(C100,PC!A$1:K$435,2,FALSE),"")</x:f>
        <x:v/>
      </x:c>
      <x:c r="F100" s="189" t="str">
        <x:f>IFERROR(VLOOKUP(C100,PC!A$1:K$435,7,FALSE)&amp;" "&amp;VLOOKUP(C100,PC!A$1:K$435,6,FALSE),"")</x:f>
        <x:v/>
      </x:c>
      <x:c r="G100" s="5" t="str">
        <x:f>IFERROR(VLOOKUP(C100,PC!$A$1:$K$435,3,FALSE),"")</x:f>
        <x:v/>
      </x:c>
      <x:c r="H100" s="1" t="str">
        <x:f t="shared" si="1"/>
        <x:v>10.51.90.169</x:v>
      </x:c>
      <x:c r="I100" s="1" t="s">
        <x:v>2063</x:v>
      </x:c>
    </x:row>
    <x:row r="101" spans="1:8">
      <x:c r="A101" s="30"/>
      <x:c r="B101" s="34">
        <x:v>170</x:v>
      </x:c>
      <x:c r="C101" s="7" t="s">
        <x:v>2278</x:v>
      </x:c>
      <x:c r="D101" s="55" t="str">
        <x:f>IFERROR(VLOOKUP(C101,'정보화기기 명부'!A$2:B$138,2,FALSE),"")</x:f>
        <x:v/>
      </x:c>
      <x:c r="E101" s="7" t="str">
        <x:f>IFERROR(VLOOKUP(C101,PC!A$1:K$435,2,FALSE),"")</x:f>
        <x:v/>
      </x:c>
      <x:c r="F101" s="190" t="str">
        <x:f>IFERROR(VLOOKUP(C101,PC!A$1:K$435,7,FALSE)&amp;" "&amp;VLOOKUP(C101,PC!A$1:K$435,6,FALSE),"")</x:f>
        <x:v/>
      </x:c>
      <x:c r="G101" s="7" t="str">
        <x:f>IFERROR(VLOOKUP(C101,PC!$A$1:$K$435,3,FALSE),"")</x:f>
        <x:v/>
      </x:c>
      <x:c r="H101" s="1" t="str">
        <x:f t="shared" si="1"/>
        <x:v>10.51.90.170</x:v>
      </x:c>
    </x:row>
    <x:row r="102" spans="1:8">
      <x:c r="A102" s="30"/>
      <x:c r="B102" s="32">
        <x:v>171</x:v>
      </x:c>
      <x:c r="C102" s="4" t="s">
        <x:v>2278</x:v>
      </x:c>
      <x:c r="D102" s="55" t="str">
        <x:f>IFERROR(VLOOKUP(C102,'정보화기기 명부'!A$2:B$138,2,FALSE),"")</x:f>
        <x:v/>
      </x:c>
      <x:c r="E102" s="4" t="str">
        <x:f>IFERROR(VLOOKUP(C102,PC!A$1:K$435,2,FALSE),"")</x:f>
        <x:v/>
      </x:c>
      <x:c r="F102" s="188" t="str">
        <x:f>IFERROR(VLOOKUP(C102,PC!A$1:K$435,7,FALSE)&amp;" "&amp;VLOOKUP(C102,PC!A$1:K$435,6,FALSE),"")</x:f>
        <x:v/>
      </x:c>
      <x:c r="G102" s="4" t="str">
        <x:f>IFERROR(VLOOKUP(C102,PC!$A$1:$K$435,3,FALSE),"")</x:f>
        <x:v/>
      </x:c>
      <x:c r="H102" s="1" t="str">
        <x:f t="shared" si="1"/>
        <x:v>10.51.90.171</x:v>
      </x:c>
    </x:row>
    <x:row r="103" spans="1:8">
      <x:c r="A103" s="30"/>
      <x:c r="B103" s="33">
        <x:v>172</x:v>
      </x:c>
      <x:c r="C103" s="5" t="s">
        <x:v>2278</x:v>
      </x:c>
      <x:c r="D103" s="55" t="str">
        <x:f>IFERROR(VLOOKUP(C103,'정보화기기 명부'!A$2:B$138,2,FALSE),"")</x:f>
        <x:v/>
      </x:c>
      <x:c r="E103" s="5" t="str">
        <x:f>IFERROR(VLOOKUP(C103,PC!A$1:K$435,2,FALSE),"")</x:f>
        <x:v/>
      </x:c>
      <x:c r="F103" s="189" t="str">
        <x:f>IFERROR(VLOOKUP(C103,PC!A$1:K$435,7,FALSE)&amp;" "&amp;VLOOKUP(C103,PC!A$1:K$435,6,FALSE),"")</x:f>
        <x:v/>
      </x:c>
      <x:c r="G103" s="5" t="str">
        <x:f>IFERROR(VLOOKUP(C103,PC!$A$1:$K$435,3,FALSE),"")</x:f>
        <x:v/>
      </x:c>
      <x:c r="H103" s="1" t="str">
        <x:f t="shared" si="1"/>
        <x:v>10.51.90.172</x:v>
      </x:c>
    </x:row>
    <x:row r="104" spans="1:8">
      <x:c r="A104" s="30"/>
      <x:c r="B104" s="33">
        <x:v>173</x:v>
      </x:c>
      <x:c r="C104" s="265" t="s">
        <x:v>2285</x:v>
      </x:c>
      <x:c r="D104" s="55" t="str">
        <x:f>IFERROR(VLOOKUP(C104,'정보화기기 명부'!A$2:B$138,2,FALSE),"")</x:f>
        <x:v/>
      </x:c>
      <x:c r="E104" s="5" t="str">
        <x:f>IFERROR(VLOOKUP(C104,PC!A$1:K$435,2,FALSE),"")</x:f>
        <x:v/>
      </x:c>
      <x:c r="F104" s="189" t="str">
        <x:f>IFERROR(VLOOKUP(C104,PC!A$1:K$435,7,FALSE)&amp;" "&amp;VLOOKUP(C104,PC!A$1:K$435,6,FALSE),"")</x:f>
        <x:v/>
      </x:c>
      <x:c r="G104" s="5" t="str">
        <x:f>IFERROR(VLOOKUP(C104,PC!$A$1:$K$435,3,FALSE),"")</x:f>
        <x:v/>
      </x:c>
      <x:c r="H104" s="1" t="str">
        <x:f t="shared" si="1"/>
        <x:v>10.51.90.173</x:v>
      </x:c>
    </x:row>
    <x:row r="105" spans="1:8">
      <x:c r="A105" s="30"/>
      <x:c r="B105" s="33">
        <x:v>174</x:v>
      </x:c>
      <x:c r="C105" s="265" t="s">
        <x:v>2285</x:v>
      </x:c>
      <x:c r="D105" s="55" t="str">
        <x:f>IFERROR(VLOOKUP(C105,'정보화기기 명부'!A$2:B$138,2,FALSE),"")</x:f>
        <x:v/>
      </x:c>
      <x:c r="E105" s="5" t="str">
        <x:f>IFERROR(VLOOKUP(C105,PC!A$1:K$435,2,FALSE),"")</x:f>
        <x:v/>
      </x:c>
      <x:c r="F105" s="189" t="str">
        <x:f>IFERROR(VLOOKUP(C105,PC!A$1:K$435,7,FALSE)&amp;" "&amp;VLOOKUP(C105,PC!A$1:K$435,6,FALSE),"")</x:f>
        <x:v/>
      </x:c>
      <x:c r="G105" s="5" t="str">
        <x:f>IFERROR(VLOOKUP(C105,PC!$A$1:$K$435,3,FALSE),"")</x:f>
        <x:v/>
      </x:c>
      <x:c r="H105" s="1" t="str">
        <x:f t="shared" si="1"/>
        <x:v>10.51.90.174</x:v>
      </x:c>
    </x:row>
    <x:row r="106" spans="1:8">
      <x:c r="A106" s="30"/>
      <x:c r="B106" s="34">
        <x:v>175</x:v>
      </x:c>
      <x:c r="C106" s="265" t="s">
        <x:v>2285</x:v>
      </x:c>
      <x:c r="D106" s="55" t="str">
        <x:f>IFERROR(VLOOKUP(C106,'정보화기기 명부'!A$2:B$138,2,FALSE),"")</x:f>
        <x:v/>
      </x:c>
      <x:c r="E106" s="7" t="str">
        <x:f>IFERROR(VLOOKUP(C106,PC!A$1:K$435,2,FALSE),"")</x:f>
        <x:v/>
      </x:c>
      <x:c r="F106" s="190" t="str">
        <x:f>IFERROR(VLOOKUP(C106,PC!A$1:K$435,7,FALSE)&amp;" "&amp;VLOOKUP(C106,PC!A$1:K$435,6,FALSE),"")</x:f>
        <x:v/>
      </x:c>
      <x:c r="G106" s="7" t="str">
        <x:f>IFERROR(VLOOKUP(C106,PC!$A$1:$K$435,3,FALSE),"")</x:f>
        <x:v/>
      </x:c>
      <x:c r="H106" s="1" t="str">
        <x:f t="shared" si="1"/>
        <x:v>10.51.90.175</x:v>
      </x:c>
    </x:row>
    <x:row r="107" spans="1:8">
      <x:c r="A107" s="30"/>
      <x:c r="B107" s="32">
        <x:v>176</x:v>
      </x:c>
      <x:c r="C107" s="4" t="s">
        <x:v>1438</x:v>
      </x:c>
      <x:c r="D107" s="55" t="str">
        <x:f>IFERROR(VLOOKUP(C107,'정보화기기 명부'!A$2:B$138,2,FALSE),"")</x:f>
        <x:v/>
      </x:c>
      <x:c r="E107" s="4" t="str">
        <x:f>IFERROR(VLOOKUP(C107,PC!A$1:K$435,2,FALSE),"")</x:f>
        <x:v/>
      </x:c>
      <x:c r="F107" s="188" t="str">
        <x:f>IFERROR(VLOOKUP(C107,PC!A$1:K$435,7,FALSE)&amp;" "&amp;VLOOKUP(C107,PC!A$1:K$435,6,FALSE),"")</x:f>
        <x:v/>
      </x:c>
      <x:c r="G107" s="4" t="str">
        <x:f>IFERROR(VLOOKUP(C107,PC!$A$1:$K$435,3,FALSE),"")</x:f>
        <x:v/>
      </x:c>
      <x:c r="H107" s="1" t="str">
        <x:f t="shared" si="1"/>
        <x:v>10.51.90.176</x:v>
      </x:c>
    </x:row>
    <x:row r="108" spans="1:8">
      <x:c r="A108" s="30"/>
      <x:c r="B108" s="33">
        <x:v>177</x:v>
      </x:c>
      <x:c r="C108" s="5"/>
      <x:c r="D108" s="35"/>
      <x:c r="E108" s="5" t="str">
        <x:f>IFERROR(VLOOKUP(C108,PC!A$1:K$435,2,FALSE),"")</x:f>
        <x:v/>
      </x:c>
      <x:c r="F108" s="189" t="str">
        <x:f>IFERROR(VLOOKUP(C108,PC!A$1:K$435,7,FALSE)&amp;" "&amp;VLOOKUP(C108,PC!A$1:K$435,6,FALSE),"")</x:f>
        <x:v/>
      </x:c>
      <x:c r="G108" s="5" t="str">
        <x:f>IFERROR(VLOOKUP(C108,PC!$A$1:$K$435,3,FALSE),"")</x:f>
        <x:v/>
      </x:c>
      <x:c r="H108" s="1" t="str">
        <x:f t="shared" si="1"/>
        <x:v>10.51.90.177</x:v>
      </x:c>
    </x:row>
    <x:row r="109" spans="1:8">
      <x:c r="A109" s="30"/>
      <x:c r="B109" s="33">
        <x:v>178</x:v>
      </x:c>
      <x:c r="C109" s="5" t="s">
        <x:v>1438</x:v>
      </x:c>
      <x:c r="D109" s="35" t="str">
        <x:f>IFERROR(VLOOKUP(C109,'정보화기기 명부'!A$2:B$138,2,FALSE),"")</x:f>
        <x:v/>
      </x:c>
      <x:c r="E109" s="5" t="str">
        <x:f>IFERROR(VLOOKUP(C109,PC!A$1:K$435,2,FALSE),"")</x:f>
        <x:v/>
      </x:c>
      <x:c r="F109" s="189" t="str">
        <x:f>IFERROR(VLOOKUP(C109,PC!A$1:K$435,7,FALSE)&amp;" "&amp;VLOOKUP(C109,PC!A$1:K$435,6,FALSE),"")</x:f>
        <x:v/>
      </x:c>
      <x:c r="G109" s="5" t="str">
        <x:f>IFERROR(VLOOKUP(C109,PC!$A$1:$K$435,3,FALSE),"")</x:f>
        <x:v/>
      </x:c>
      <x:c r="H109" s="1" t="str">
        <x:f t="shared" si="1"/>
        <x:v>10.51.90.178</x:v>
      </x:c>
    </x:row>
    <x:row r="110" spans="1:8">
      <x:c r="A110" s="30"/>
      <x:c r="B110" s="33">
        <x:v>179</x:v>
      </x:c>
      <x:c r="C110" s="5" t="s">
        <x:v>1438</x:v>
      </x:c>
      <x:c r="D110" s="35" t="str">
        <x:f>IFERROR(VLOOKUP(C110,'정보화기기 명부'!A$2:B$138,2,FALSE),"")</x:f>
        <x:v/>
      </x:c>
      <x:c r="E110" s="5" t="str">
        <x:f>IFERROR(VLOOKUP(C110,PC!A$1:K$435,2,FALSE),"")</x:f>
        <x:v/>
      </x:c>
      <x:c r="F110" s="189" t="str">
        <x:f>IFERROR(VLOOKUP(C110,PC!A$1:K$435,7,FALSE)&amp;" "&amp;VLOOKUP(C110,PC!A$1:K$435,6,FALSE),"")</x:f>
        <x:v/>
      </x:c>
      <x:c r="G110" s="5" t="str">
        <x:f>IFERROR(VLOOKUP(C110,PC!$A$1:$K$435,3,FALSE),"")</x:f>
        <x:v/>
      </x:c>
      <x:c r="H110" s="1" t="str">
        <x:f t="shared" si="1"/>
        <x:v>10.51.90.179</x:v>
      </x:c>
    </x:row>
    <x:row r="111" spans="1:8">
      <x:c r="A111" s="30"/>
      <x:c r="B111" s="34">
        <x:v>180</x:v>
      </x:c>
      <x:c r="C111" s="230" t="s">
        <x:v>838</x:v>
      </x:c>
      <x:c r="D111" s="56" t="str">
        <x:f>IFERROR(VLOOKUP(C111,'정보화기기 명부'!A$2:B$138,2,FALSE),"")</x:f>
        <x:v/>
      </x:c>
      <x:c r="E111" s="7" t="str">
        <x:f>IFERROR(VLOOKUP(C111,PC!A$1:K$435,2,FALSE),"")</x:f>
        <x:v>20210823-0888</x:v>
      </x:c>
      <x:c r="F111" s="190" t="str">
        <x:f>IFERROR(VLOOKUP(C111,PC!A$1:K$435,7,FALSE)&amp;" "&amp;VLOOKUP(C111,PC!A$1:K$435,6,FALSE),"")</x:f>
        <x:v>삼성 NT550XDA-KG03G</x:v>
      </x:c>
      <x:c r="G111" s="7" t="str">
        <x:f>IFERROR(VLOOKUP(C111,PC!$A$1:$K$435,3,FALSE),"")</x:f>
        <x:v>노트북</x:v>
      </x:c>
      <x:c r="H111" s="1" t="str">
        <x:f>$A$2&amp;B111</x:f>
        <x:v>10.51.90.180</x:v>
      </x:c>
    </x:row>
    <x:row r="112" spans="1:8">
      <x:c r="A112" s="30"/>
      <x:c r="B112" s="32">
        <x:v>181</x:v>
      </x:c>
      <x:c r="C112" s="4" t="s">
        <x:v>2281</x:v>
      </x:c>
      <x:c r="D112" s="55" t="str">
        <x:f>IFERROR(VLOOKUP(C112,'정보화기기 명부'!A$2:B$138,2,FALSE),"")</x:f>
        <x:v/>
      </x:c>
      <x:c r="E112" s="4" t="str">
        <x:f>IFERROR(VLOOKUP(C112,PC!A$1:K$435,2,FALSE),"")</x:f>
        <x:v>20200901-0851</x:v>
      </x:c>
      <x:c r="F112" s="188" t="str">
        <x:f>IFERROR(VLOOKUP(C112,PC!A$1:K$435,7,FALSE)&amp;" "&amp;VLOOKUP(C112,PC!A$1:K$435,6,FALSE),"")</x:f>
        <x:v>삼성 CN/NT550XCJ-K13G</x:v>
      </x:c>
      <x:c r="G112" s="4" t="s">
        <x:v>1564</x:v>
      </x:c>
      <x:c r="H112" s="1" t="str">
        <x:f t="shared" si="1"/>
        <x:v>10.51.90.181</x:v>
      </x:c>
    </x:row>
    <x:row r="113" spans="1:8">
      <x:c r="A113" s="30"/>
      <x:c r="B113" s="33">
        <x:v>182</x:v>
      </x:c>
      <x:c r="C113" s="5" t="s">
        <x:v>1438</x:v>
      </x:c>
      <x:c r="D113" s="35" t="str">
        <x:f>IFERROR(VLOOKUP(C113,'정보화기기 명부'!A$2:B$138,2,FALSE),"")</x:f>
        <x:v/>
      </x:c>
      <x:c r="E113" s="5" t="str">
        <x:f>IFERROR(VLOOKUP(C113,PC!A$1:K$435,2,FALSE),"")</x:f>
        <x:v/>
      </x:c>
      <x:c r="F113" s="189" t="str">
        <x:f>IFERROR(VLOOKUP(C113,PC!A$1:K$435,7,FALSE)&amp;" "&amp;VLOOKUP(C113,PC!A$1:K$435,6,FALSE),"")</x:f>
        <x:v/>
      </x:c>
      <x:c r="G113" s="5" t="str">
        <x:f>IFERROR(VLOOKUP(C113,PC!$A$1:$K$435,3,FALSE),"")</x:f>
        <x:v/>
      </x:c>
      <x:c r="H113" s="1" t="str">
        <x:f t="shared" si="1"/>
        <x:v>10.51.90.182</x:v>
      </x:c>
    </x:row>
    <x:row r="114" spans="1:8">
      <x:c r="A114" s="30"/>
      <x:c r="B114" s="33">
        <x:v>183</x:v>
      </x:c>
      <x:c r="C114" s="5" t="s">
        <x:v>1438</x:v>
      </x:c>
      <x:c r="D114" s="35" t="str">
        <x:f>IFERROR(VLOOKUP(C114,'정보화기기 명부'!A$2:B$138,2,FALSE),"")</x:f>
        <x:v/>
      </x:c>
      <x:c r="E114" s="5" t="str">
        <x:f>IFERROR(VLOOKUP(C114,PC!A$1:K$435,2,FALSE),"")</x:f>
        <x:v/>
      </x:c>
      <x:c r="F114" s="189" t="str">
        <x:f>IFERROR(VLOOKUP(C114,PC!A$1:K$435,7,FALSE)&amp;" "&amp;VLOOKUP(C114,PC!A$1:K$435,6,FALSE),"")</x:f>
        <x:v/>
      </x:c>
      <x:c r="G114" s="5" t="str">
        <x:f>IFERROR(VLOOKUP(C114,PC!$A$1:$K$435,3,FALSE),"")</x:f>
        <x:v/>
      </x:c>
      <x:c r="H114" s="1" t="str">
        <x:f t="shared" si="1"/>
        <x:v>10.51.90.183</x:v>
      </x:c>
    </x:row>
    <x:row r="115" spans="1:8">
      <x:c r="A115" s="30"/>
      <x:c r="B115" s="33">
        <x:v>184</x:v>
      </x:c>
      <x:c r="C115" s="5" t="s">
        <x:v>1438</x:v>
      </x:c>
      <x:c r="D115" s="35" t="str">
        <x:f>IFERROR(VLOOKUP(C115,'정보화기기 명부'!A$2:B$138,2,FALSE),"")</x:f>
        <x:v/>
      </x:c>
      <x:c r="E115" s="5" t="str">
        <x:f>IFERROR(VLOOKUP(C115,PC!A$1:K$435,2,FALSE),"")</x:f>
        <x:v/>
      </x:c>
      <x:c r="F115" s="189" t="str">
        <x:f>IFERROR(VLOOKUP(C115,PC!A$1:K$435,7,FALSE)&amp;" "&amp;VLOOKUP(C115,PC!A$1:K$435,6,FALSE),"")</x:f>
        <x:v/>
      </x:c>
      <x:c r="G115" s="5" t="str">
        <x:f>IFERROR(VLOOKUP(C115,PC!$A$1:$K$435,3,FALSE),"")</x:f>
        <x:v/>
      </x:c>
      <x:c r="H115" s="1" t="str">
        <x:f t="shared" si="1"/>
        <x:v>10.51.90.184</x:v>
      </x:c>
    </x:row>
    <x:row r="116" spans="1:8">
      <x:c r="A116" s="30"/>
      <x:c r="B116" s="34">
        <x:v>185</x:v>
      </x:c>
      <x:c r="C116" s="7"/>
      <x:c r="D116" s="56"/>
      <x:c r="E116" s="7"/>
      <x:c r="F116" s="190" t="str">
        <x:f>IFERROR(VLOOKUP(C116,PC!A$1:K$435,7,FALSE)&amp;" "&amp;VLOOKUP(C116,PC!A$1:K$435,6,FALSE),"")</x:f>
        <x:v/>
      </x:c>
      <x:c r="G116" s="7" t="str">
        <x:f>IFERROR(VLOOKUP(C116,PC!$A$1:$K$435,3,FALSE),"")</x:f>
        <x:v/>
      </x:c>
      <x:c r="H116" s="1" t="str">
        <x:f t="shared" si="1"/>
        <x:v>10.51.90.185</x:v>
      </x:c>
    </x:row>
    <x:row r="117" spans="1:8">
      <x:c r="A117" s="30"/>
      <x:c r="B117" s="32">
        <x:v>186</x:v>
      </x:c>
      <x:c r="C117" s="4" t="s">
        <x:v>1438</x:v>
      </x:c>
      <x:c r="D117" s="55" t="str">
        <x:f>IFERROR(VLOOKUP(C117,'정보화기기 명부'!A$2:B$138,2,FALSE),"")</x:f>
        <x:v/>
      </x:c>
      <x:c r="E117" s="4" t="str">
        <x:f>IFERROR(VLOOKUP(C117,PC!A$1:K$435,2,FALSE),"")</x:f>
        <x:v/>
      </x:c>
      <x:c r="F117" s="188" t="str">
        <x:f>IFERROR(VLOOKUP(C117,PC!A$1:K$435,7,FALSE)&amp;" "&amp;VLOOKUP(C117,PC!A$1:K$435,6,FALSE),"")</x:f>
        <x:v/>
      </x:c>
      <x:c r="G117" s="4" t="str">
        <x:f>IFERROR(VLOOKUP(C117,PC!$A$1:$K$435,3,FALSE),"")</x:f>
        <x:v/>
      </x:c>
      <x:c r="H117" s="1" t="str">
        <x:f t="shared" si="1"/>
        <x:v>10.51.90.186</x:v>
      </x:c>
    </x:row>
    <x:row r="118" spans="1:8">
      <x:c r="A118" s="30"/>
      <x:c r="B118" s="33">
        <x:v>187</x:v>
      </x:c>
      <x:c r="C118" s="5" t="s">
        <x:v>1438</x:v>
      </x:c>
      <x:c r="D118" s="35" t="str">
        <x:f>IFERROR(VLOOKUP(C118,'정보화기기 명부'!A$2:B$138,2,FALSE),"")</x:f>
        <x:v/>
      </x:c>
      <x:c r="E118" s="5" t="str">
        <x:f>IFERROR(VLOOKUP(C118,PC!A$1:K$435,2,FALSE),"")</x:f>
        <x:v/>
      </x:c>
      <x:c r="F118" s="189" t="str">
        <x:f>IFERROR(VLOOKUP(C118,PC!A$1:K$435,7,FALSE)&amp;" "&amp;VLOOKUP(C118,PC!A$1:K$435,6,FALSE),"")</x:f>
        <x:v/>
      </x:c>
      <x:c r="G118" s="5" t="str">
        <x:f>IFERROR(VLOOKUP(C118,PC!$A$1:$K$435,3,FALSE),"")</x:f>
        <x:v/>
      </x:c>
      <x:c r="H118" s="1" t="str">
        <x:f t="shared" si="1"/>
        <x:v>10.51.90.187</x:v>
      </x:c>
    </x:row>
    <x:row r="119" spans="1:8">
      <x:c r="A119" s="30"/>
      <x:c r="B119" s="33">
        <x:v>188</x:v>
      </x:c>
      <x:c r="C119" s="5" t="s">
        <x:v>1438</x:v>
      </x:c>
      <x:c r="D119" s="35" t="str">
        <x:f>IFERROR(VLOOKUP(C119,'정보화기기 명부'!A$2:B$138,2,FALSE),"")</x:f>
        <x:v/>
      </x:c>
      <x:c r="E119" s="5" t="str">
        <x:f>IFERROR(VLOOKUP(C119,PC!A$1:K$435,2,FALSE),"")</x:f>
        <x:v/>
      </x:c>
      <x:c r="F119" s="189" t="str">
        <x:f>IFERROR(VLOOKUP(C119,PC!A$1:K$435,7,FALSE)&amp;" "&amp;VLOOKUP(C119,PC!A$1:K$435,6,FALSE),"")</x:f>
        <x:v/>
      </x:c>
      <x:c r="G119" s="5" t="str">
        <x:f>IFERROR(VLOOKUP(C119,PC!$A$1:$K$435,3,FALSE),"")</x:f>
        <x:v/>
      </x:c>
      <x:c r="H119" s="1" t="str">
        <x:f t="shared" si="1"/>
        <x:v>10.51.90.188</x:v>
      </x:c>
    </x:row>
    <x:row r="120" spans="1:8">
      <x:c r="A120" s="30"/>
      <x:c r="B120" s="33">
        <x:v>189</x:v>
      </x:c>
      <x:c r="C120" s="5" t="s">
        <x:v>1438</x:v>
      </x:c>
      <x:c r="D120" s="35" t="str">
        <x:f>IFERROR(VLOOKUP(C120,'정보화기기 명부'!A$2:B$138,2,FALSE),"")</x:f>
        <x:v/>
      </x:c>
      <x:c r="E120" s="5" t="str">
        <x:f>IFERROR(VLOOKUP(C120,PC!A$1:K$435,2,FALSE),"")</x:f>
        <x:v/>
      </x:c>
      <x:c r="F120" s="189" t="str">
        <x:f>IFERROR(VLOOKUP(C120,PC!A$1:K$435,7,FALSE)&amp;" "&amp;VLOOKUP(C120,PC!A$1:K$435,6,FALSE),"")</x:f>
        <x:v/>
      </x:c>
      <x:c r="G120" s="5" t="str">
        <x:f>IFERROR(VLOOKUP(C120,PC!$A$1:$K$435,3,FALSE),"")</x:f>
        <x:v/>
      </x:c>
      <x:c r="H120" s="1" t="str">
        <x:f t="shared" si="1"/>
        <x:v>10.51.90.189</x:v>
      </x:c>
    </x:row>
    <x:row r="121" spans="1:8">
      <x:c r="A121" s="30"/>
      <x:c r="B121" s="34">
        <x:v>190</x:v>
      </x:c>
      <x:c r="C121" s="7" t="s">
        <x:v>1438</x:v>
      </x:c>
      <x:c r="D121" s="56" t="str">
        <x:f>IFERROR(VLOOKUP(C121,'정보화기기 명부'!A$2:B$138,2,FALSE),"")</x:f>
        <x:v/>
      </x:c>
      <x:c r="E121" s="7"/>
      <x:c r="F121" s="190" t="str">
        <x:f>IFERROR(VLOOKUP(C121,PC!A$1:K$435,7,FALSE)&amp;" "&amp;VLOOKUP(C121,PC!A$1:K$435,6,FALSE),"")</x:f>
        <x:v/>
      </x:c>
      <x:c r="G121" s="7"/>
      <x:c r="H121" s="1" t="str">
        <x:f t="shared" si="1"/>
        <x:v>10.51.90.190</x:v>
      </x:c>
    </x:row>
    <x:row r="122" spans="1:8">
      <x:c r="A122" s="30"/>
      <x:c r="B122" s="32">
        <x:v>191</x:v>
      </x:c>
      <x:c r="C122" s="4" t="s">
        <x:v>1438</x:v>
      </x:c>
      <x:c r="D122" s="55" t="str">
        <x:f>IFERROR(VLOOKUP(C122,'정보화기기 명부'!A$2:B$138,2,FALSE),"")</x:f>
        <x:v/>
      </x:c>
      <x:c r="E122" s="4" t="str">
        <x:f>IFERROR(VLOOKUP(C122,PC!A$1:K$435,2,FALSE),"")</x:f>
        <x:v/>
      </x:c>
      <x:c r="F122" s="188" t="str">
        <x:f>IFERROR(VLOOKUP(C122,PC!A$1:K$435,7,FALSE)&amp;" "&amp;VLOOKUP(C122,PC!A$1:K$435,6,FALSE),"")</x:f>
        <x:v/>
      </x:c>
      <x:c r="G122" s="4" t="str">
        <x:f>IFERROR(VLOOKUP(C122,PC!$A$1:$K$435,3,FALSE),"")</x:f>
        <x:v/>
      </x:c>
      <x:c r="H122" s="1" t="str">
        <x:f t="shared" si="1"/>
        <x:v>10.51.90.191</x:v>
      </x:c>
    </x:row>
    <x:row r="123" spans="1:8">
      <x:c r="A123" s="30"/>
      <x:c r="B123" s="33">
        <x:v>192</x:v>
      </x:c>
      <x:c r="C123" s="5" t="s">
        <x:v>1438</x:v>
      </x:c>
      <x:c r="D123" s="35" t="str">
        <x:f>IFERROR(VLOOKUP(C123,'정보화기기 명부'!A$2:B$138,2,FALSE),"")</x:f>
        <x:v/>
      </x:c>
      <x:c r="E123" s="5" t="str">
        <x:f>IFERROR(VLOOKUP(C123,PC!A$1:K$435,2,FALSE),"")</x:f>
        <x:v/>
      </x:c>
      <x:c r="F123" s="189" t="str">
        <x:f>IFERROR(VLOOKUP(C123,PC!A$1:K$435,7,FALSE)&amp;" "&amp;VLOOKUP(C123,PC!A$1:K$435,6,FALSE),"")</x:f>
        <x:v/>
      </x:c>
      <x:c r="G123" s="5" t="str">
        <x:f>IFERROR(VLOOKUP(C123,PC!$A$1:$K$435,3,FALSE),"")</x:f>
        <x:v/>
      </x:c>
      <x:c r="H123" s="1" t="str">
        <x:f t="shared" si="1"/>
        <x:v>10.51.90.192</x:v>
      </x:c>
    </x:row>
    <x:row r="124" spans="1:8">
      <x:c r="A124" s="30"/>
      <x:c r="B124" s="33">
        <x:v>193</x:v>
      </x:c>
      <x:c r="C124" s="5" t="s">
        <x:v>1438</x:v>
      </x:c>
      <x:c r="D124" s="35" t="str">
        <x:f>IFERROR(VLOOKUP(C124,'정보화기기 명부'!A$2:B$138,2,FALSE),"")</x:f>
        <x:v/>
      </x:c>
      <x:c r="E124" s="5" t="str">
        <x:f>IFERROR(VLOOKUP(C124,PC!A$1:K$435,2,FALSE),"")</x:f>
        <x:v/>
      </x:c>
      <x:c r="F124" s="189" t="str">
        <x:f>IFERROR(VLOOKUP(C124,PC!A$1:K$435,7,FALSE)&amp;" "&amp;VLOOKUP(C124,PC!A$1:K$435,6,FALSE),"")</x:f>
        <x:v/>
      </x:c>
      <x:c r="G124" s="5" t="str">
        <x:f>IFERROR(VLOOKUP(C124,PC!$A$1:$K$435,3,FALSE),"")</x:f>
        <x:v/>
      </x:c>
      <x:c r="H124" s="1" t="str">
        <x:f t="shared" si="1"/>
        <x:v>10.51.90.193</x:v>
      </x:c>
    </x:row>
    <x:row r="125" spans="1:8">
      <x:c r="A125" s="30"/>
      <x:c r="B125" s="33">
        <x:v>194</x:v>
      </x:c>
      <x:c r="C125" s="5" t="s">
        <x:v>1438</x:v>
      </x:c>
      <x:c r="D125" s="35" t="str">
        <x:f>IFERROR(VLOOKUP(C125,'정보화기기 명부'!A$2:B$138,2,FALSE),"")</x:f>
        <x:v/>
      </x:c>
      <x:c r="E125" s="5" t="str">
        <x:f>IFERROR(VLOOKUP(C125,PC!A$1:K$435,2,FALSE),"")</x:f>
        <x:v/>
      </x:c>
      <x:c r="F125" s="189" t="str">
        <x:f>IFERROR(VLOOKUP(C125,PC!A$1:K$435,7,FALSE)&amp;" "&amp;VLOOKUP(C125,PC!A$1:K$435,6,FALSE),"")</x:f>
        <x:v/>
      </x:c>
      <x:c r="G125" s="5" t="str">
        <x:f>IFERROR(VLOOKUP(C125,PC!$A$1:$K$435,3,FALSE),"")</x:f>
        <x:v/>
      </x:c>
      <x:c r="H125" s="1" t="str">
        <x:f t="shared" si="1"/>
        <x:v>10.51.90.194</x:v>
      </x:c>
    </x:row>
    <x:row r="126" spans="1:11">
      <x:c r="A126" s="30"/>
      <x:c r="B126" s="34">
        <x:v>195</x:v>
      </x:c>
      <x:c r="C126" s="7" t="s">
        <x:v>1438</x:v>
      </x:c>
      <x:c r="D126" s="56" t="str">
        <x:f>IFERROR(VLOOKUP(C126,'정보화기기 명부'!A$2:B$138,2,FALSE),"")</x:f>
        <x:v/>
      </x:c>
      <x:c r="E126" s="7" t="str">
        <x:f>IFERROR(VLOOKUP(C126,PC!A$1:K$435,2,FALSE),"")</x:f>
        <x:v/>
      </x:c>
      <x:c r="F126" s="190" t="str">
        <x:f>IFERROR(VLOOKUP(C126,PC!A$1:K$435,7,FALSE)&amp;" "&amp;VLOOKUP(C126,PC!A$1:K$435,6,FALSE),"")</x:f>
        <x:v/>
      </x:c>
      <x:c r="G126" s="7" t="str">
        <x:f>IFERROR(VLOOKUP(C126,PC!$A$1:$K$435,3,FALSE),"")</x:f>
        <x:v/>
      </x:c>
      <x:c r="H126" s="1" t="str">
        <x:f t="shared" si="1"/>
        <x:v>10.51.90.195</x:v>
      </x:c>
      <x:c r="J126" s="1"/>
      <x:c r="K126" s="1"/>
    </x:row>
    <x:row r="127" spans="1:11">
      <x:c r="A127" s="30"/>
      <x:c r="B127" s="32">
        <x:v>196</x:v>
      </x:c>
      <x:c r="C127" s="4" t="s">
        <x:v>1438</x:v>
      </x:c>
      <x:c r="D127" s="55" t="str">
        <x:f>IFERROR(VLOOKUP(C127,'정보화기기 명부'!A$2:B$138,2,FALSE),"")</x:f>
        <x:v/>
      </x:c>
      <x:c r="E127" s="4" t="str">
        <x:f>IFERROR(VLOOKUP(C127,PC!A$1:K$435,2,FALSE),"")</x:f>
        <x:v/>
      </x:c>
      <x:c r="F127" s="188" t="str">
        <x:f>IFERROR(VLOOKUP(C127,PC!A$1:K$435,7,FALSE)&amp;" "&amp;VLOOKUP(C127,PC!A$1:K$435,6,FALSE),"")</x:f>
        <x:v/>
      </x:c>
      <x:c r="G127" s="4" t="str">
        <x:f>IFERROR(VLOOKUP(C127,PC!$A$1:$K$435,3,FALSE),"")</x:f>
        <x:v/>
      </x:c>
      <x:c r="H127" s="1" t="str">
        <x:f t="shared" si="1"/>
        <x:v>10.51.90.196</x:v>
      </x:c>
      <x:c r="J127" s="27"/>
      <x:c r="K127" s="1"/>
    </x:row>
    <x:row r="128" spans="1:11">
      <x:c r="A128" s="30"/>
      <x:c r="B128" s="33">
        <x:v>197</x:v>
      </x:c>
      <x:c r="C128" s="5" t="s">
        <x:v>1438</x:v>
      </x:c>
      <x:c r="D128" s="35" t="str">
        <x:f>IFERROR(VLOOKUP(C128,'정보화기기 명부'!A$2:B$138,2,FALSE),"")</x:f>
        <x:v/>
      </x:c>
      <x:c r="E128" s="5" t="str">
        <x:f>IFERROR(VLOOKUP(C128,PC!A$1:K$435,2,FALSE),"")</x:f>
        <x:v/>
      </x:c>
      <x:c r="F128" s="189" t="str">
        <x:f>IFERROR(VLOOKUP(C128,PC!A$1:K$435,7,FALSE)&amp;" "&amp;VLOOKUP(C128,PC!A$1:K$435,6,FALSE),"")</x:f>
        <x:v/>
      </x:c>
      <x:c r="G128" s="5" t="str">
        <x:f>IFERROR(VLOOKUP(C128,PC!$A$1:$K$435,3,FALSE),"")</x:f>
        <x:v/>
      </x:c>
      <x:c r="H128" s="1" t="str">
        <x:f t="shared" si="1"/>
        <x:v>10.51.90.197</x:v>
      </x:c>
      <x:c r="J128" s="27"/>
      <x:c r="K128" s="1"/>
    </x:row>
    <x:row r="129" spans="1:11">
      <x:c r="A129" s="30"/>
      <x:c r="B129" s="33">
        <x:v>198</x:v>
      </x:c>
      <x:c r="C129" s="5" t="s">
        <x:v>1758</x:v>
      </x:c>
      <x:c r="D129" s="35" t="str">
        <x:f>IFERROR(VLOOKUP(C129,'정보화기기 명부'!A$2:B$138,2,FALSE),"")</x:f>
        <x:v/>
      </x:c>
      <x:c r="E129" s="5" t="str">
        <x:f>IFERROR(VLOOKUP(C129,PC!A$1:K$435,2,FALSE),"")</x:f>
        <x:v>20210823-0894</x:v>
      </x:c>
      <x:c r="F129" s="189" t="str">
        <x:f>IFERROR(VLOOKUP(C129,PC!A$1:K$435,7,FALSE)&amp;" "&amp;VLOOKUP(C129,PC!A$1:K$435,6,FALSE),"")</x:f>
        <x:v>삼성 NT550XDA-KG03G</x:v>
      </x:c>
      <x:c r="G129" s="5" t="str">
        <x:f>IFERROR(VLOOKUP(C129,PC!$A$1:$K$435,3,FALSE),"")</x:f>
        <x:v>노트북</x:v>
      </x:c>
      <x:c r="H129" s="1" t="str">
        <x:f t="shared" si="1"/>
        <x:v>10.51.90.198</x:v>
      </x:c>
      <x:c r="J129" s="27"/>
      <x:c r="K129" s="1"/>
    </x:row>
    <x:row r="130" spans="1:11">
      <x:c r="A130" s="30"/>
      <x:c r="B130" s="233">
        <x:v>199</x:v>
      </x:c>
      <x:c r="C130" s="234" t="s">
        <x:v>1236</x:v>
      </x:c>
      <x:c r="D130" s="35" t="str">
        <x:f>IFERROR(VLOOKUP(C130,'정보화기기 명부'!A$2:B$138,2,FALSE),"")</x:f>
        <x:v>체육보건부</x:v>
      </x:c>
      <x:c r="E130" s="5" t="str">
        <x:f>IFERROR(VLOOKUP(C130,PC!A$1:K$435,2,FALSE),"")</x:f>
        <x:v/>
      </x:c>
      <x:c r="F130" s="248" t="s">
        <x:v>3203</x:v>
      </x:c>
      <x:c r="G130" s="5" t="str">
        <x:f>IFERROR(VLOOKUP(C130,PC!$A$1:$K$435,3,FALSE),"")</x:f>
        <x:v/>
      </x:c>
      <x:c r="H130" s="1" t="str">
        <x:f t="shared" si="1"/>
        <x:v>10.51.90.199</x:v>
      </x:c>
      <x:c r="J130" s="27"/>
      <x:c r="K130" s="1"/>
    </x:row>
    <x:row r="131" spans="1:11">
      <x:c r="A131" s="30"/>
      <x:c r="B131" s="34">
        <x:v>200</x:v>
      </x:c>
      <x:c r="C131" s="7" t="s">
        <x:v>1438</x:v>
      </x:c>
      <x:c r="D131" s="56" t="str">
        <x:f>IFERROR(VLOOKUP(C131,'정보화기기 명부'!A$2:B$138,2,FALSE),"")</x:f>
        <x:v/>
      </x:c>
      <x:c r="E131" s="7" t="str">
        <x:f>IFERROR(VLOOKUP(C131,PC!A$1:K$435,2,FALSE),"")</x:f>
        <x:v/>
      </x:c>
      <x:c r="F131" s="190" t="str">
        <x:f>IFERROR(VLOOKUP(C131,PC!A$1:K$435,7,FALSE)&amp;" "&amp;VLOOKUP(C131,PC!A$1:K$435,6,FALSE),"")</x:f>
        <x:v/>
      </x:c>
      <x:c r="G131" s="7" t="str">
        <x:f>IFERROR(VLOOKUP(C131,PC!$A$1:$K$435,3,FALSE),"")</x:f>
        <x:v/>
      </x:c>
      <x:c r="H131" s="1" t="str">
        <x:f t="shared" ref="H131:H173" si="2">$A$2&amp;B131</x:f>
        <x:v>10.51.90.200</x:v>
      </x:c>
      <x:c r="J131" s="1"/>
      <x:c r="K131" s="1"/>
    </x:row>
    <x:row r="132" spans="1:11">
      <x:c r="A132" s="30"/>
      <x:c r="B132" s="32">
        <x:v>201</x:v>
      </x:c>
      <x:c r="C132" s="4" t="s">
        <x:v>1841</x:v>
      </x:c>
      <x:c r="D132" s="55" t="s">
        <x:v>1942</x:v>
      </x:c>
      <x:c r="E132" s="4"/>
      <x:c r="F132" s="188" t="str">
        <x:f>IFERROR(VLOOKUP(C132,PC!A$1:K$435,7,FALSE)&amp;" "&amp;VLOOKUP(C132,PC!A$1:K$435,6,FALSE),"")</x:f>
        <x:v/>
      </x:c>
      <x:c r="G132" s="4"/>
      <x:c r="H132" s="1" t="str">
        <x:f t="shared" si="2"/>
        <x:v>10.51.90.201</x:v>
      </x:c>
      <x:c r="J132" s="1"/>
      <x:c r="K132" s="1"/>
    </x:row>
    <x:row r="133" spans="1:11">
      <x:c r="A133" s="30"/>
      <x:c r="B133" s="33">
        <x:v>202</x:v>
      </x:c>
      <x:c r="C133" s="5" t="s">
        <x:v>1842</x:v>
      </x:c>
      <x:c r="D133" s="35" t="s">
        <x:v>1942</x:v>
      </x:c>
      <x:c r="E133" s="5"/>
      <x:c r="F133" s="189" t="str">
        <x:f>IFERROR(VLOOKUP(C133,PC!A$1:K$435,7,FALSE)&amp;" "&amp;VLOOKUP(C133,PC!A$1:K$435,6,FALSE),"")</x:f>
        <x:v/>
      </x:c>
      <x:c r="G133" s="5"/>
      <x:c r="H133" s="1" t="str">
        <x:f t="shared" si="2"/>
        <x:v>10.51.90.202</x:v>
      </x:c>
      <x:c r="J133" s="1"/>
      <x:c r="K133" s="1"/>
    </x:row>
    <x:row r="134" spans="1:11">
      <x:c r="A134" s="30"/>
      <x:c r="B134" s="33">
        <x:v>203</x:v>
      </x:c>
      <x:c r="C134" s="5"/>
      <x:c r="D134" s="35" t="str">
        <x:f>IFERROR(VLOOKUP(C134,'정보화기기 명부'!A$2:B$138,2,FALSE),"")</x:f>
        <x:v/>
      </x:c>
      <x:c r="E134" s="5"/>
      <x:c r="F134" s="189" t="str">
        <x:f>IFERROR(VLOOKUP(C134,PC!A$1:K$435,7,FALSE)&amp;" "&amp;VLOOKUP(C134,PC!A$1:K$435,6,FALSE),"")</x:f>
        <x:v/>
      </x:c>
      <x:c r="G134" s="5"/>
      <x:c r="H134" s="1" t="str">
        <x:f t="shared" si="2"/>
        <x:v>10.51.90.203</x:v>
      </x:c>
      <x:c r="J134" s="1"/>
      <x:c r="K134" s="1"/>
    </x:row>
    <x:row r="135" spans="1:11">
      <x:c r="A135" s="30"/>
      <x:c r="B135" s="33">
        <x:v>204</x:v>
      </x:c>
      <x:c r="C135" s="5"/>
      <x:c r="D135" s="35" t="str">
        <x:f>IFERROR(VLOOKUP(C135,'정보화기기 명부'!A$2:B$138,2,FALSE),"")</x:f>
        <x:v/>
      </x:c>
      <x:c r="E135" s="5"/>
      <x:c r="F135" s="189" t="str">
        <x:f>IFERROR(VLOOKUP(C135,PC!A$1:K$435,7,FALSE)&amp;" "&amp;VLOOKUP(C135,PC!A$1:K$435,6,FALSE),"")</x:f>
        <x:v/>
      </x:c>
      <x:c r="G135" s="5"/>
      <x:c r="H135" s="1" t="str">
        <x:f t="shared" si="2"/>
        <x:v>10.51.90.204</x:v>
      </x:c>
      <x:c r="J135" s="1"/>
      <x:c r="K135" s="1"/>
    </x:row>
    <x:row r="136" spans="1:11">
      <x:c r="A136" s="30"/>
      <x:c r="B136" s="34">
        <x:v>205</x:v>
      </x:c>
      <x:c r="C136" s="7"/>
      <x:c r="D136" s="56" t="str">
        <x:f>IFERROR(VLOOKUP(C136,'정보화기기 명부'!A$2:B$138,2,FALSE),"")</x:f>
        <x:v/>
      </x:c>
      <x:c r="E136" s="7"/>
      <x:c r="F136" s="190" t="str">
        <x:f>IFERROR(VLOOKUP(C136,PC!A$1:K$435,7,FALSE)&amp;" "&amp;VLOOKUP(C136,PC!A$1:K$435,6,FALSE),"")</x:f>
        <x:v/>
      </x:c>
      <x:c r="G136" s="7"/>
      <x:c r="H136" s="1" t="str">
        <x:f t="shared" si="2"/>
        <x:v>10.51.90.205</x:v>
      </x:c>
      <x:c r="J136" s="1"/>
      <x:c r="K136" s="1"/>
    </x:row>
    <x:row r="137" spans="1:11">
      <x:c r="A137" s="30"/>
      <x:c r="B137" s="32">
        <x:v>206</x:v>
      </x:c>
      <x:c r="C137" s="4"/>
      <x:c r="D137" s="55" t="str">
        <x:f>IFERROR(VLOOKUP(C137,'정보화기기 명부'!A$2:B$138,2,FALSE),"")</x:f>
        <x:v/>
      </x:c>
      <x:c r="E137" s="4"/>
      <x:c r="F137" s="188" t="str">
        <x:f>IFERROR(VLOOKUP(C137,PC!A$1:K$435,7,FALSE)&amp;" "&amp;VLOOKUP(C137,PC!A$1:K$435,6,FALSE),"")</x:f>
        <x:v/>
      </x:c>
      <x:c r="G137" s="4"/>
      <x:c r="H137" s="1" t="str">
        <x:f t="shared" si="2"/>
        <x:v>10.51.90.206</x:v>
      </x:c>
      <x:c r="J137" s="27"/>
      <x:c r="K137" s="1"/>
    </x:row>
    <x:row r="138" spans="1:11">
      <x:c r="A138" s="30"/>
      <x:c r="B138" s="33">
        <x:v>207</x:v>
      </x:c>
      <x:c r="C138" s="5"/>
      <x:c r="D138" s="35" t="str">
        <x:f>IFERROR(VLOOKUP(C138,'정보화기기 명부'!A$2:B$138,2,FALSE),"")</x:f>
        <x:v/>
      </x:c>
      <x:c r="E138" s="5"/>
      <x:c r="F138" s="189" t="str">
        <x:f>IFERROR(VLOOKUP(C138,PC!A$1:K$435,7,FALSE)&amp;" "&amp;VLOOKUP(C138,PC!A$1:K$435,6,FALSE),"")</x:f>
        <x:v/>
      </x:c>
      <x:c r="G138" s="5"/>
      <x:c r="H138" s="1" t="str">
        <x:f t="shared" si="2"/>
        <x:v>10.51.90.207</x:v>
      </x:c>
      <x:c r="J138" s="27"/>
      <x:c r="K138" s="1"/>
    </x:row>
    <x:row r="139" spans="1:11">
      <x:c r="A139" s="30"/>
      <x:c r="B139" s="33">
        <x:v>208</x:v>
      </x:c>
      <x:c r="C139" s="5"/>
      <x:c r="D139" s="35" t="str">
        <x:f>IFERROR(VLOOKUP(C139,'정보화기기 명부'!A$2:B$138,2,FALSE),"")</x:f>
        <x:v/>
      </x:c>
      <x:c r="E139" s="5"/>
      <x:c r="F139" s="189" t="str">
        <x:f>IFERROR(VLOOKUP(C139,PC!A$1:K$435,7,FALSE)&amp;" "&amp;VLOOKUP(C139,PC!A$1:K$435,6,FALSE),"")</x:f>
        <x:v/>
      </x:c>
      <x:c r="G139" s="5"/>
      <x:c r="H139" s="1" t="str">
        <x:f t="shared" si="2"/>
        <x:v>10.51.90.208</x:v>
      </x:c>
      <x:c r="J139" s="27"/>
      <x:c r="K139" s="1"/>
    </x:row>
    <x:row r="140" spans="1:11">
      <x:c r="A140" s="30"/>
      <x:c r="B140" s="33">
        <x:v>209</x:v>
      </x:c>
      <x:c r="C140" s="5"/>
      <x:c r="D140" s="35" t="str">
        <x:f>IFERROR(VLOOKUP(C140,'정보화기기 명부'!A$2:B$138,2,FALSE),"")</x:f>
        <x:v/>
      </x:c>
      <x:c r="E140" s="5"/>
      <x:c r="F140" s="189" t="str">
        <x:f>IFERROR(VLOOKUP(C140,PC!A$1:K$435,7,FALSE)&amp;" "&amp;VLOOKUP(C140,PC!A$1:K$435,6,FALSE),"")</x:f>
        <x:v/>
      </x:c>
      <x:c r="G140" s="5"/>
      <x:c r="H140" s="1" t="str">
        <x:f t="shared" si="2"/>
        <x:v>10.51.90.209</x:v>
      </x:c>
      <x:c r="J140" s="27"/>
      <x:c r="K140" s="1"/>
    </x:row>
    <x:row r="141" spans="1:11">
      <x:c r="A141" s="30"/>
      <x:c r="B141" s="34">
        <x:v>210</x:v>
      </x:c>
      <x:c r="C141" s="7"/>
      <x:c r="D141" s="56" t="str">
        <x:f>IFERROR(VLOOKUP(C141,'정보화기기 명부'!A$2:B$138,2,FALSE),"")</x:f>
        <x:v/>
      </x:c>
      <x:c r="E141" s="7"/>
      <x:c r="F141" s="190" t="str">
        <x:f>IFERROR(VLOOKUP(C141,PC!A$1:K$435,7,FALSE)&amp;" "&amp;VLOOKUP(C141,PC!A$1:K$435,6,FALSE),"")</x:f>
        <x:v/>
      </x:c>
      <x:c r="G141" s="7"/>
      <x:c r="H141" s="1" t="str">
        <x:f t="shared" si="2"/>
        <x:v>10.51.90.210</x:v>
      </x:c>
      <x:c r="J141" s="1"/>
      <x:c r="K141" s="1"/>
    </x:row>
    <x:row r="142" spans="1:11">
      <x:c r="A142" s="30"/>
      <x:c r="B142" s="32">
        <x:v>211</x:v>
      </x:c>
      <x:c r="C142" s="4"/>
      <x:c r="D142" s="55" t="str">
        <x:f>IFERROR(VLOOKUP(C142,'정보화기기 명부'!A$2:B$138,2,FALSE),"")</x:f>
        <x:v/>
      </x:c>
      <x:c r="E142" s="4"/>
      <x:c r="F142" s="188" t="str">
        <x:f>IFERROR(VLOOKUP(C142,PC!A$1:K$435,7,FALSE)&amp;" "&amp;VLOOKUP(C142,PC!A$1:K$435,6,FALSE),"")</x:f>
        <x:v/>
      </x:c>
      <x:c r="G142" s="4"/>
      <x:c r="H142" s="1" t="str">
        <x:f t="shared" si="2"/>
        <x:v>10.51.90.211</x:v>
      </x:c>
      <x:c r="J142" s="27"/>
      <x:c r="K142" s="1"/>
    </x:row>
    <x:row r="143" spans="1:11">
      <x:c r="A143" s="30"/>
      <x:c r="B143" s="33">
        <x:v>212</x:v>
      </x:c>
      <x:c r="C143" s="5"/>
      <x:c r="D143" s="35" t="str">
        <x:f>IFERROR(VLOOKUP(C143,'정보화기기 명부'!A$2:B$138,2,FALSE),"")</x:f>
        <x:v/>
      </x:c>
      <x:c r="E143" s="5"/>
      <x:c r="F143" s="189" t="str">
        <x:f>IFERROR(VLOOKUP(C143,PC!A$1:K$435,7,FALSE)&amp;" "&amp;VLOOKUP(C143,PC!A$1:K$435,6,FALSE),"")</x:f>
        <x:v/>
      </x:c>
      <x:c r="G143" s="5"/>
      <x:c r="H143" s="1" t="str">
        <x:f t="shared" si="2"/>
        <x:v>10.51.90.212</x:v>
      </x:c>
      <x:c r="J143" s="27"/>
      <x:c r="K143" s="1"/>
    </x:row>
    <x:row r="144" spans="1:11">
      <x:c r="A144" s="30"/>
      <x:c r="B144" s="33">
        <x:v>213</x:v>
      </x:c>
      <x:c r="C144" s="5"/>
      <x:c r="D144" s="35" t="str">
        <x:f>IFERROR(VLOOKUP(C144,'정보화기기 명부'!A$2:B$138,2,FALSE),"")</x:f>
        <x:v/>
      </x:c>
      <x:c r="E144" s="5"/>
      <x:c r="F144" s="189" t="str">
        <x:f>IFERROR(VLOOKUP(C144,PC!A$1:K$435,7,FALSE)&amp;" "&amp;VLOOKUP(C144,PC!A$1:K$435,6,FALSE),"")</x:f>
        <x:v/>
      </x:c>
      <x:c r="G144" s="5"/>
      <x:c r="H144" s="1" t="str">
        <x:f t="shared" si="2"/>
        <x:v>10.51.90.213</x:v>
      </x:c>
      <x:c r="J144" s="27"/>
      <x:c r="K144" s="1"/>
    </x:row>
    <x:row r="145" spans="1:11">
      <x:c r="A145" s="30"/>
      <x:c r="B145" s="33">
        <x:v>214</x:v>
      </x:c>
      <x:c r="C145" s="5"/>
      <x:c r="D145" s="35" t="str">
        <x:f>IFERROR(VLOOKUP(C145,'정보화기기 명부'!A$2:B$138,2,FALSE),"")</x:f>
        <x:v/>
      </x:c>
      <x:c r="E145" s="5"/>
      <x:c r="F145" s="189" t="str">
        <x:f>IFERROR(VLOOKUP(C145,PC!A$1:K$435,7,FALSE)&amp;" "&amp;VLOOKUP(C145,PC!A$1:K$435,6,FALSE),"")</x:f>
        <x:v/>
      </x:c>
      <x:c r="G145" s="5"/>
      <x:c r="H145" s="1" t="str">
        <x:f t="shared" si="2"/>
        <x:v>10.51.90.214</x:v>
      </x:c>
      <x:c r="J145" s="27"/>
      <x:c r="K145" s="1"/>
    </x:row>
    <x:row r="146" spans="1:11">
      <x:c r="A146" s="30"/>
      <x:c r="B146" s="34">
        <x:v>215</x:v>
      </x:c>
      <x:c r="C146" s="7"/>
      <x:c r="D146" s="56" t="str">
        <x:f>IFERROR(VLOOKUP(C146,'정보화기기 명부'!A$2:B$138,2,FALSE),"")</x:f>
        <x:v/>
      </x:c>
      <x:c r="E146" s="7"/>
      <x:c r="F146" s="190" t="str">
        <x:f>IFERROR(VLOOKUP(C146,PC!A$1:K$435,7,FALSE)&amp;" "&amp;VLOOKUP(C146,PC!A$1:K$435,6,FALSE),"")</x:f>
        <x:v/>
      </x:c>
      <x:c r="G146" s="7"/>
      <x:c r="H146" s="1" t="str">
        <x:f t="shared" si="2"/>
        <x:v>10.51.90.215</x:v>
      </x:c>
      <x:c r="J146" s="1"/>
      <x:c r="K146" s="1"/>
    </x:row>
    <x:row r="147" spans="1:11">
      <x:c r="A147" s="30"/>
      <x:c r="B147" s="32">
        <x:v>216</x:v>
      </x:c>
      <x:c r="C147" s="4"/>
      <x:c r="D147" s="55" t="str">
        <x:f>IFERROR(VLOOKUP(C147,'정보화기기 명부'!A$2:B$138,2,FALSE),"")</x:f>
        <x:v/>
      </x:c>
      <x:c r="E147" s="4"/>
      <x:c r="F147" s="188" t="str">
        <x:f>IFERROR(VLOOKUP(C147,PC!A$1:K$435,7,FALSE)&amp;" "&amp;VLOOKUP(C147,PC!A$1:K$435,6,FALSE),"")</x:f>
        <x:v/>
      </x:c>
      <x:c r="G147" s="4"/>
      <x:c r="H147" s="1" t="str">
        <x:f t="shared" si="2"/>
        <x:v>10.51.90.216</x:v>
      </x:c>
      <x:c r="J147" s="27"/>
      <x:c r="K147" s="1"/>
    </x:row>
    <x:row r="148" spans="1:11">
      <x:c r="A148" s="30"/>
      <x:c r="B148" s="33">
        <x:v>217</x:v>
      </x:c>
      <x:c r="C148" s="5"/>
      <x:c r="D148" s="35" t="str">
        <x:f>IFERROR(VLOOKUP(C148,'정보화기기 명부'!A$2:B$138,2,FALSE),"")</x:f>
        <x:v/>
      </x:c>
      <x:c r="E148" s="5"/>
      <x:c r="F148" s="189" t="str">
        <x:f>IFERROR(VLOOKUP(C148,PC!A$1:K$435,7,FALSE)&amp;" "&amp;VLOOKUP(C148,PC!A$1:K$435,6,FALSE),"")</x:f>
        <x:v/>
      </x:c>
      <x:c r="G148" s="5"/>
      <x:c r="H148" s="1" t="str">
        <x:f t="shared" si="2"/>
        <x:v>10.51.90.217</x:v>
      </x:c>
      <x:c r="J148" s="27"/>
      <x:c r="K148" s="1"/>
    </x:row>
    <x:row r="149" spans="1:11">
      <x:c r="A149" s="30"/>
      <x:c r="B149" s="33">
        <x:v>218</x:v>
      </x:c>
      <x:c r="C149" s="5"/>
      <x:c r="D149" s="35" t="str">
        <x:f>IFERROR(VLOOKUP(C149,'정보화기기 명부'!A$2:B$138,2,FALSE),"")</x:f>
        <x:v/>
      </x:c>
      <x:c r="E149" s="5"/>
      <x:c r="F149" s="189" t="str">
        <x:f>IFERROR(VLOOKUP(C149,PC!A$1:K$435,7,FALSE)&amp;" "&amp;VLOOKUP(C149,PC!A$1:K$435,6,FALSE),"")</x:f>
        <x:v/>
      </x:c>
      <x:c r="G149" s="5"/>
      <x:c r="H149" s="1" t="str">
        <x:f t="shared" si="2"/>
        <x:v>10.51.90.218</x:v>
      </x:c>
      <x:c r="J149" s="27"/>
      <x:c r="K149" s="1"/>
    </x:row>
    <x:row r="150" spans="1:11">
      <x:c r="A150" s="30"/>
      <x:c r="B150" s="33">
        <x:v>219</x:v>
      </x:c>
      <x:c r="C150" s="5"/>
      <x:c r="D150" s="35" t="str">
        <x:f>IFERROR(VLOOKUP(C150,'정보화기기 명부'!A$2:B$138,2,FALSE),"")</x:f>
        <x:v/>
      </x:c>
      <x:c r="E150" s="5"/>
      <x:c r="F150" s="189" t="str">
        <x:f>IFERROR(VLOOKUP(C150,PC!A$1:K$435,7,FALSE)&amp;" "&amp;VLOOKUP(C150,PC!A$1:K$435,6,FALSE),"")</x:f>
        <x:v/>
      </x:c>
      <x:c r="G150" s="5"/>
      <x:c r="H150" s="1" t="str">
        <x:f t="shared" si="2"/>
        <x:v>10.51.90.219</x:v>
      </x:c>
      <x:c r="J150" s="27"/>
      <x:c r="K150" s="1"/>
    </x:row>
    <x:row r="151" spans="1:11">
      <x:c r="A151" s="30"/>
      <x:c r="B151" s="34">
        <x:v>220</x:v>
      </x:c>
      <x:c r="C151" s="7"/>
      <x:c r="D151" s="56" t="str">
        <x:f>IFERROR(VLOOKUP(C151,'정보화기기 명부'!A$2:B$138,2,FALSE),"")</x:f>
        <x:v/>
      </x:c>
      <x:c r="E151" s="7"/>
      <x:c r="F151" s="190" t="str">
        <x:f>IFERROR(VLOOKUP(C151,PC!A$1:K$435,7,FALSE)&amp;" "&amp;VLOOKUP(C151,PC!A$1:K$435,6,FALSE),"")</x:f>
        <x:v/>
      </x:c>
      <x:c r="G151" s="7"/>
      <x:c r="H151" s="1" t="str">
        <x:f t="shared" si="2"/>
        <x:v>10.51.90.220</x:v>
      </x:c>
      <x:c r="J151" s="1"/>
      <x:c r="K151" s="1"/>
    </x:row>
    <x:row r="152" spans="1:11">
      <x:c r="A152" s="30"/>
      <x:c r="B152" s="32">
        <x:v>221</x:v>
      </x:c>
      <x:c r="C152" s="4"/>
      <x:c r="D152" s="55" t="str">
        <x:f>IFERROR(VLOOKUP(C152,'정보화기기 명부'!A$2:B$138,2,FALSE),"")</x:f>
        <x:v/>
      </x:c>
      <x:c r="E152" s="4"/>
      <x:c r="F152" s="188" t="str">
        <x:f>IFERROR(VLOOKUP(C152,PC!A$1:K$435,7,FALSE)&amp;" "&amp;VLOOKUP(C152,PC!A$1:K$435,6,FALSE),"")</x:f>
        <x:v/>
      </x:c>
      <x:c r="G152" s="4"/>
      <x:c r="H152" s="1" t="str">
        <x:f t="shared" si="2"/>
        <x:v>10.51.90.221</x:v>
      </x:c>
      <x:c r="J152" s="27"/>
      <x:c r="K152" s="1"/>
    </x:row>
    <x:row r="153" spans="1:11">
      <x:c r="A153" s="30"/>
      <x:c r="B153" s="33">
        <x:v>222</x:v>
      </x:c>
      <x:c r="C153" s="5"/>
      <x:c r="D153" s="35" t="str">
        <x:f>IFERROR(VLOOKUP(C153,'정보화기기 명부'!A$2:B$138,2,FALSE),"")</x:f>
        <x:v/>
      </x:c>
      <x:c r="E153" s="5"/>
      <x:c r="F153" s="189" t="str">
        <x:f>IFERROR(VLOOKUP(C153,PC!A$1:K$435,7,FALSE)&amp;" "&amp;VLOOKUP(C153,PC!A$1:K$435,6,FALSE),"")</x:f>
        <x:v/>
      </x:c>
      <x:c r="G153" s="5"/>
      <x:c r="H153" s="1" t="str">
        <x:f t="shared" si="2"/>
        <x:v>10.51.90.222</x:v>
      </x:c>
      <x:c r="J153" s="27"/>
      <x:c r="K153" s="1"/>
    </x:row>
    <x:row r="154" spans="1:11">
      <x:c r="A154" s="30"/>
      <x:c r="B154" s="33">
        <x:v>223</x:v>
      </x:c>
      <x:c r="C154" s="5"/>
      <x:c r="D154" s="35" t="str">
        <x:f>IFERROR(VLOOKUP(C154,'정보화기기 명부'!A$2:B$138,2,FALSE),"")</x:f>
        <x:v/>
      </x:c>
      <x:c r="E154" s="5"/>
      <x:c r="F154" s="189" t="str">
        <x:f>IFERROR(VLOOKUP(C154,PC!A$1:K$435,7,FALSE)&amp;" "&amp;VLOOKUP(C154,PC!A$1:K$435,6,FALSE),"")</x:f>
        <x:v/>
      </x:c>
      <x:c r="G154" s="5"/>
      <x:c r="H154" s="1" t="str">
        <x:f t="shared" si="2"/>
        <x:v>10.51.90.223</x:v>
      </x:c>
      <x:c r="J154" s="27"/>
      <x:c r="K154" s="1"/>
    </x:row>
    <x:row r="155" spans="1:11">
      <x:c r="A155" s="30"/>
      <x:c r="B155" s="33">
        <x:v>224</x:v>
      </x:c>
      <x:c r="C155" s="5"/>
      <x:c r="D155" s="35" t="str">
        <x:f>IFERROR(VLOOKUP(C155,'정보화기기 명부'!A$2:B$138,2,FALSE),"")</x:f>
        <x:v/>
      </x:c>
      <x:c r="E155" s="5"/>
      <x:c r="F155" s="189" t="str">
        <x:f>IFERROR(VLOOKUP(C155,PC!A$1:K$435,7,FALSE)&amp;" "&amp;VLOOKUP(C155,PC!A$1:K$435,6,FALSE),"")</x:f>
        <x:v/>
      </x:c>
      <x:c r="G155" s="5"/>
      <x:c r="H155" s="1" t="str">
        <x:f t="shared" si="2"/>
        <x:v>10.51.90.224</x:v>
      </x:c>
      <x:c r="J155" s="27"/>
      <x:c r="K155" s="1"/>
    </x:row>
    <x:row r="156" spans="1:11">
      <x:c r="A156" s="30"/>
      <x:c r="B156" s="34">
        <x:v>225</x:v>
      </x:c>
      <x:c r="C156" s="7"/>
      <x:c r="D156" s="56" t="str">
        <x:f>IFERROR(VLOOKUP(C156,'정보화기기 명부'!A$2:B$138,2,FALSE),"")</x:f>
        <x:v/>
      </x:c>
      <x:c r="E156" s="7"/>
      <x:c r="F156" s="190" t="str">
        <x:f>IFERROR(VLOOKUP(C156,PC!A$1:K$435,7,FALSE)&amp;" "&amp;VLOOKUP(C156,PC!A$1:K$435,6,FALSE),"")</x:f>
        <x:v/>
      </x:c>
      <x:c r="G156" s="7"/>
      <x:c r="H156" s="1" t="str">
        <x:f t="shared" si="2"/>
        <x:v>10.51.90.225</x:v>
      </x:c>
      <x:c r="J156" s="1"/>
      <x:c r="K156" s="1"/>
    </x:row>
    <x:row r="157" spans="1:11">
      <x:c r="A157" s="30"/>
      <x:c r="B157" s="32">
        <x:v>226</x:v>
      </x:c>
      <x:c r="C157" s="4"/>
      <x:c r="D157" s="55" t="str">
        <x:f>IFERROR(VLOOKUP(C157,'정보화기기 명부'!A$2:B$138,2,FALSE),"")</x:f>
        <x:v/>
      </x:c>
      <x:c r="E157" s="4"/>
      <x:c r="F157" s="188" t="str">
        <x:f>IFERROR(VLOOKUP(C157,PC!A$1:K$435,7,FALSE)&amp;" "&amp;VLOOKUP(C157,PC!A$1:K$435,6,FALSE),"")</x:f>
        <x:v/>
      </x:c>
      <x:c r="G157" s="4"/>
      <x:c r="H157" s="1" t="str">
        <x:f t="shared" si="2"/>
        <x:v>10.51.90.226</x:v>
      </x:c>
      <x:c r="J157" s="27"/>
      <x:c r="K157" s="1"/>
    </x:row>
    <x:row r="158" spans="1:11">
      <x:c r="A158" s="30"/>
      <x:c r="B158" s="33">
        <x:v>227</x:v>
      </x:c>
      <x:c r="C158" s="5"/>
      <x:c r="D158" s="35" t="str">
        <x:f>IFERROR(VLOOKUP(C158,'정보화기기 명부'!A$2:B$138,2,FALSE),"")</x:f>
        <x:v/>
      </x:c>
      <x:c r="E158" s="5"/>
      <x:c r="F158" s="189" t="str">
        <x:f>IFERROR(VLOOKUP(C158,PC!A$1:K$435,7,FALSE)&amp;" "&amp;VLOOKUP(C158,PC!A$1:K$435,6,FALSE),"")</x:f>
        <x:v/>
      </x:c>
      <x:c r="G158" s="5"/>
      <x:c r="H158" s="1" t="str">
        <x:f t="shared" si="2"/>
        <x:v>10.51.90.227</x:v>
      </x:c>
      <x:c r="J158" s="27"/>
      <x:c r="K158" s="1"/>
    </x:row>
    <x:row r="159" spans="1:11">
      <x:c r="A159" s="30"/>
      <x:c r="B159" s="33">
        <x:v>228</x:v>
      </x:c>
      <x:c r="C159" s="5"/>
      <x:c r="D159" s="35" t="str">
        <x:f>IFERROR(VLOOKUP(C159,'정보화기기 명부'!A$2:B$138,2,FALSE),"")</x:f>
        <x:v/>
      </x:c>
      <x:c r="E159" s="5"/>
      <x:c r="F159" s="189" t="str">
        <x:f>IFERROR(VLOOKUP(C159,PC!A$1:K$435,7,FALSE)&amp;" "&amp;VLOOKUP(C159,PC!A$1:K$435,6,FALSE),"")</x:f>
        <x:v/>
      </x:c>
      <x:c r="G159" s="5"/>
      <x:c r="H159" s="1" t="str">
        <x:f t="shared" si="2"/>
        <x:v>10.51.90.228</x:v>
      </x:c>
      <x:c r="J159" s="27"/>
      <x:c r="K159" s="1"/>
    </x:row>
    <x:row r="160" spans="1:11">
      <x:c r="A160" s="30"/>
      <x:c r="B160" s="33">
        <x:v>229</x:v>
      </x:c>
      <x:c r="C160" s="5"/>
      <x:c r="D160" s="35" t="str">
        <x:f>IFERROR(VLOOKUP(C160,'정보화기기 명부'!A$2:B$138,2,FALSE),"")</x:f>
        <x:v/>
      </x:c>
      <x:c r="E160" s="5"/>
      <x:c r="F160" s="189" t="str">
        <x:f>IFERROR(VLOOKUP(C160,PC!A$1:K$435,7,FALSE)&amp;" "&amp;VLOOKUP(C160,PC!A$1:K$435,6,FALSE),"")</x:f>
        <x:v/>
      </x:c>
      <x:c r="G160" s="5"/>
      <x:c r="H160" s="1" t="str">
        <x:f t="shared" si="2"/>
        <x:v>10.51.90.229</x:v>
      </x:c>
      <x:c r="J160" s="27"/>
      <x:c r="K160" s="1"/>
    </x:row>
    <x:row r="161" spans="1:11">
      <x:c r="A161" s="30"/>
      <x:c r="B161" s="34">
        <x:v>230</x:v>
      </x:c>
      <x:c r="C161" s="7"/>
      <x:c r="D161" s="56" t="str">
        <x:f>IFERROR(VLOOKUP(C161,'정보화기기 명부'!A$2:B$138,2,FALSE),"")</x:f>
        <x:v/>
      </x:c>
      <x:c r="E161" s="7"/>
      <x:c r="F161" s="190" t="str">
        <x:f>IFERROR(VLOOKUP(C161,PC!A$1:K$435,7,FALSE)&amp;" "&amp;VLOOKUP(C161,PC!A$1:K$435,6,FALSE),"")</x:f>
        <x:v/>
      </x:c>
      <x:c r="G161" s="7"/>
      <x:c r="H161" s="1" t="str">
        <x:f t="shared" si="2"/>
        <x:v>10.51.90.230</x:v>
      </x:c>
      <x:c r="J161" s="1"/>
      <x:c r="K161" s="1"/>
    </x:row>
    <x:row r="162" spans="1:11">
      <x:c r="A162" s="30"/>
      <x:c r="B162" s="32">
        <x:v>231</x:v>
      </x:c>
      <x:c r="C162" s="261" t="s">
        <x:v>1511</x:v>
      </x:c>
      <x:c r="D162" s="55" t="s">
        <x:v>1348</x:v>
      </x:c>
      <x:c r="E162" s="4"/>
      <x:c r="F162" s="188" t="str">
        <x:f>IFERROR(VLOOKUP(C162,PC!A$1:K$435,7,FALSE)&amp;" "&amp;VLOOKUP(C162,PC!A$1:K$435,6,FALSE),"")</x:f>
        <x:v/>
      </x:c>
      <x:c r="G162" s="4"/>
      <x:c r="H162" s="1" t="str">
        <x:f t="shared" si="2"/>
        <x:v>10.51.90.231</x:v>
      </x:c>
      <x:c r="J162" s="27"/>
      <x:c r="K162" s="1"/>
    </x:row>
    <x:row r="163" spans="1:11">
      <x:c r="A163" s="30"/>
      <x:c r="B163" s="33">
        <x:v>232</x:v>
      </x:c>
      <x:c r="C163" s="262" t="s">
        <x:v>1507</x:v>
      </x:c>
      <x:c r="D163" s="35" t="s">
        <x:v>1348</x:v>
      </x:c>
      <x:c r="E163" s="5"/>
      <x:c r="F163" s="189" t="str">
        <x:f>IFERROR(VLOOKUP(C163,PC!A$1:K$435,7,FALSE)&amp;" "&amp;VLOOKUP(C163,PC!A$1:K$435,6,FALSE),"")</x:f>
        <x:v/>
      </x:c>
      <x:c r="G163" s="5"/>
      <x:c r="H163" s="1" t="str">
        <x:f t="shared" si="2"/>
        <x:v>10.51.90.232</x:v>
      </x:c>
      <x:c r="J163" s="27"/>
      <x:c r="K163" s="1"/>
    </x:row>
    <x:row r="164" spans="1:11">
      <x:c r="A164" s="30"/>
      <x:c r="B164" s="33">
        <x:v>233</x:v>
      </x:c>
      <x:c r="C164" s="5"/>
      <x:c r="D164" s="35" t="str">
        <x:f>IFERROR(VLOOKUP(C164,'정보화기기 명부'!A$2:B$138,2,FALSE),"")</x:f>
        <x:v/>
      </x:c>
      <x:c r="E164" s="5"/>
      <x:c r="F164" s="189" t="str">
        <x:f>IFERROR(VLOOKUP(C164,PC!A$1:K$435,7,FALSE)&amp;" "&amp;VLOOKUP(C164,PC!A$1:K$435,6,FALSE),"")</x:f>
        <x:v/>
      </x:c>
      <x:c r="G164" s="5"/>
      <x:c r="H164" s="1" t="str">
        <x:f t="shared" si="2"/>
        <x:v>10.51.90.233</x:v>
      </x:c>
      <x:c r="J164" s="27"/>
      <x:c r="K164" s="1"/>
    </x:row>
    <x:row r="165" spans="1:11">
      <x:c r="A165" s="30"/>
      <x:c r="B165" s="33">
        <x:v>234</x:v>
      </x:c>
      <x:c r="C165" s="5"/>
      <x:c r="D165" s="35" t="str">
        <x:f>IFERROR(VLOOKUP(C165,'정보화기기 명부'!A$2:B$138,2,FALSE),"")</x:f>
        <x:v/>
      </x:c>
      <x:c r="E165" s="5"/>
      <x:c r="F165" s="189" t="str">
        <x:f>IFERROR(VLOOKUP(C165,PC!A$1:K$435,7,FALSE)&amp;" "&amp;VLOOKUP(C165,PC!A$1:K$435,6,FALSE),"")</x:f>
        <x:v/>
      </x:c>
      <x:c r="G165" s="5"/>
      <x:c r="H165" s="1" t="str">
        <x:f t="shared" si="2"/>
        <x:v>10.51.90.234</x:v>
      </x:c>
      <x:c r="J165" s="27"/>
      <x:c r="K165" s="1"/>
    </x:row>
    <x:row r="166" spans="1:11">
      <x:c r="A166" s="30"/>
      <x:c r="B166" s="34">
        <x:v>235</x:v>
      </x:c>
      <x:c r="C166" s="7"/>
      <x:c r="D166" s="56" t="str">
        <x:f>IFERROR(VLOOKUP(C166,'정보화기기 명부'!A$2:B$138,2,FALSE),"")</x:f>
        <x:v/>
      </x:c>
      <x:c r="E166" s="7"/>
      <x:c r="F166" s="190" t="str">
        <x:f>IFERROR(VLOOKUP(C166,PC!A$1:K$435,7,FALSE)&amp;" "&amp;VLOOKUP(C166,PC!A$1:K$435,6,FALSE),"")</x:f>
        <x:v/>
      </x:c>
      <x:c r="G166" s="7"/>
      <x:c r="H166" s="1" t="str">
        <x:f t="shared" si="2"/>
        <x:v>10.51.90.235</x:v>
      </x:c>
      <x:c r="J166" s="1"/>
      <x:c r="K166" s="1"/>
    </x:row>
    <x:row r="167" spans="1:11">
      <x:c r="A167" s="30"/>
      <x:c r="B167" s="32">
        <x:v>236</x:v>
      </x:c>
      <x:c r="C167" s="4"/>
      <x:c r="D167" s="55" t="str">
        <x:f>IFERROR(VLOOKUP(C167,'정보화기기 명부'!A$2:B$138,2,FALSE),"")</x:f>
        <x:v/>
      </x:c>
      <x:c r="E167" s="4"/>
      <x:c r="F167" s="188" t="str">
        <x:f>IFERROR(VLOOKUP(C167,PC!A$1:K$435,7,FALSE)&amp;" "&amp;VLOOKUP(C167,PC!A$1:K$435,6,FALSE),"")</x:f>
        <x:v/>
      </x:c>
      <x:c r="G167" s="4"/>
      <x:c r="H167" s="1" t="str">
        <x:f t="shared" si="2"/>
        <x:v>10.51.90.236</x:v>
      </x:c>
      <x:c r="J167" s="27"/>
      <x:c r="K167" s="1"/>
    </x:row>
    <x:row r="168" spans="1:11">
      <x:c r="A168" s="30"/>
      <x:c r="B168" s="33">
        <x:v>237</x:v>
      </x:c>
      <x:c r="C168" s="5"/>
      <x:c r="D168" s="35" t="str">
        <x:f>IFERROR(VLOOKUP(C168,'정보화기기 명부'!A$2:B$138,2,FALSE),"")</x:f>
        <x:v/>
      </x:c>
      <x:c r="E168" s="5"/>
      <x:c r="F168" s="189" t="str">
        <x:f>IFERROR(VLOOKUP(C168,PC!A$1:K$435,7,FALSE)&amp;" "&amp;VLOOKUP(C168,PC!A$1:K$435,6,FALSE),"")</x:f>
        <x:v/>
      </x:c>
      <x:c r="G168" s="5"/>
      <x:c r="H168" s="1" t="str">
        <x:f t="shared" si="2"/>
        <x:v>10.51.90.237</x:v>
      </x:c>
      <x:c r="J168" s="27"/>
      <x:c r="K168" s="1"/>
    </x:row>
    <x:row r="169" spans="1:11">
      <x:c r="A169" s="30"/>
      <x:c r="B169" s="33">
        <x:v>238</x:v>
      </x:c>
      <x:c r="C169" s="5"/>
      <x:c r="D169" s="35" t="str">
        <x:f>IFERROR(VLOOKUP(C169,'정보화기기 명부'!A$2:B$138,2,FALSE),"")</x:f>
        <x:v/>
      </x:c>
      <x:c r="E169" s="5"/>
      <x:c r="F169" s="189" t="str">
        <x:f>IFERROR(VLOOKUP(C169,PC!A$1:K$435,7,FALSE)&amp;" "&amp;VLOOKUP(C169,PC!A$1:K$435,6,FALSE),"")</x:f>
        <x:v/>
      </x:c>
      <x:c r="G169" s="5"/>
      <x:c r="H169" s="1" t="str">
        <x:f t="shared" si="2"/>
        <x:v>10.51.90.238</x:v>
      </x:c>
      <x:c r="J169" s="27"/>
      <x:c r="K169" s="1"/>
    </x:row>
    <x:row r="170" spans="1:11">
      <x:c r="A170" s="30"/>
      <x:c r="B170" s="33">
        <x:v>239</x:v>
      </x:c>
      <x:c r="C170" s="5"/>
      <x:c r="D170" s="35" t="str">
        <x:f>IFERROR(VLOOKUP(C170,'정보화기기 명부'!A$2:B$138,2,FALSE),"")</x:f>
        <x:v/>
      </x:c>
      <x:c r="E170" s="5"/>
      <x:c r="F170" s="189" t="str">
        <x:f>IFERROR(VLOOKUP(C170,PC!A$1:K$435,7,FALSE)&amp;" "&amp;VLOOKUP(C170,PC!A$1:K$435,6,FALSE),"")</x:f>
        <x:v/>
      </x:c>
      <x:c r="G170" s="5"/>
      <x:c r="H170" s="1" t="str">
        <x:f t="shared" si="2"/>
        <x:v>10.51.90.239</x:v>
      </x:c>
      <x:c r="J170" s="27"/>
      <x:c r="K170" s="1"/>
    </x:row>
    <x:row r="171" spans="1:11">
      <x:c r="A171" s="30"/>
      <x:c r="B171" s="34">
        <x:v>240</x:v>
      </x:c>
      <x:c r="C171" s="7"/>
      <x:c r="D171" s="56" t="str">
        <x:f>IFERROR(VLOOKUP(C171,'정보화기기 명부'!A$2:B$138,2,FALSE),"")</x:f>
        <x:v/>
      </x:c>
      <x:c r="E171" s="7"/>
      <x:c r="F171" s="190" t="str">
        <x:f>IFERROR(VLOOKUP(C171,PC!A$1:K$435,7,FALSE)&amp;" "&amp;VLOOKUP(C171,PC!A$1:K$435,6,FALSE),"")</x:f>
        <x:v/>
      </x:c>
      <x:c r="G171" s="7"/>
      <x:c r="H171" s="1" t="str">
        <x:f t="shared" si="2"/>
        <x:v>10.51.90.240</x:v>
      </x:c>
      <x:c r="J171" s="1"/>
      <x:c r="K171" s="1"/>
    </x:row>
    <x:row r="172" spans="1:11">
      <x:c r="A172" s="30"/>
      <x:c r="B172" s="32">
        <x:v>241</x:v>
      </x:c>
      <x:c r="C172" s="4"/>
      <x:c r="D172" s="55" t="str">
        <x:f>IFERROR(VLOOKUP(C172,'정보화기기 명부'!A$2:B$138,2,FALSE),"")</x:f>
        <x:v/>
      </x:c>
      <x:c r="E172" s="4"/>
      <x:c r="F172" s="188" t="str">
        <x:f>IFERROR(VLOOKUP(C172,PC!A$1:K$435,7,FALSE)&amp;" "&amp;VLOOKUP(C172,PC!A$1:K$435,6,FALSE),"")</x:f>
        <x:v/>
      </x:c>
      <x:c r="G172" s="4"/>
      <x:c r="H172" s="1" t="str">
        <x:f t="shared" si="2"/>
        <x:v>10.51.90.241</x:v>
      </x:c>
      <x:c r="J172" s="27"/>
      <x:c r="K172" s="1"/>
    </x:row>
    <x:row r="173" spans="1:11">
      <x:c r="A173" s="31"/>
      <x:c r="B173" s="33">
        <x:v>242</x:v>
      </x:c>
      <x:c r="C173" s="7"/>
      <x:c r="D173" s="56" t="str">
        <x:f>IFERROR(VLOOKUP(C173,'정보화기기 명부'!A$2:B$138,2,FALSE),"")</x:f>
        <x:v/>
      </x:c>
      <x:c r="E173" s="7"/>
      <x:c r="F173" s="190" t="str">
        <x:f>IFERROR(VLOOKUP(C173,PC!A$1:K$435,7,FALSE)&amp;" "&amp;VLOOKUP(C173,PC!A$1:K$435,6,FALSE),"")</x:f>
        <x:v/>
      </x:c>
      <x:c r="G173" s="7"/>
      <x:c r="H173" s="1" t="str">
        <x:f t="shared" si="2"/>
        <x:v>10.51.90.242</x:v>
      </x:c>
      <x:c r="J173" s="27"/>
      <x:c r="K173" s="1"/>
    </x:row>
    <x:row r="174" spans="1:11">
      <x:c r="A174" s="86" t="s">
        <x:v>648</x:v>
      </x:c>
      <x:c r="B174" s="32">
        <x:v>1</x:v>
      </x:c>
      <x:c r="C174" s="4" t="s">
        <x:v>1438</x:v>
      </x:c>
      <x:c r="D174" s="55" t="str">
        <x:f>IFERROR(VLOOKUP(C174,'정보화기기 명부'!A$2:B$138,2,FALSE),"")</x:f>
        <x:v/>
      </x:c>
      <x:c r="E174" s="4" t="str">
        <x:f>IFERROR(VLOOKUP(C174,PC!A$1:K$435,2,FALSE),"")</x:f>
        <x:v/>
      </x:c>
      <x:c r="F174" s="188" t="str">
        <x:f>IFERROR(VLOOKUP(C174,PC!A$1:K$435,7,FALSE)&amp;" "&amp;VLOOKUP(C174,PC!A$1:K$435,6,FALSE),"")</x:f>
        <x:v/>
      </x:c>
      <x:c r="G174" s="4" t="str">
        <x:f>IFERROR(VLOOKUP(C174,PC!$A$1:$K$435,3,FALSE),"")</x:f>
        <x:v/>
      </x:c>
      <x:c r="H174" s="1" t="str">
        <x:f>$A$174&amp;B174</x:f>
        <x:v>10.51.91.1</x:v>
      </x:c>
      <x:c r="J174" s="27"/>
      <x:c r="K174" s="1"/>
    </x:row>
    <x:row r="175" spans="1:11">
      <x:c r="A175" s="100"/>
      <x:c r="B175" s="108">
        <x:v>2</x:v>
      </x:c>
      <x:c r="C175" s="110" t="s">
        <x:v>1438</x:v>
      </x:c>
      <x:c r="D175" s="109" t="str">
        <x:f>IFERROR(VLOOKUP(C175,'정보화기기 명부'!A$2:B$138,2,FALSE),"")</x:f>
        <x:v/>
      </x:c>
      <x:c r="E175" s="110" t="str">
        <x:f>IFERROR(VLOOKUP(C175,PC!A$1:K$435,2,FALSE),"")</x:f>
        <x:v/>
      </x:c>
      <x:c r="F175" s="191" t="str">
        <x:f>IFERROR(VLOOKUP(C175,PC!A$1:K$435,7,FALSE)&amp;" "&amp;VLOOKUP(C175,PC!A$1:K$435,6,FALSE),"")</x:f>
        <x:v/>
      </x:c>
      <x:c r="G175" s="110" t="str">
        <x:f>IFERROR(VLOOKUP(C175,PC!$A$1:$K$435,3,FALSE),"")</x:f>
        <x:v/>
      </x:c>
      <x:c r="H175" s="1" t="str">
        <x:f t="shared" ref="H175:H238" si="3">$A$174&amp;B175</x:f>
        <x:v>10.51.91.2</x:v>
      </x:c>
      <x:c r="J175" s="27"/>
      <x:c r="K175" s="1"/>
    </x:row>
    <x:row r="176" spans="1:11">
      <x:c r="A176" s="100"/>
      <x:c r="B176" s="108">
        <x:v>3</x:v>
      </x:c>
      <x:c r="C176" s="110" t="s">
        <x:v>1438</x:v>
      </x:c>
      <x:c r="D176" s="109" t="str">
        <x:f>IFERROR(VLOOKUP(C176,'정보화기기 명부'!A$2:B$138,2,FALSE),"")</x:f>
        <x:v/>
      </x:c>
      <x:c r="E176" s="110" t="str">
        <x:f>IFERROR(VLOOKUP(C176,PC!A$1:K$435,2,FALSE),"")</x:f>
        <x:v/>
      </x:c>
      <x:c r="F176" s="191" t="str">
        <x:f>IFERROR(VLOOKUP(C176,PC!A$1:K$435,7,FALSE)&amp;" "&amp;VLOOKUP(C176,PC!A$1:K$435,6,FALSE),"")</x:f>
        <x:v/>
      </x:c>
      <x:c r="G176" s="110" t="str">
        <x:f>IFERROR(VLOOKUP(C176,PC!$A$1:$K$435,3,FALSE),"")</x:f>
        <x:v/>
      </x:c>
      <x:c r="H176" s="1" t="str">
        <x:f t="shared" si="3"/>
        <x:v>10.51.91.3</x:v>
      </x:c>
      <x:c r="J176" s="27"/>
      <x:c r="K176" s="1"/>
    </x:row>
    <x:row r="177" spans="1:11">
      <x:c r="A177" s="100"/>
      <x:c r="B177" s="108">
        <x:v>4</x:v>
      </x:c>
      <x:c r="C177" s="110" t="s">
        <x:v>1438</x:v>
      </x:c>
      <x:c r="D177" s="109" t="str">
        <x:f>IFERROR(VLOOKUP(C177,'정보화기기 명부'!A$2:B$138,2,FALSE),"")</x:f>
        <x:v/>
      </x:c>
      <x:c r="E177" s="110" t="str">
        <x:f>IFERROR(VLOOKUP(C177,PC!A$1:K$435,2,FALSE),"")</x:f>
        <x:v/>
      </x:c>
      <x:c r="F177" s="191" t="str">
        <x:f>IFERROR(VLOOKUP(C177,PC!A$1:K$435,7,FALSE)&amp;" "&amp;VLOOKUP(C177,PC!A$1:K$435,6,FALSE),"")</x:f>
        <x:v/>
      </x:c>
      <x:c r="G177" s="110" t="str">
        <x:f>IFERROR(VLOOKUP(C177,PC!$A$1:$K$435,3,FALSE),"")</x:f>
        <x:v/>
      </x:c>
      <x:c r="H177" s="1" t="str">
        <x:f t="shared" si="3"/>
        <x:v>10.51.91.4</x:v>
      </x:c>
      <x:c r="J177" s="27"/>
      <x:c r="K177" s="1"/>
    </x:row>
    <x:row r="178" spans="1:11">
      <x:c r="A178" s="100"/>
      <x:c r="B178" s="108">
        <x:v>5</x:v>
      </x:c>
      <x:c r="C178" s="110" t="s">
        <x:v>1438</x:v>
      </x:c>
      <x:c r="D178" s="109" t="str">
        <x:f>IFERROR(VLOOKUP(C178,'정보화기기 명부'!A$2:B$138,2,FALSE),"")</x:f>
        <x:v/>
      </x:c>
      <x:c r="E178" s="110" t="str">
        <x:f>IFERROR(VLOOKUP(C178,PC!A$1:K$435,2,FALSE),"")</x:f>
        <x:v/>
      </x:c>
      <x:c r="F178" s="191" t="str">
        <x:f>IFERROR(VLOOKUP(C178,PC!A$1:K$435,7,FALSE)&amp;" "&amp;VLOOKUP(C178,PC!A$1:K$435,6,FALSE),"")</x:f>
        <x:v/>
      </x:c>
      <x:c r="G178" s="110" t="str">
        <x:f>IFERROR(VLOOKUP(C178,PC!$A$1:$K$435,3,FALSE),"")</x:f>
        <x:v/>
      </x:c>
      <x:c r="H178" s="1" t="str">
        <x:f t="shared" si="3"/>
        <x:v>10.51.91.5</x:v>
      </x:c>
      <x:c r="J178" s="27"/>
      <x:c r="K178" s="1"/>
    </x:row>
    <x:row r="179" spans="1:11">
      <x:c r="A179" s="100"/>
      <x:c r="B179" s="108">
        <x:v>6</x:v>
      </x:c>
      <x:c r="C179" s="110" t="s">
        <x:v>1438</x:v>
      </x:c>
      <x:c r="D179" s="109" t="str">
        <x:f>IFERROR(VLOOKUP(C179,'정보화기기 명부'!A$2:B$138,2,FALSE),"")</x:f>
        <x:v/>
      </x:c>
      <x:c r="E179" s="110" t="str">
        <x:f>IFERROR(VLOOKUP(C179,PC!A$1:K$435,2,FALSE),"")</x:f>
        <x:v/>
      </x:c>
      <x:c r="F179" s="191" t="str">
        <x:f>IFERROR(VLOOKUP(C179,PC!A$1:K$435,7,FALSE)&amp;" "&amp;VLOOKUP(C179,PC!A$1:K$435,6,FALSE),"")</x:f>
        <x:v/>
      </x:c>
      <x:c r="G179" s="110" t="str">
        <x:f>IFERROR(VLOOKUP(C179,PC!$A$1:$K$435,3,FALSE),"")</x:f>
        <x:v/>
      </x:c>
      <x:c r="H179" s="1" t="str">
        <x:f t="shared" si="3"/>
        <x:v>10.51.91.6</x:v>
      </x:c>
      <x:c r="J179" s="27"/>
      <x:c r="K179" s="1"/>
    </x:row>
    <x:row r="180" spans="1:11">
      <x:c r="A180" s="100"/>
      <x:c r="B180" s="108">
        <x:v>7</x:v>
      </x:c>
      <x:c r="C180" s="110" t="s">
        <x:v>1438</x:v>
      </x:c>
      <x:c r="D180" s="109" t="str">
        <x:f>IFERROR(VLOOKUP(C180,'정보화기기 명부'!A$2:B$138,2,FALSE),"")</x:f>
        <x:v/>
      </x:c>
      <x:c r="E180" s="110" t="str">
        <x:f>IFERROR(VLOOKUP(C180,PC!A$1:K$435,2,FALSE),"")</x:f>
        <x:v/>
      </x:c>
      <x:c r="F180" s="191" t="str">
        <x:f>IFERROR(VLOOKUP(C180,PC!A$1:K$435,7,FALSE)&amp;" "&amp;VLOOKUP(C180,PC!A$1:K$435,6,FALSE),"")</x:f>
        <x:v/>
      </x:c>
      <x:c r="G180" s="110" t="str">
        <x:f>IFERROR(VLOOKUP(C180,PC!$A$1:$K$435,3,FALSE),"")</x:f>
        <x:v/>
      </x:c>
      <x:c r="H180" s="1" t="str">
        <x:f t="shared" si="3"/>
        <x:v>10.51.91.7</x:v>
      </x:c>
      <x:c r="J180" s="27"/>
      <x:c r="K180" s="1"/>
    </x:row>
    <x:row r="181" spans="1:11">
      <x:c r="A181" s="100"/>
      <x:c r="B181" s="108">
        <x:v>8</x:v>
      </x:c>
      <x:c r="C181" s="110" t="s">
        <x:v>1438</x:v>
      </x:c>
      <x:c r="D181" s="109" t="str">
        <x:f>IFERROR(VLOOKUP(C181,'정보화기기 명부'!A$2:B$138,2,FALSE),"")</x:f>
        <x:v/>
      </x:c>
      <x:c r="E181" s="110" t="str">
        <x:f>IFERROR(VLOOKUP(C181,PC!A$1:K$435,2,FALSE),"")</x:f>
        <x:v/>
      </x:c>
      <x:c r="F181" s="191" t="str">
        <x:f>IFERROR(VLOOKUP(C181,PC!A$1:K$435,7,FALSE)&amp;" "&amp;VLOOKUP(C181,PC!A$1:K$435,6,FALSE),"")</x:f>
        <x:v/>
      </x:c>
      <x:c r="G181" s="110" t="str">
        <x:f>IFERROR(VLOOKUP(C181,PC!$A$1:$K$435,3,FALSE),"")</x:f>
        <x:v/>
      </x:c>
      <x:c r="H181" s="1" t="str">
        <x:f t="shared" si="3"/>
        <x:v>10.51.91.8</x:v>
      </x:c>
      <x:c r="J181" s="27"/>
      <x:c r="K181" s="1"/>
    </x:row>
    <x:row r="182" spans="1:11">
      <x:c r="A182" s="100"/>
      <x:c r="B182" s="108">
        <x:v>9</x:v>
      </x:c>
      <x:c r="C182" s="110" t="s">
        <x:v>1484</x:v>
      </x:c>
      <x:c r="D182" s="109" t="str">
        <x:f>IFERROR(VLOOKUP(C182,'정보화기기 명부'!A$2:B$138,2,FALSE),"")</x:f>
        <x:v>야구부합숙소</x:v>
      </x:c>
      <x:c r="E182" s="110" t="str">
        <x:f>IFERROR(VLOOKUP(C182,PC!A$1:K$435,2,FALSE),"")</x:f>
        <x:v>20191224-0812</x:v>
      </x:c>
      <x:c r="F182" s="191" t="str">
        <x:f>IFERROR(VLOOKUP(C182,PC!A$1:K$435,7,FALSE)&amp;" "&amp;VLOOKUP(C182,PC!A$1:K$435,6,FALSE),"")</x:f>
        <x:v>엘지 CN/15UG470-MP5SKN</x:v>
      </x:c>
      <x:c r="G182" s="110" t="str">
        <x:f>IFERROR(VLOOKUP(C182,PC!$A$1:$K$435,3,FALSE),"")</x:f>
        <x:v>노트북</x:v>
      </x:c>
      <x:c r="H182" s="1" t="str">
        <x:f t="shared" si="3"/>
        <x:v>10.51.91.9</x:v>
      </x:c>
      <x:c r="J182" s="27"/>
      <x:c r="K182" s="1"/>
    </x:row>
    <x:row r="183" spans="1:11">
      <x:c r="A183" s="100"/>
      <x:c r="B183" s="108">
        <x:v>10</x:v>
      </x:c>
      <x:c r="C183" s="110" t="s">
        <x:v>1573</x:v>
      </x:c>
      <x:c r="D183" s="109" t="str">
        <x:f>IFERROR(VLOOKUP(C183,'정보화기기 명부'!A$2:B$138,2,FALSE),"")</x:f>
        <x:v>야구부합숙소</x:v>
      </x:c>
      <x:c r="E183" s="110" t="str">
        <x:f>IFERROR(VLOOKUP(C183,PC!A$1:K$435,2,FALSE),"")</x:f>
        <x:v>20191224-0814</x:v>
      </x:c>
      <x:c r="F183" s="191" t="str">
        <x:f>IFERROR(VLOOKUP(C183,PC!A$1:K$435,7,FALSE)&amp;" "&amp;VLOOKUP(C183,PC!A$1:K$435,6,FALSE),"")</x:f>
        <x:v>엘지 0</x:v>
      </x:c>
      <x:c r="G183" s="110" t="str">
        <x:f>IFERROR(VLOOKUP(C183,PC!$A$1:$K$435,3,FALSE),"")</x:f>
        <x:v>노트북</x:v>
      </x:c>
      <x:c r="H183" s="1" t="str">
        <x:f t="shared" si="3"/>
        <x:v>10.51.91.10</x:v>
      </x:c>
      <x:c r="J183" s="27"/>
      <x:c r="K183" s="1"/>
    </x:row>
    <x:row r="184" spans="1:11">
      <x:c r="A184" s="100"/>
      <x:c r="B184" s="108">
        <x:v>11</x:v>
      </x:c>
      <x:c r="C184" s="110" t="s">
        <x:v>1438</x:v>
      </x:c>
      <x:c r="D184" s="109" t="str">
        <x:f>IFERROR(VLOOKUP(C184,'정보화기기 명부'!A$2:B$138,2,FALSE),"")</x:f>
        <x:v/>
      </x:c>
      <x:c r="E184" s="110" t="str">
        <x:f>IFERROR(VLOOKUP(C184,PC!A$1:K$435,2,FALSE),"")</x:f>
        <x:v/>
      </x:c>
      <x:c r="F184" s="191" t="str">
        <x:f>IFERROR(VLOOKUP(C184,PC!A$1:K$435,7,FALSE)&amp;" "&amp;VLOOKUP(C184,PC!A$1:K$435,6,FALSE),"")</x:f>
        <x:v/>
      </x:c>
      <x:c r="G184" s="110" t="str">
        <x:f>IFERROR(VLOOKUP(C184,PC!$A$1:$K$435,3,FALSE),"")</x:f>
        <x:v/>
      </x:c>
      <x:c r="H184" s="1" t="str">
        <x:f t="shared" si="3"/>
        <x:v>10.51.91.11</x:v>
      </x:c>
      <x:c r="J184" s="27"/>
      <x:c r="K184" s="1"/>
    </x:row>
    <x:row r="185" spans="1:11">
      <x:c r="A185" s="100"/>
      <x:c r="B185" s="108">
        <x:v>12</x:v>
      </x:c>
      <x:c r="C185" s="277" t="s">
        <x:v>1739</x:v>
      </x:c>
      <x:c r="D185" s="278" t="str">
        <x:f>IFERROR(VLOOKUP(C185,'정보화기기 명부'!A$2:B$138,2,FALSE),"")</x:f>
        <x:v/>
      </x:c>
      <x:c r="E185" s="277" t="str">
        <x:f>IFERROR(VLOOKUP(C185,PC!A$1:K$435,2,FALSE),"")</x:f>
        <x:v>20170404-0738</x:v>
      </x:c>
      <x:c r="F185" s="279" t="str">
        <x:f>IFERROR(VLOOKUP(C185,PC!A$1:K$435,7,FALSE)&amp;" "&amp;VLOOKUP(C185,PC!A$1:K$435,6,FALSE),"")</x:f>
        <x:v>삼성 NT500R5L-M01G</x:v>
      </x:c>
      <x:c r="G185" s="277" t="str">
        <x:f>IFERROR(VLOOKUP(C185,PC!$A$1:$K$435,3,FALSE),"")</x:f>
        <x:v>노트북</x:v>
      </x:c>
      <x:c r="H185" s="1" t="str">
        <x:f t="shared" si="3"/>
        <x:v>10.51.91.12</x:v>
      </x:c>
      <x:c r="J185" s="27"/>
      <x:c r="K185" s="1"/>
    </x:row>
    <x:row r="186" spans="2:8">
      <x:c r="B186" s="108">
        <x:v>13</x:v>
      </x:c>
      <x:c r="C186" s="277" t="s">
        <x:v>1739</x:v>
      </x:c>
      <x:c r="D186" s="278" t="str">
        <x:f>IFERROR(VLOOKUP(C186,'정보화기기 명부'!A$2:B$138,2,FALSE),"")</x:f>
        <x:v/>
      </x:c>
      <x:c r="E186" s="277" t="str">
        <x:f>IFERROR(VLOOKUP(C186,PC!A$1:K$435,2,FALSE),"")</x:f>
        <x:v>20170404-0738</x:v>
      </x:c>
      <x:c r="F186" s="279" t="str">
        <x:f>IFERROR(VLOOKUP(C186,PC!A$1:K$435,7,FALSE)&amp;" "&amp;VLOOKUP(C186,PC!A$1:K$435,6,FALSE),"")</x:f>
        <x:v>삼성 NT500R5L-M01G</x:v>
      </x:c>
      <x:c r="G186" s="277" t="str">
        <x:f>IFERROR(VLOOKUP(C186,PC!$A$1:$K$435,3,FALSE),"")</x:f>
        <x:v>노트북</x:v>
      </x:c>
      <x:c r="H186" s="1" t="str">
        <x:f t="shared" si="3"/>
        <x:v>10.51.91.13</x:v>
      </x:c>
    </x:row>
    <x:row r="187" spans="2:8">
      <x:c r="B187" s="108">
        <x:v>14</x:v>
      </x:c>
      <x:c r="C187" s="110" t="s">
        <x:v>1569</x:v>
      </x:c>
      <x:c r="D187" s="109" t="str">
        <x:f>IFERROR(VLOOKUP(C187,'정보화기기 명부'!A$2:B$138,2,FALSE),"")</x:f>
        <x:v>야구부합숙소</x:v>
      </x:c>
      <x:c r="E187" s="110" t="str">
        <x:f>IFERROR(VLOOKUP(C187,PC!A$1:K$435,2,FALSE),"")</x:f>
        <x:v>20200901-0850</x:v>
      </x:c>
      <x:c r="F187" s="191" t="str">
        <x:f>IFERROR(VLOOKUP(C187,PC!A$1:K$435,7,FALSE)&amp;" "&amp;VLOOKUP(C187,PC!A$1:K$435,6,FALSE),"")</x:f>
        <x:v>삼성 CN/NT550XCJ-K13G</x:v>
      </x:c>
      <x:c r="G187" s="110" t="str">
        <x:f>IFERROR(VLOOKUP(C187,PC!$A$1:$K$435,3,FALSE),"")</x:f>
        <x:v>노트북</x:v>
      </x:c>
      <x:c r="H187" s="1" t="str">
        <x:f t="shared" si="3"/>
        <x:v>10.51.91.14</x:v>
      </x:c>
    </x:row>
    <x:row r="188" spans="1:11">
      <x:c r="A188" s="100"/>
      <x:c r="B188" s="33">
        <x:v>15</x:v>
      </x:c>
      <x:c r="C188" s="5" t="s">
        <x:v>1488</x:v>
      </x:c>
      <x:c r="D188" s="35" t="str">
        <x:f>IFERROR(VLOOKUP(C188,'정보화기기 명부'!A$2:B$138,2,FALSE),"")</x:f>
        <x:v>급식실</x:v>
      </x:c>
      <x:c r="E188" s="5" t="str">
        <x:f>IFERROR(VLOOKUP(C188,PC!A$1:K$435,2,FALSE),"")</x:f>
        <x:v>20150511-0676</x:v>
      </x:c>
      <x:c r="F188" s="189" t="str">
        <x:f>IFERROR(VLOOKUP(C188,PC!A$1:K$435,7,FALSE)&amp;" "&amp;VLOOKUP(C188,PC!A$1:K$435,6,FALSE),"")</x:f>
        <x:v>삼성 NT500P7C-S04G</x:v>
      </x:c>
      <x:c r="G188" s="5" t="str">
        <x:f>IFERROR(VLOOKUP(C188,PC!$A$1:$K$435,3,FALSE),"")</x:f>
        <x:v>노트북</x:v>
      </x:c>
      <x:c r="H188" s="1" t="str">
        <x:f t="shared" si="3"/>
        <x:v>10.51.91.15</x:v>
      </x:c>
      <x:c r="J188" s="27"/>
      <x:c r="K188" s="1"/>
    </x:row>
    <x:row r="189" spans="1:11">
      <x:c r="A189" s="100"/>
      <x:c r="B189" s="118">
        <x:v>16</x:v>
      </x:c>
      <x:c r="C189" s="120" t="s">
        <x:v>1664</x:v>
      </x:c>
      <x:c r="D189" s="35" t="str">
        <x:f>IFERROR(VLOOKUP(C189,'정보화기기 명부'!A$2:B$138,2,FALSE),"")</x:f>
        <x:v>급식실</x:v>
      </x:c>
      <x:c r="E189" s="5" t="str">
        <x:f>IFERROR(VLOOKUP(C189,PC!A$1:K$435,2,FALSE),"")</x:f>
        <x:v>20150511-0677</x:v>
      </x:c>
      <x:c r="F189" s="189" t="str">
        <x:f>IFERROR(VLOOKUP(C189,PC!A$1:K$435,7,FALSE)&amp;" "&amp;VLOOKUP(C189,PC!A$1:K$435,6,FALSE),"")</x:f>
        <x:v>삼성 NT500P7C-S04G</x:v>
      </x:c>
      <x:c r="G189" s="5" t="str">
        <x:f>IFERROR(VLOOKUP(C189,PC!$A$1:$K$435,3,FALSE),"")</x:f>
        <x:v>노트북</x:v>
      </x:c>
      <x:c r="H189" s="1" t="str">
        <x:f t="shared" si="3"/>
        <x:v>10.51.91.16</x:v>
      </x:c>
      <x:c r="J189" s="27"/>
      <x:c r="K189" s="1"/>
    </x:row>
    <x:row r="190" spans="1:11">
      <x:c r="A190" s="100"/>
      <x:c r="B190" s="118">
        <x:v>17</x:v>
      </x:c>
      <x:c r="C190" s="120" t="s">
        <x:v>1652</x:v>
      </x:c>
      <x:c r="D190" s="35" t="str">
        <x:f>IFERROR(VLOOKUP(C190,'정보화기기 명부'!A$2:B$138,2,FALSE),"")</x:f>
        <x:v>급식실</x:v>
      </x:c>
      <x:c r="E190" s="5" t="str">
        <x:f>IFERROR(VLOOKUP(C190,PC!A$1:K$435,2,FALSE),"")</x:f>
        <x:v>20150223-0667</x:v>
      </x:c>
      <x:c r="F190" s="189" t="str">
        <x:f>IFERROR(VLOOKUP(C190,PC!A$1:K$435,7,FALSE)&amp;" "&amp;VLOOKUP(C190,PC!A$1:K$435,6,FALSE),"")</x:f>
        <x:v>삼성 NT550P7C-S04G</x:v>
      </x:c>
      <x:c r="G190" s="5" t="str">
        <x:f>IFERROR(VLOOKUP(C190,PC!$A$1:$K$435,3,FALSE),"")</x:f>
        <x:v>노트북</x:v>
      </x:c>
      <x:c r="H190" s="1" t="str">
        <x:f t="shared" si="3"/>
        <x:v>10.51.91.17</x:v>
      </x:c>
      <x:c r="J190" s="27"/>
      <x:c r="K190" s="1"/>
    </x:row>
    <x:row r="191" spans="1:11">
      <x:c r="A191" s="100"/>
      <x:c r="B191" s="118">
        <x:v>18</x:v>
      </x:c>
      <x:c r="C191" s="120" t="s">
        <x:v>1438</x:v>
      </x:c>
      <x:c r="D191" s="35" t="str">
        <x:f>IFERROR(VLOOKUP(C191,'정보화기기 명부'!A$2:B$138,2,FALSE),"")</x:f>
        <x:v/>
      </x:c>
      <x:c r="E191" s="5" t="str">
        <x:f>IFERROR(VLOOKUP(C191,PC!A$1:K$435,2,FALSE),"")</x:f>
        <x:v/>
      </x:c>
      <x:c r="F191" s="189" t="str">
        <x:f>IFERROR(VLOOKUP(C191,PC!A$1:K$435,7,FALSE)&amp;" "&amp;VLOOKUP(C191,PC!A$1:K$435,6,FALSE),"")</x:f>
        <x:v/>
      </x:c>
      <x:c r="G191" s="5" t="str">
        <x:f>IFERROR(VLOOKUP(C191,PC!$A$1:$K$435,3,FALSE),"")</x:f>
        <x:v/>
      </x:c>
      <x:c r="H191" s="1" t="str">
        <x:f t="shared" si="3"/>
        <x:v>10.51.91.18</x:v>
      </x:c>
      <x:c r="J191" s="27"/>
      <x:c r="K191" s="1"/>
    </x:row>
    <x:row r="192" spans="1:11">
      <x:c r="A192" s="100"/>
      <x:c r="B192" s="118">
        <x:v>19</x:v>
      </x:c>
      <x:c r="C192" s="263" t="s">
        <x:v>2025</x:v>
      </x:c>
      <x:c r="D192" s="264" t="str">
        <x:f>IFERROR(VLOOKUP(C192,'정보화기기 명부'!A$2:B$138,2,FALSE),"")</x:f>
        <x:v>교육과정부</x:v>
      </x:c>
      <x:c r="E192" s="265" t="str">
        <x:f>IFERROR(VLOOKUP(C192,PC!A$1:K$435,2,FALSE),"")</x:f>
        <x:v>20170404-0742</x:v>
      </x:c>
      <x:c r="F192" s="266" t="str">
        <x:f>IFERROR(VLOOKUP(C192,PC!A$1:K$435,7,FALSE)&amp;" "&amp;VLOOKUP(C192,PC!A$1:K$435,6,FALSE),"")</x:f>
        <x:v>삼성 NT500R5L-M01G</x:v>
      </x:c>
      <x:c r="G192" s="265" t="str">
        <x:f>IFERROR(VLOOKUP(C192,PC!$A$1:$K$435,3,FALSE),"")</x:f>
        <x:v>노트북</x:v>
      </x:c>
      <x:c r="H192" s="1" t="str">
        <x:f t="shared" si="3"/>
        <x:v>10.51.91.19</x:v>
      </x:c>
      <x:c r="J192" s="27"/>
      <x:c r="K192" s="1"/>
    </x:row>
    <x:row r="193" spans="1:11">
      <x:c r="A193" s="100"/>
      <x:c r="B193" s="118">
        <x:v>20</x:v>
      </x:c>
      <x:c r="C193" s="120" t="s">
        <x:v>1438</x:v>
      </x:c>
      <x:c r="D193" s="119" t="str">
        <x:f>IFERROR(VLOOKUP(C193,'정보화기기 명부'!A$2:B$138,2,FALSE),"")</x:f>
        <x:v/>
      </x:c>
      <x:c r="E193" s="5" t="str">
        <x:f>IFERROR(VLOOKUP(C193,PC!A$1:K$435,2,FALSE),"")</x:f>
        <x:v/>
      </x:c>
      <x:c r="F193" s="189" t="str">
        <x:f>IFERROR(VLOOKUP(C193,PC!A$1:K$435,7,FALSE)&amp;" "&amp;VLOOKUP(C193,PC!A$1:K$435,6,FALSE),"")</x:f>
        <x:v/>
      </x:c>
      <x:c r="G193" s="120"/>
      <x:c r="H193" s="1" t="str">
        <x:f t="shared" si="3"/>
        <x:v>10.51.91.20</x:v>
      </x:c>
      <x:c r="J193" s="27"/>
      <x:c r="K193" s="1"/>
    </x:row>
    <x:row r="194" spans="1:11">
      <x:c r="A194" s="100"/>
      <x:c r="B194" s="118">
        <x:v>21</x:v>
      </x:c>
      <x:c r="C194" s="120" t="s">
        <x:v>1438</x:v>
      </x:c>
      <x:c r="D194" s="119" t="str">
        <x:f>IFERROR(VLOOKUP(C194,'정보화기기 명부'!A$2:B$138,2,FALSE),"")</x:f>
        <x:v/>
      </x:c>
      <x:c r="E194" s="5" t="str">
        <x:f>IFERROR(VLOOKUP(C194,PC!A$1:K$435,2,FALSE),"")</x:f>
        <x:v/>
      </x:c>
      <x:c r="F194" s="189" t="str">
        <x:f>IFERROR(VLOOKUP(C194,PC!A$1:K$435,7,FALSE)&amp;" "&amp;VLOOKUP(C194,PC!A$1:K$435,6,FALSE),"")</x:f>
        <x:v/>
      </x:c>
      <x:c r="G194" s="120"/>
      <x:c r="H194" s="1" t="str">
        <x:f t="shared" si="3"/>
        <x:v>10.51.91.21</x:v>
      </x:c>
      <x:c r="J194" s="27"/>
      <x:c r="K194" s="1"/>
    </x:row>
    <x:row r="195" spans="1:11">
      <x:c r="A195" s="100"/>
      <x:c r="B195" s="118">
        <x:v>22</x:v>
      </x:c>
      <x:c r="C195" s="120" t="s">
        <x:v>1438</x:v>
      </x:c>
      <x:c r="D195" s="119" t="str">
        <x:f>IFERROR(VLOOKUP(C195,'정보화기기 명부'!A$2:B$138,2,FALSE),"")</x:f>
        <x:v/>
      </x:c>
      <x:c r="E195" s="5" t="str">
        <x:f>IFERROR(VLOOKUP(C195,PC!A$1:K$435,2,FALSE),"")</x:f>
        <x:v/>
      </x:c>
      <x:c r="F195" s="189" t="str">
        <x:f>IFERROR(VLOOKUP(C195,PC!A$1:K$435,7,FALSE)&amp;" "&amp;VLOOKUP(C195,PC!A$1:K$435,6,FALSE),"")</x:f>
        <x:v/>
      </x:c>
      <x:c r="G195" s="120"/>
      <x:c r="H195" s="1" t="str">
        <x:f t="shared" si="3"/>
        <x:v>10.51.91.22</x:v>
      </x:c>
      <x:c r="J195" s="27"/>
      <x:c r="K195" s="1"/>
    </x:row>
    <x:row r="196" spans="1:11">
      <x:c r="A196" s="100"/>
      <x:c r="B196" s="118">
        <x:v>23</x:v>
      </x:c>
      <x:c r="C196" s="120" t="s">
        <x:v>1438</x:v>
      </x:c>
      <x:c r="D196" s="119" t="str">
        <x:f>IFERROR(VLOOKUP(C196,'정보화기기 명부'!A$2:B$138,2,FALSE),"")</x:f>
        <x:v/>
      </x:c>
      <x:c r="E196" s="5" t="str">
        <x:f>IFERROR(VLOOKUP(C196,PC!A$1:K$435,2,FALSE),"")</x:f>
        <x:v/>
      </x:c>
      <x:c r="F196" s="189" t="str">
        <x:f>IFERROR(VLOOKUP(C196,PC!A$1:K$435,7,FALSE)&amp;" "&amp;VLOOKUP(C196,PC!A$1:K$435,6,FALSE),"")</x:f>
        <x:v/>
      </x:c>
      <x:c r="G196" s="120"/>
      <x:c r="H196" s="1" t="str">
        <x:f t="shared" si="3"/>
        <x:v>10.51.91.23</x:v>
      </x:c>
      <x:c r="J196" s="27"/>
      <x:c r="K196" s="1"/>
    </x:row>
    <x:row r="197" spans="1:11">
      <x:c r="A197" s="100"/>
      <x:c r="B197" s="118">
        <x:v>24</x:v>
      </x:c>
      <x:c r="C197" s="120" t="s">
        <x:v>1438</x:v>
      </x:c>
      <x:c r="D197" s="119" t="str">
        <x:f>IFERROR(VLOOKUP(C197,'정보화기기 명부'!A$2:B$138,2,FALSE),"")</x:f>
        <x:v/>
      </x:c>
      <x:c r="E197" s="5" t="str">
        <x:f>IFERROR(VLOOKUP(C197,PC!A$1:K$435,2,FALSE),"")</x:f>
        <x:v/>
      </x:c>
      <x:c r="F197" s="189" t="str">
        <x:f>IFERROR(VLOOKUP(C197,PC!A$1:K$435,7,FALSE)&amp;" "&amp;VLOOKUP(C197,PC!A$1:K$435,6,FALSE),"")</x:f>
        <x:v/>
      </x:c>
      <x:c r="G197" s="120"/>
      <x:c r="H197" s="1" t="str">
        <x:f t="shared" si="3"/>
        <x:v>10.51.91.24</x:v>
      </x:c>
      <x:c r="J197" s="27"/>
      <x:c r="K197" s="1"/>
    </x:row>
    <x:row r="198" spans="1:11">
      <x:c r="A198" s="100"/>
      <x:c r="B198" s="118">
        <x:v>25</x:v>
      </x:c>
      <x:c r="C198" s="120" t="s">
        <x:v>1438</x:v>
      </x:c>
      <x:c r="D198" s="119" t="str">
        <x:f>IFERROR(VLOOKUP(C198,'정보화기기 명부'!A$2:B$138,2,FALSE),"")</x:f>
        <x:v/>
      </x:c>
      <x:c r="E198" s="5" t="str">
        <x:f>IFERROR(VLOOKUP(C198,PC!A$1:K$435,2,FALSE),"")</x:f>
        <x:v/>
      </x:c>
      <x:c r="F198" s="189" t="str">
        <x:f>IFERROR(VLOOKUP(C198,PC!A$1:K$435,7,FALSE)&amp;" "&amp;VLOOKUP(C198,PC!A$1:K$435,6,FALSE),"")</x:f>
        <x:v/>
      </x:c>
      <x:c r="G198" s="120"/>
      <x:c r="H198" s="1" t="str">
        <x:f t="shared" si="3"/>
        <x:v>10.51.91.25</x:v>
      </x:c>
      <x:c r="J198" s="27"/>
      <x:c r="K198" s="1"/>
    </x:row>
    <x:row r="199" spans="1:11">
      <x:c r="A199" s="100"/>
      <x:c r="B199" s="118">
        <x:v>26</x:v>
      </x:c>
      <x:c r="C199" s="120" t="s">
        <x:v>1438</x:v>
      </x:c>
      <x:c r="D199" s="119" t="str">
        <x:f>IFERROR(VLOOKUP(C199,'정보화기기 명부'!A$2:B$138,2,FALSE),"")</x:f>
        <x:v/>
      </x:c>
      <x:c r="E199" s="5" t="str">
        <x:f>IFERROR(VLOOKUP(C199,PC!A$1:K$435,2,FALSE),"")</x:f>
        <x:v/>
      </x:c>
      <x:c r="F199" s="189" t="str">
        <x:f>IFERROR(VLOOKUP(C199,PC!A$1:K$435,7,FALSE)&amp;" "&amp;VLOOKUP(C199,PC!A$1:K$435,6,FALSE),"")</x:f>
        <x:v/>
      </x:c>
      <x:c r="G199" s="120"/>
      <x:c r="H199" s="1" t="str">
        <x:f t="shared" si="3"/>
        <x:v>10.51.91.26</x:v>
      </x:c>
      <x:c r="J199" s="27"/>
      <x:c r="K199" s="1"/>
    </x:row>
    <x:row r="200" spans="1:11">
      <x:c r="A200" s="100"/>
      <x:c r="B200" s="118">
        <x:v>27</x:v>
      </x:c>
      <x:c r="C200" s="120" t="s">
        <x:v>1438</x:v>
      </x:c>
      <x:c r="D200" s="119" t="str">
        <x:f>IFERROR(VLOOKUP(C200,'정보화기기 명부'!A$2:B$138,2,FALSE),"")</x:f>
        <x:v/>
      </x:c>
      <x:c r="E200" s="5" t="str">
        <x:f>IFERROR(VLOOKUP(C200,PC!A$1:K$435,2,FALSE),"")</x:f>
        <x:v/>
      </x:c>
      <x:c r="F200" s="189" t="str">
        <x:f>IFERROR(VLOOKUP(C200,PC!A$1:K$435,7,FALSE)&amp;" "&amp;VLOOKUP(C200,PC!A$1:K$435,6,FALSE),"")</x:f>
        <x:v/>
      </x:c>
      <x:c r="G200" s="120"/>
      <x:c r="H200" s="1" t="str">
        <x:f t="shared" si="3"/>
        <x:v>10.51.91.27</x:v>
      </x:c>
      <x:c r="J200" s="27"/>
      <x:c r="K200" s="1"/>
    </x:row>
    <x:row r="201" spans="1:11">
      <x:c r="A201" s="100"/>
      <x:c r="B201" s="118">
        <x:v>28</x:v>
      </x:c>
      <x:c r="C201" s="120" t="s">
        <x:v>1438</x:v>
      </x:c>
      <x:c r="D201" s="119" t="str">
        <x:f>IFERROR(VLOOKUP(C201,'정보화기기 명부'!A$2:B$138,2,FALSE),"")</x:f>
        <x:v/>
      </x:c>
      <x:c r="E201" s="5" t="str">
        <x:f>IFERROR(VLOOKUP(C201,PC!A$1:K$435,2,FALSE),"")</x:f>
        <x:v/>
      </x:c>
      <x:c r="F201" s="189" t="str">
        <x:f>IFERROR(VLOOKUP(C201,PC!A$1:K$435,7,FALSE)&amp;" "&amp;VLOOKUP(C201,PC!A$1:K$435,6,FALSE),"")</x:f>
        <x:v/>
      </x:c>
      <x:c r="G201" s="120"/>
      <x:c r="H201" s="1" t="str">
        <x:f t="shared" si="3"/>
        <x:v>10.51.91.28</x:v>
      </x:c>
      <x:c r="J201" s="27"/>
      <x:c r="K201" s="1"/>
    </x:row>
    <x:row r="202" spans="1:11">
      <x:c r="A202" s="100"/>
      <x:c r="B202" s="118">
        <x:v>29</x:v>
      </x:c>
      <x:c r="C202" s="120" t="s">
        <x:v>1438</x:v>
      </x:c>
      <x:c r="D202" s="119" t="str">
        <x:f>IFERROR(VLOOKUP(C202,'정보화기기 명부'!A$2:B$138,2,FALSE),"")</x:f>
        <x:v/>
      </x:c>
      <x:c r="E202" s="5" t="str">
        <x:f>IFERROR(VLOOKUP(C202,PC!A$1:K$435,2,FALSE),"")</x:f>
        <x:v/>
      </x:c>
      <x:c r="F202" s="189" t="str">
        <x:f>IFERROR(VLOOKUP(C202,PC!A$1:K$435,7,FALSE)&amp;" "&amp;VLOOKUP(C202,PC!A$1:K$435,6,FALSE),"")</x:f>
        <x:v/>
      </x:c>
      <x:c r="G202" s="120"/>
      <x:c r="H202" s="1" t="str">
        <x:f t="shared" si="3"/>
        <x:v>10.51.91.29</x:v>
      </x:c>
      <x:c r="J202" s="27"/>
      <x:c r="K202" s="1"/>
    </x:row>
    <x:row r="203" spans="1:11">
      <x:c r="A203" s="100"/>
      <x:c r="B203" s="118">
        <x:v>30</x:v>
      </x:c>
      <x:c r="C203" s="120" t="s">
        <x:v>1438</x:v>
      </x:c>
      <x:c r="D203" s="119" t="str">
        <x:f>IFERROR(VLOOKUP(C203,'정보화기기 명부'!A$2:B$138,2,FALSE),"")</x:f>
        <x:v/>
      </x:c>
      <x:c r="E203" s="5" t="str">
        <x:f>IFERROR(VLOOKUP(C203,PC!A$1:K$435,2,FALSE),"")</x:f>
        <x:v/>
      </x:c>
      <x:c r="F203" s="189" t="str">
        <x:f>IFERROR(VLOOKUP(C203,PC!A$1:K$435,7,FALSE)&amp;" "&amp;VLOOKUP(C203,PC!A$1:K$435,6,FALSE),"")</x:f>
        <x:v/>
      </x:c>
      <x:c r="G203" s="120"/>
      <x:c r="H203" s="1" t="str">
        <x:f t="shared" si="3"/>
        <x:v>10.51.91.30</x:v>
      </x:c>
      <x:c r="J203" s="27"/>
      <x:c r="K203" s="1"/>
    </x:row>
    <x:row r="204" spans="1:11">
      <x:c r="A204" s="100"/>
      <x:c r="B204" s="118">
        <x:v>31</x:v>
      </x:c>
      <x:c r="C204" s="120" t="s">
        <x:v>1681</x:v>
      </x:c>
      <x:c r="D204" s="119" t="str">
        <x:f>IFERROR(VLOOKUP(C204,'정보화기기 명부'!A$2:B$138,2,FALSE),"")</x:f>
        <x:v>교무기획부</x:v>
      </x:c>
      <x:c r="E204" s="5" t="str">
        <x:f>IFERROR(VLOOKUP(C204,PC!A$1:K$435,2,FALSE),"")</x:f>
        <x:v>20170404-0735</x:v>
      </x:c>
      <x:c r="F204" s="189" t="str">
        <x:f>IFERROR(VLOOKUP(C204,PC!A$1:K$435,7,FALSE)&amp;" "&amp;VLOOKUP(C204,PC!A$1:K$435,6,FALSE),"")</x:f>
        <x:v>삼성 NT500R5L-M01G</x:v>
      </x:c>
      <x:c r="G204" s="120"/>
      <x:c r="H204" s="1" t="str">
        <x:f t="shared" si="3"/>
        <x:v>10.51.91.31</x:v>
      </x:c>
      <x:c r="J204" s="27"/>
      <x:c r="K204" s="1"/>
    </x:row>
    <x:row r="205" spans="1:11">
      <x:c r="A205" s="100"/>
      <x:c r="B205" s="118">
        <x:v>32</x:v>
      </x:c>
      <x:c r="C205" s="197" t="s">
        <x:v>1660</x:v>
      </x:c>
      <x:c r="D205" s="119" t="str">
        <x:f>IFERROR(VLOOKUP(C205,'정보화기기 명부'!A$2:B$138,2,FALSE),"")</x:f>
        <x:v>교무기획부</x:v>
      </x:c>
      <x:c r="E205" s="5" t="str">
        <x:f>IFERROR(VLOOKUP(C205,PC!A$1:K$435,2,FALSE),"")</x:f>
        <x:v>20170404-0736</x:v>
      </x:c>
      <x:c r="F205" s="189" t="str">
        <x:f>IFERROR(VLOOKUP(C205,PC!A$1:K$435,7,FALSE)&amp;" "&amp;VLOOKUP(C205,PC!A$1:K$435,6,FALSE),"")</x:f>
        <x:v>삼성 NT500R5L-M01G</x:v>
      </x:c>
      <x:c r="G205" s="120"/>
      <x:c r="H205" s="1" t="str">
        <x:f t="shared" si="3"/>
        <x:v>10.51.91.32</x:v>
      </x:c>
      <x:c r="J205" s="27"/>
      <x:c r="K205" s="1"/>
    </x:row>
    <x:row r="206" spans="1:11">
      <x:c r="A206" s="100"/>
      <x:c r="B206" s="118">
        <x:v>33</x:v>
      </x:c>
      <x:c r="C206" s="120" t="s">
        <x:v>1623</x:v>
      </x:c>
      <x:c r="D206" s="119" t="str">
        <x:f>IFERROR(VLOOKUP(C206,'정보화기기 명부'!A$2:B$138,2,FALSE),"")</x:f>
        <x:v>교무기획부</x:v>
      </x:c>
      <x:c r="E206" s="5" t="str">
        <x:f>IFERROR(VLOOKUP(C206,PC!A$1:K$435,2,FALSE),"")</x:f>
        <x:v>20170404-0740</x:v>
      </x:c>
      <x:c r="F206" s="189" t="str">
        <x:f>IFERROR(VLOOKUP(C206,PC!A$1:K$435,7,FALSE)&amp;" "&amp;VLOOKUP(C206,PC!A$1:K$435,6,FALSE),"")</x:f>
        <x:v>삼성 NT500R5L-M01G</x:v>
      </x:c>
      <x:c r="G206" s="120"/>
      <x:c r="H206" s="1" t="str">
        <x:f t="shared" si="3"/>
        <x:v>10.51.91.33</x:v>
      </x:c>
      <x:c r="J206" s="27"/>
      <x:c r="K206" s="1"/>
    </x:row>
    <x:row r="207" spans="1:11">
      <x:c r="A207" s="100"/>
      <x:c r="B207" s="118">
        <x:v>34</x:v>
      </x:c>
      <x:c r="C207" s="120" t="s">
        <x:v>1438</x:v>
      </x:c>
      <x:c r="D207" s="119" t="str">
        <x:f>IFERROR(VLOOKUP(C207,'정보화기기 명부'!A$2:B$138,2,FALSE),"")</x:f>
        <x:v/>
      </x:c>
      <x:c r="E207" s="120" t="str">
        <x:f>IFERROR(VLOOKUP(C207,PC!A$1:K$435,2,FALSE),"")</x:f>
        <x:v/>
      </x:c>
      <x:c r="F207" s="193" t="str">
        <x:f>IFERROR(VLOOKUP(C207,PC!A$1:K$435,7,FALSE)&amp;" "&amp;VLOOKUP(C207,PC!A$1:K$435,6,FALSE),"")</x:f>
        <x:v/>
      </x:c>
      <x:c r="G207" s="120"/>
      <x:c r="H207" s="1" t="str">
        <x:f t="shared" si="3"/>
        <x:v>10.51.91.34</x:v>
      </x:c>
      <x:c r="J207" s="27"/>
      <x:c r="K207" s="1"/>
    </x:row>
    <x:row r="208" spans="1:11">
      <x:c r="A208" s="100"/>
      <x:c r="B208" s="118">
        <x:v>35</x:v>
      </x:c>
      <x:c r="C208" s="120" t="s">
        <x:v>1438</x:v>
      </x:c>
      <x:c r="D208" s="119" t="str">
        <x:f>IFERROR(VLOOKUP(C208,'정보화기기 명부'!A$2:B$138,2,FALSE),"")</x:f>
        <x:v/>
      </x:c>
      <x:c r="E208" s="120" t="str">
        <x:f>IFERROR(VLOOKUP(C208,PC!A$1:K$435,2,FALSE),"")</x:f>
        <x:v/>
      </x:c>
      <x:c r="F208" s="193" t="str">
        <x:f>IFERROR(VLOOKUP(C208,PC!A$1:K$435,7,FALSE)&amp;" "&amp;VLOOKUP(C208,PC!A$1:K$435,6,FALSE),"")</x:f>
        <x:v/>
      </x:c>
      <x:c r="G208" s="120"/>
      <x:c r="H208" s="1" t="str">
        <x:f t="shared" si="3"/>
        <x:v>10.51.91.35</x:v>
      </x:c>
      <x:c r="J208" s="27"/>
      <x:c r="K208" s="1"/>
    </x:row>
    <x:row r="209" spans="1:11">
      <x:c r="A209" s="100"/>
      <x:c r="B209" s="118">
        <x:v>36</x:v>
      </x:c>
      <x:c r="C209" s="120" t="s">
        <x:v>1438</x:v>
      </x:c>
      <x:c r="D209" s="119" t="str">
        <x:f>IFERROR(VLOOKUP(C209,'정보화기기 명부'!A$2:B$138,2,FALSE),"")</x:f>
        <x:v/>
      </x:c>
      <x:c r="E209" s="120" t="str">
        <x:f>IFERROR(VLOOKUP(C209,PC!A$1:K$435,2,FALSE),"")</x:f>
        <x:v/>
      </x:c>
      <x:c r="F209" s="193" t="str">
        <x:f>IFERROR(VLOOKUP(C209,PC!A$1:K$435,7,FALSE)&amp;" "&amp;VLOOKUP(C209,PC!A$1:K$435,6,FALSE),"")</x:f>
        <x:v/>
      </x:c>
      <x:c r="G209" s="120"/>
      <x:c r="H209" s="1" t="str">
        <x:f t="shared" si="3"/>
        <x:v>10.51.91.36</x:v>
      </x:c>
      <x:c r="J209" s="27"/>
      <x:c r="K209" s="1"/>
    </x:row>
    <x:row r="210" spans="1:11">
      <x:c r="A210" s="100"/>
      <x:c r="B210" s="118">
        <x:v>37</x:v>
      </x:c>
      <x:c r="C210" s="120" t="s">
        <x:v>1438</x:v>
      </x:c>
      <x:c r="D210" s="119" t="str">
        <x:f>IFERROR(VLOOKUP(C210,'정보화기기 명부'!A$2:B$138,2,FALSE),"")</x:f>
        <x:v/>
      </x:c>
      <x:c r="E210" s="120" t="str">
        <x:f>IFERROR(VLOOKUP(C210,PC!A$1:K$435,2,FALSE),"")</x:f>
        <x:v/>
      </x:c>
      <x:c r="F210" s="193" t="str">
        <x:f>IFERROR(VLOOKUP(C210,PC!A$1:K$435,7,FALSE)&amp;" "&amp;VLOOKUP(C210,PC!A$1:K$435,6,FALSE),"")</x:f>
        <x:v/>
      </x:c>
      <x:c r="G210" s="120"/>
      <x:c r="H210" s="1" t="str">
        <x:f t="shared" si="3"/>
        <x:v>10.51.91.37</x:v>
      </x:c>
      <x:c r="J210" s="27"/>
      <x:c r="K210" s="1"/>
    </x:row>
    <x:row r="211" spans="1:11">
      <x:c r="A211" s="100"/>
      <x:c r="B211" s="118">
        <x:v>38</x:v>
      </x:c>
      <x:c r="C211" s="120" t="s">
        <x:v>1438</x:v>
      </x:c>
      <x:c r="D211" s="119" t="str">
        <x:f>IFERROR(VLOOKUP(C211,'정보화기기 명부'!A$2:B$138,2,FALSE),"")</x:f>
        <x:v/>
      </x:c>
      <x:c r="E211" s="120" t="str">
        <x:f>IFERROR(VLOOKUP(C211,PC!A$1:K$435,2,FALSE),"")</x:f>
        <x:v/>
      </x:c>
      <x:c r="F211" s="193" t="str">
        <x:f>IFERROR(VLOOKUP(C211,PC!A$1:K$435,7,FALSE)&amp;" "&amp;VLOOKUP(C211,PC!A$1:K$435,6,FALSE),"")</x:f>
        <x:v/>
      </x:c>
      <x:c r="G211" s="120"/>
      <x:c r="H211" s="1" t="str">
        <x:f t="shared" si="3"/>
        <x:v>10.51.91.38</x:v>
      </x:c>
      <x:c r="J211" s="27"/>
      <x:c r="K211" s="1"/>
    </x:row>
    <x:row r="212" spans="1:11">
      <x:c r="A212" s="100"/>
      <x:c r="B212" s="118">
        <x:v>39</x:v>
      </x:c>
      <x:c r="C212" s="120" t="s">
        <x:v>1438</x:v>
      </x:c>
      <x:c r="D212" s="119" t="str">
        <x:f>IFERROR(VLOOKUP(C212,'정보화기기 명부'!A$2:B$138,2,FALSE),"")</x:f>
        <x:v/>
      </x:c>
      <x:c r="E212" s="120" t="str">
        <x:f>IFERROR(VLOOKUP(C212,PC!A$1:K$435,2,FALSE),"")</x:f>
        <x:v/>
      </x:c>
      <x:c r="F212" s="193" t="str">
        <x:f>IFERROR(VLOOKUP(C212,PC!A$1:K$435,7,FALSE)&amp;" "&amp;VLOOKUP(C212,PC!A$1:K$435,6,FALSE),"")</x:f>
        <x:v/>
      </x:c>
      <x:c r="G212" s="120"/>
      <x:c r="H212" s="1" t="str">
        <x:f t="shared" si="3"/>
        <x:v>10.51.91.39</x:v>
      </x:c>
      <x:c r="J212" s="27"/>
      <x:c r="K212" s="1"/>
    </x:row>
    <x:row r="213" spans="1:11">
      <x:c r="A213" s="100"/>
      <x:c r="B213" s="118">
        <x:v>40</x:v>
      </x:c>
      <x:c r="C213" s="35" t="s">
        <x:v>1438</x:v>
      </x:c>
      <x:c r="D213" s="119" t="str">
        <x:f>IFERROR(VLOOKUP(C213,'정보화기기 명부'!A$2:B$138,2,FALSE),"")</x:f>
        <x:v/>
      </x:c>
      <x:c r="E213" s="120" t="str">
        <x:f>IFERROR(VLOOKUP(C213,PC!A$1:K$435,2,FALSE),"")</x:f>
        <x:v/>
      </x:c>
      <x:c r="F213" s="193" t="str">
        <x:f>IFERROR(VLOOKUP(C213,PC!A$1:K$435,7,FALSE)&amp;" "&amp;VLOOKUP(C213,PC!A$1:K$435,6,FALSE),"")</x:f>
        <x:v/>
      </x:c>
      <x:c r="G213" s="120" t="str">
        <x:f>IFERROR(VLOOKUP(C213,PC!$A$1:$K$435,3,FALSE),"")</x:f>
        <x:v/>
      </x:c>
      <x:c r="H213" s="1" t="str">
        <x:f t="shared" si="3"/>
        <x:v>10.51.91.40</x:v>
      </x:c>
      <x:c r="J213" s="27"/>
      <x:c r="K213" s="1"/>
    </x:row>
    <x:row r="214" spans="1:11">
      <x:c r="A214" s="100"/>
      <x:c r="B214" s="118">
        <x:v>41</x:v>
      </x:c>
      <x:c r="C214" s="5" t="s">
        <x:v>1438</x:v>
      </x:c>
      <x:c r="D214" s="119" t="str">
        <x:f>IFERROR(VLOOKUP(C214,'정보화기기 명부'!A$2:B$138,2,FALSE),"")</x:f>
        <x:v/>
      </x:c>
      <x:c r="E214" s="120" t="str">
        <x:f>IFERROR(VLOOKUP(C214,PC!A$1:K$435,2,FALSE),"")</x:f>
        <x:v/>
      </x:c>
      <x:c r="F214" s="193" t="str">
        <x:f>IFERROR(VLOOKUP(C214,PC!A$1:K$435,7,FALSE)&amp;" "&amp;VLOOKUP(C214,PC!A$1:K$435,6,FALSE),"")</x:f>
        <x:v/>
      </x:c>
      <x:c r="G214" s="120" t="str">
        <x:f>IFERROR(VLOOKUP(C214,PC!$A$1:$K$435,3,FALSE),"")</x:f>
        <x:v/>
      </x:c>
      <x:c r="H214" s="1" t="str">
        <x:f t="shared" si="3"/>
        <x:v>10.51.91.41</x:v>
      </x:c>
      <x:c r="J214" s="27"/>
      <x:c r="K214" s="1"/>
    </x:row>
    <x:row r="215" spans="1:11">
      <x:c r="A215" s="100"/>
      <x:c r="B215" s="118">
        <x:v>42</x:v>
      </x:c>
      <x:c r="C215" s="5" t="s">
        <x:v>1438</x:v>
      </x:c>
      <x:c r="D215" s="119" t="str">
        <x:f>IFERROR(VLOOKUP(C215,'정보화기기 명부'!A$2:B$138,2,FALSE),"")</x:f>
        <x:v/>
      </x:c>
      <x:c r="E215" s="120" t="str">
        <x:f>IFERROR(VLOOKUP(C215,PC!A$1:K$435,2,FALSE),"")</x:f>
        <x:v/>
      </x:c>
      <x:c r="F215" s="193" t="str">
        <x:f>IFERROR(VLOOKUP(C215,PC!A$1:K$435,7,FALSE)&amp;" "&amp;VLOOKUP(C215,PC!A$1:K$435,6,FALSE),"")</x:f>
        <x:v/>
      </x:c>
      <x:c r="G215" s="120" t="str">
        <x:f>IFERROR(VLOOKUP(C215,PC!$A$1:$K$435,3,FALSE),"")</x:f>
        <x:v/>
      </x:c>
      <x:c r="H215" s="1" t="str">
        <x:f t="shared" si="3"/>
        <x:v>10.51.91.42</x:v>
      </x:c>
      <x:c r="J215" s="27"/>
      <x:c r="K215" s="1"/>
    </x:row>
    <x:row r="216" spans="1:11">
      <x:c r="A216" s="100"/>
      <x:c r="B216" s="118">
        <x:v>43</x:v>
      </x:c>
      <x:c r="C216" s="35" t="s">
        <x:v>1438</x:v>
      </x:c>
      <x:c r="D216" s="119" t="str">
        <x:f>IFERROR(VLOOKUP(C216,'정보화기기 명부'!A$2:B$138,2,FALSE),"")</x:f>
        <x:v/>
      </x:c>
      <x:c r="E216" s="120" t="str">
        <x:f>IFERROR(VLOOKUP(C216,PC!A$1:K$435,2,FALSE),"")</x:f>
        <x:v/>
      </x:c>
      <x:c r="F216" s="193" t="str">
        <x:f>IFERROR(VLOOKUP(C216,PC!A$1:K$435,7,FALSE)&amp;" "&amp;VLOOKUP(C216,PC!A$1:K$435,6,FALSE),"")</x:f>
        <x:v/>
      </x:c>
      <x:c r="G216" s="120" t="str">
        <x:f>IFERROR(VLOOKUP(C216,PC!$A$1:$K$435,3,FALSE),"")</x:f>
        <x:v/>
      </x:c>
      <x:c r="H216" s="1" t="str">
        <x:f t="shared" si="3"/>
        <x:v>10.51.91.43</x:v>
      </x:c>
      <x:c r="J216" s="27"/>
      <x:c r="K216" s="1"/>
    </x:row>
    <x:row r="217" spans="1:11">
      <x:c r="A217" s="100"/>
      <x:c r="B217" s="118">
        <x:v>44</x:v>
      </x:c>
      <x:c r="C217" s="5" t="s">
        <x:v>1438</x:v>
      </x:c>
      <x:c r="D217" s="119" t="str">
        <x:f>IFERROR(VLOOKUP(C217,'정보화기기 명부'!A$2:B$138,2,FALSE),"")</x:f>
        <x:v/>
      </x:c>
      <x:c r="E217" s="120" t="str">
        <x:f>IFERROR(VLOOKUP(C217,PC!A$1:K$435,2,FALSE),"")</x:f>
        <x:v/>
      </x:c>
      <x:c r="F217" s="193" t="str">
        <x:f>IFERROR(VLOOKUP(C217,PC!A$1:K$435,7,FALSE)&amp;" "&amp;VLOOKUP(C217,PC!A$1:K$435,6,FALSE),"")</x:f>
        <x:v/>
      </x:c>
      <x:c r="G217" s="120" t="str">
        <x:f>IFERROR(VLOOKUP(C217,PC!$A$1:$K$435,3,FALSE),"")</x:f>
        <x:v/>
      </x:c>
      <x:c r="H217" s="1" t="str">
        <x:f t="shared" si="3"/>
        <x:v>10.51.91.44</x:v>
      </x:c>
      <x:c r="J217" s="27"/>
      <x:c r="K217" s="1"/>
    </x:row>
    <x:row r="218" spans="1:11">
      <x:c r="A218" s="100"/>
      <x:c r="B218" s="118">
        <x:v>45</x:v>
      </x:c>
      <x:c r="C218" s="5" t="s">
        <x:v>1438</x:v>
      </x:c>
      <x:c r="D218" s="119" t="str">
        <x:f>IFERROR(VLOOKUP(C218,'정보화기기 명부'!A$2:B$138,2,FALSE),"")</x:f>
        <x:v/>
      </x:c>
      <x:c r="E218" s="120" t="str">
        <x:f>IFERROR(VLOOKUP(C218,PC!A$1:K$435,2,FALSE),"")</x:f>
        <x:v/>
      </x:c>
      <x:c r="F218" s="193" t="str">
        <x:f>IFERROR(VLOOKUP(C218,PC!A$1:K$435,7,FALSE)&amp;" "&amp;VLOOKUP(C218,PC!A$1:K$435,6,FALSE),"")</x:f>
        <x:v/>
      </x:c>
      <x:c r="G218" s="120" t="str">
        <x:f>IFERROR(VLOOKUP(C218,PC!$A$1:$K$435,3,FALSE),"")</x:f>
        <x:v/>
      </x:c>
      <x:c r="H218" s="1" t="str">
        <x:f t="shared" si="3"/>
        <x:v>10.51.91.45</x:v>
      </x:c>
      <x:c r="J218" s="27"/>
      <x:c r="K218" s="1"/>
    </x:row>
    <x:row r="219" spans="1:11">
      <x:c r="A219" s="100"/>
      <x:c r="B219" s="118">
        <x:v>46</x:v>
      </x:c>
      <x:c r="C219" s="5" t="s">
        <x:v>1438</x:v>
      </x:c>
      <x:c r="D219" s="119" t="str">
        <x:f>IFERROR(VLOOKUP(C219,'정보화기기 명부'!A$2:B$138,2,FALSE),"")</x:f>
        <x:v/>
      </x:c>
      <x:c r="E219" s="120" t="str">
        <x:f>IFERROR(VLOOKUP(C219,PC!A$1:K$435,2,FALSE),"")</x:f>
        <x:v/>
      </x:c>
      <x:c r="F219" s="193" t="str">
        <x:f>IFERROR(VLOOKUP(C219,PC!A$1:K$435,7,FALSE)&amp;" "&amp;VLOOKUP(C219,PC!A$1:K$435,6,FALSE),"")</x:f>
        <x:v/>
      </x:c>
      <x:c r="G219" s="120" t="str">
        <x:f>IFERROR(VLOOKUP(C219,PC!$A$1:$K$435,3,FALSE),"")</x:f>
        <x:v/>
      </x:c>
      <x:c r="H219" s="1" t="str">
        <x:f t="shared" si="3"/>
        <x:v>10.51.91.46</x:v>
      </x:c>
      <x:c r="J219" s="27"/>
      <x:c r="K219" s="1"/>
    </x:row>
    <x:row r="220" spans="1:11">
      <x:c r="A220" s="100"/>
      <x:c r="B220" s="118">
        <x:v>47</x:v>
      </x:c>
      <x:c r="C220" s="5" t="s">
        <x:v>1438</x:v>
      </x:c>
      <x:c r="D220" s="119" t="str">
        <x:f>IFERROR(VLOOKUP(C220,'정보화기기 명부'!A$2:B$138,2,FALSE),"")</x:f>
        <x:v/>
      </x:c>
      <x:c r="E220" s="120" t="str">
        <x:f>IFERROR(VLOOKUP(C220,PC!A$1:K$435,2,FALSE),"")</x:f>
        <x:v/>
      </x:c>
      <x:c r="F220" s="193" t="str">
        <x:f>IFERROR(VLOOKUP(C220,PC!A$1:K$435,7,FALSE)&amp;" "&amp;VLOOKUP(C220,PC!A$1:K$435,6,FALSE),"")</x:f>
        <x:v/>
      </x:c>
      <x:c r="G220" s="120" t="str">
        <x:f>IFERROR(VLOOKUP(C220,PC!$A$1:$K$435,3,FALSE),"")</x:f>
        <x:v/>
      </x:c>
      <x:c r="H220" s="1" t="str">
        <x:f t="shared" si="3"/>
        <x:v>10.51.91.47</x:v>
      </x:c>
      <x:c r="J220" s="27"/>
      <x:c r="K220" s="1"/>
    </x:row>
    <x:row r="221" spans="1:11">
      <x:c r="A221" s="100"/>
      <x:c r="B221" s="118">
        <x:v>48</x:v>
      </x:c>
      <x:c r="C221" s="5" t="s">
        <x:v>1438</x:v>
      </x:c>
      <x:c r="D221" s="119" t="str">
        <x:f>IFERROR(VLOOKUP(C221,'정보화기기 명부'!A$2:B$138,2,FALSE),"")</x:f>
        <x:v/>
      </x:c>
      <x:c r="E221" s="120" t="str">
        <x:f>IFERROR(VLOOKUP(C221,PC!A$1:K$435,2,FALSE),"")</x:f>
        <x:v/>
      </x:c>
      <x:c r="F221" s="193" t="str">
        <x:f>IFERROR(VLOOKUP(C221,PC!A$1:K$435,7,FALSE)&amp;" "&amp;VLOOKUP(C221,PC!A$1:K$435,6,FALSE),"")</x:f>
        <x:v/>
      </x:c>
      <x:c r="G221" s="120" t="str">
        <x:f>IFERROR(VLOOKUP(C221,PC!$A$1:$K$435,3,FALSE),"")</x:f>
        <x:v/>
      </x:c>
      <x:c r="H221" s="1" t="str">
        <x:f t="shared" si="3"/>
        <x:v>10.51.91.48</x:v>
      </x:c>
      <x:c r="J221" s="27"/>
      <x:c r="K221" s="1"/>
    </x:row>
    <x:row r="222" spans="1:11">
      <x:c r="A222" s="100"/>
      <x:c r="B222" s="118">
        <x:v>49</x:v>
      </x:c>
      <x:c r="C222" s="5" t="s">
        <x:v>1438</x:v>
      </x:c>
      <x:c r="D222" s="119" t="str">
        <x:f>IFERROR(VLOOKUP(C222,'정보화기기 명부'!A$2:B$138,2,FALSE),"")</x:f>
        <x:v/>
      </x:c>
      <x:c r="E222" s="120" t="str">
        <x:f>IFERROR(VLOOKUP(C222,PC!A$1:K$435,2,FALSE),"")</x:f>
        <x:v/>
      </x:c>
      <x:c r="F222" s="193" t="str">
        <x:f>IFERROR(VLOOKUP(C222,PC!A$1:K$435,7,FALSE)&amp;" "&amp;VLOOKUP(C222,PC!A$1:K$435,6,FALSE),"")</x:f>
        <x:v/>
      </x:c>
      <x:c r="G222" s="120" t="str">
        <x:f>IFERROR(VLOOKUP(C222,PC!$A$1:$K$435,3,FALSE),"")</x:f>
        <x:v/>
      </x:c>
      <x:c r="H222" s="1" t="str">
        <x:f t="shared" si="3"/>
        <x:v>10.51.91.49</x:v>
      </x:c>
      <x:c r="J222" s="27"/>
      <x:c r="K222" s="1"/>
    </x:row>
    <x:row r="223" spans="1:11">
      <x:c r="A223" s="100"/>
      <x:c r="B223" s="118">
        <x:v>50</x:v>
      </x:c>
      <x:c r="C223" s="5" t="s">
        <x:v>1438</x:v>
      </x:c>
      <x:c r="D223" s="119" t="str">
        <x:f>IFERROR(VLOOKUP(C223,'정보화기기 명부'!A$2:B$138,2,FALSE),"")</x:f>
        <x:v/>
      </x:c>
      <x:c r="E223" s="120" t="str">
        <x:f>IFERROR(VLOOKUP(C223,PC!A$1:K$435,2,FALSE),"")</x:f>
        <x:v/>
      </x:c>
      <x:c r="F223" s="193" t="str">
        <x:f>IFERROR(VLOOKUP(C223,PC!A$1:K$435,7,FALSE)&amp;" "&amp;VLOOKUP(C223,PC!A$1:K$435,6,FALSE),"")</x:f>
        <x:v/>
      </x:c>
      <x:c r="G223" s="120" t="str">
        <x:f>IFERROR(VLOOKUP(C223,PC!$A$1:$K$435,3,FALSE),"")</x:f>
        <x:v/>
      </x:c>
      <x:c r="H223" s="1" t="str">
        <x:f t="shared" si="3"/>
        <x:v>10.51.91.50</x:v>
      </x:c>
      <x:c r="J223" s="27"/>
      <x:c r="K223" s="1"/>
    </x:row>
    <x:row r="224" spans="1:11">
      <x:c r="A224" s="100"/>
      <x:c r="B224" s="118">
        <x:v>60</x:v>
      </x:c>
      <x:c r="C224" s="35" t="s">
        <x:v>2156</x:v>
      </x:c>
      <x:c r="D224" s="119" t="str">
        <x:f>IFERROR(VLOOKUP(C224,'정보화기기 명부'!A$2:B$138,2,FALSE),"")</x:f>
        <x:v/>
      </x:c>
      <x:c r="E224" s="120" t="str">
        <x:f>IFERROR(VLOOKUP(C224,PC!A$1:K$435,2,FALSE),"")</x:f>
        <x:v/>
      </x:c>
      <x:c r="F224" s="193" t="str">
        <x:f>IFERROR(VLOOKUP(C224,PC!A$1:K$435,7,FALSE)&amp;" "&amp;VLOOKUP(C224,PC!A$1:K$435,6,FALSE),"")</x:f>
        <x:v/>
      </x:c>
      <x:c r="G224" s="120" t="str">
        <x:f>IFERROR(VLOOKUP(C224,PC!$A$1:$K$435,3,FALSE),"")</x:f>
        <x:v/>
      </x:c>
      <x:c r="H224" s="1" t="str">
        <x:f t="shared" si="3"/>
        <x:v>10.51.91.60</x:v>
      </x:c>
      <x:c r="J224" s="27"/>
      <x:c r="K224" s="1"/>
    </x:row>
    <x:row r="225" spans="1:11">
      <x:c r="A225" s="100"/>
      <x:c r="B225" s="118">
        <x:v>61</x:v>
      </x:c>
      <x:c r="C225" s="35" t="s">
        <x:v>1438</x:v>
      </x:c>
      <x:c r="D225" s="119" t="str">
        <x:f>IFERROR(VLOOKUP(C225,'정보화기기 명부'!A$2:B$138,2,FALSE),"")</x:f>
        <x:v/>
      </x:c>
      <x:c r="E225" s="120" t="str">
        <x:f>IFERROR(VLOOKUP(C225,PC!A$1:K$435,2,FALSE),"")</x:f>
        <x:v/>
      </x:c>
      <x:c r="F225" s="193" t="str">
        <x:f>IFERROR(VLOOKUP(C225,PC!A$1:K$435,7,FALSE)&amp;" "&amp;VLOOKUP(C225,PC!A$1:K$435,6,FALSE),"")</x:f>
        <x:v/>
      </x:c>
      <x:c r="G225" s="120" t="str">
        <x:f>IFERROR(VLOOKUP(C225,PC!$A$1:$K$435,3,FALSE),"")</x:f>
        <x:v/>
      </x:c>
      <x:c r="H225" s="1" t="str">
        <x:f t="shared" si="3"/>
        <x:v>10.51.91.61</x:v>
      </x:c>
      <x:c r="J225" s="27"/>
      <x:c r="K225" s="1"/>
    </x:row>
    <x:row r="226" spans="1:11">
      <x:c r="A226" s="100"/>
      <x:c r="B226" s="118">
        <x:v>62</x:v>
      </x:c>
      <x:c r="C226" s="35" t="s">
        <x:v>1438</x:v>
      </x:c>
      <x:c r="D226" s="119" t="str">
        <x:f>IFERROR(VLOOKUP(C226,'정보화기기 명부'!A$2:B$138,2,FALSE),"")</x:f>
        <x:v/>
      </x:c>
      <x:c r="E226" s="120" t="str">
        <x:f>IFERROR(VLOOKUP(C226,PC!A$1:K$435,2,FALSE),"")</x:f>
        <x:v/>
      </x:c>
      <x:c r="F226" s="193" t="str">
        <x:f>IFERROR(VLOOKUP(C226,PC!A$1:K$435,7,FALSE)&amp;" "&amp;VLOOKUP(C226,PC!A$1:K$435,6,FALSE),"")</x:f>
        <x:v/>
      </x:c>
      <x:c r="G226" s="120" t="str">
        <x:f>IFERROR(VLOOKUP(C226,PC!$A$1:$K$435,3,FALSE),"")</x:f>
        <x:v/>
      </x:c>
      <x:c r="H226" s="1" t="str">
        <x:f t="shared" si="3"/>
        <x:v>10.51.91.62</x:v>
      </x:c>
      <x:c r="J226" s="27"/>
      <x:c r="K226" s="1"/>
    </x:row>
    <x:row r="227" spans="1:11">
      <x:c r="A227" s="100"/>
      <x:c r="B227" s="118">
        <x:v>63</x:v>
      </x:c>
      <x:c r="C227" s="35" t="s">
        <x:v>1438</x:v>
      </x:c>
      <x:c r="D227" s="119" t="str">
        <x:f>IFERROR(VLOOKUP(C227,'정보화기기 명부'!A$2:B$138,2,FALSE),"")</x:f>
        <x:v/>
      </x:c>
      <x:c r="E227" s="120" t="str">
        <x:f>IFERROR(VLOOKUP(C227,PC!A$1:K$435,2,FALSE),"")</x:f>
        <x:v/>
      </x:c>
      <x:c r="F227" s="193" t="str">
        <x:f>IFERROR(VLOOKUP(C227,PC!A$1:K$435,7,FALSE)&amp;" "&amp;VLOOKUP(C227,PC!A$1:K$435,6,FALSE),"")</x:f>
        <x:v/>
      </x:c>
      <x:c r="G227" s="120" t="str">
        <x:f>IFERROR(VLOOKUP(C227,PC!$A$1:$K$435,3,FALSE),"")</x:f>
        <x:v/>
      </x:c>
      <x:c r="H227" s="1" t="str">
        <x:f t="shared" si="3"/>
        <x:v>10.51.91.63</x:v>
      </x:c>
      <x:c r="J227" s="27"/>
      <x:c r="K227" s="1"/>
    </x:row>
    <x:row r="228" spans="1:11">
      <x:c r="A228" s="100"/>
      <x:c r="B228" s="118">
        <x:v>64</x:v>
      </x:c>
      <x:c r="C228" s="35" t="s">
        <x:v>1438</x:v>
      </x:c>
      <x:c r="D228" s="119" t="str">
        <x:f>IFERROR(VLOOKUP(C228,'정보화기기 명부'!A$2:B$138,2,FALSE),"")</x:f>
        <x:v/>
      </x:c>
      <x:c r="E228" s="120" t="str">
        <x:f>IFERROR(VLOOKUP(C228,PC!A$1:K$435,2,FALSE),"")</x:f>
        <x:v/>
      </x:c>
      <x:c r="F228" s="193" t="str">
        <x:f>IFERROR(VLOOKUP(C228,PC!A$1:K$435,7,FALSE)&amp;" "&amp;VLOOKUP(C228,PC!A$1:K$435,6,FALSE),"")</x:f>
        <x:v/>
      </x:c>
      <x:c r="G228" s="120" t="str">
        <x:f>IFERROR(VLOOKUP(C228,PC!$A$1:$K$435,3,FALSE),"")</x:f>
        <x:v/>
      </x:c>
      <x:c r="H228" s="1" t="str">
        <x:f t="shared" si="3"/>
        <x:v>10.51.91.64</x:v>
      </x:c>
      <x:c r="J228" s="27"/>
      <x:c r="K228" s="1"/>
    </x:row>
    <x:row r="229" spans="1:11">
      <x:c r="A229" s="100"/>
      <x:c r="B229" s="118">
        <x:v>65</x:v>
      </x:c>
      <x:c r="C229" s="35" t="s">
        <x:v>1438</x:v>
      </x:c>
      <x:c r="D229" s="119" t="str">
        <x:f>IFERROR(VLOOKUP(C229,'정보화기기 명부'!A$2:B$138,2,FALSE),"")</x:f>
        <x:v/>
      </x:c>
      <x:c r="E229" s="120" t="str">
        <x:f>IFERROR(VLOOKUP(C229,PC!A$1:K$435,2,FALSE),"")</x:f>
        <x:v/>
      </x:c>
      <x:c r="F229" s="193" t="str">
        <x:f>IFERROR(VLOOKUP(C229,PC!A$1:K$435,7,FALSE)&amp;" "&amp;VLOOKUP(C229,PC!A$1:K$435,6,FALSE),"")</x:f>
        <x:v/>
      </x:c>
      <x:c r="G229" s="120" t="str">
        <x:f>IFERROR(VLOOKUP(C229,PC!$A$1:$K$435,3,FALSE),"")</x:f>
        <x:v/>
      </x:c>
      <x:c r="H229" s="1" t="str">
        <x:f t="shared" si="3"/>
        <x:v>10.51.91.65</x:v>
      </x:c>
      <x:c r="J229" s="27"/>
      <x:c r="K229" s="1"/>
    </x:row>
    <x:row r="230" spans="1:11">
      <x:c r="A230" s="100"/>
      <x:c r="B230" s="118">
        <x:v>66</x:v>
      </x:c>
      <x:c r="C230" s="35" t="s">
        <x:v>1438</x:v>
      </x:c>
      <x:c r="D230" s="119" t="str">
        <x:f>IFERROR(VLOOKUP(C230,'정보화기기 명부'!A$2:B$138,2,FALSE),"")</x:f>
        <x:v/>
      </x:c>
      <x:c r="E230" s="120" t="str">
        <x:f>IFERROR(VLOOKUP(C230,PC!A$1:K$435,2,FALSE),"")</x:f>
        <x:v/>
      </x:c>
      <x:c r="F230" s="193" t="str">
        <x:f>IFERROR(VLOOKUP(C230,PC!A$1:K$435,7,FALSE)&amp;" "&amp;VLOOKUP(C230,PC!A$1:K$435,6,FALSE),"")</x:f>
        <x:v/>
      </x:c>
      <x:c r="G230" s="120" t="str">
        <x:f>IFERROR(VLOOKUP(C230,PC!$A$1:$K$435,3,FALSE),"")</x:f>
        <x:v/>
      </x:c>
      <x:c r="H230" s="1" t="str">
        <x:f t="shared" si="3"/>
        <x:v>10.51.91.66</x:v>
      </x:c>
      <x:c r="J230" s="27"/>
      <x:c r="K230" s="1"/>
    </x:row>
    <x:row r="231" spans="1:11">
      <x:c r="A231" s="100"/>
      <x:c r="B231" s="118">
        <x:v>67</x:v>
      </x:c>
      <x:c r="C231" s="35" t="s">
        <x:v>1438</x:v>
      </x:c>
      <x:c r="D231" s="119" t="str">
        <x:f>IFERROR(VLOOKUP(C231,'정보화기기 명부'!A$2:B$138,2,FALSE),"")</x:f>
        <x:v/>
      </x:c>
      <x:c r="E231" s="120" t="str">
        <x:f>IFERROR(VLOOKUP(C231,PC!A$1:K$435,2,FALSE),"")</x:f>
        <x:v/>
      </x:c>
      <x:c r="F231" s="193" t="str">
        <x:f>IFERROR(VLOOKUP(C231,PC!A$1:K$435,7,FALSE)&amp;" "&amp;VLOOKUP(C231,PC!A$1:K$435,6,FALSE),"")</x:f>
        <x:v/>
      </x:c>
      <x:c r="G231" s="120"/>
      <x:c r="H231" s="1" t="str">
        <x:f t="shared" si="3"/>
        <x:v>10.51.91.67</x:v>
      </x:c>
      <x:c r="J231" s="27"/>
      <x:c r="K231" s="1"/>
    </x:row>
    <x:row r="232" spans="1:11">
      <x:c r="A232" s="100"/>
      <x:c r="B232" s="118">
        <x:v>68</x:v>
      </x:c>
      <x:c r="C232" s="35" t="s">
        <x:v>1438</x:v>
      </x:c>
      <x:c r="D232" s="119" t="str">
        <x:f>IFERROR(VLOOKUP(C232,'정보화기기 명부'!A$2:B$138,2,FALSE),"")</x:f>
        <x:v/>
      </x:c>
      <x:c r="E232" s="120" t="str">
        <x:f>IFERROR(VLOOKUP(C232,PC!A$1:K$435,2,FALSE),"")</x:f>
        <x:v/>
      </x:c>
      <x:c r="F232" s="193" t="str">
        <x:f>IFERROR(VLOOKUP(C232,PC!A$1:K$435,7,FALSE)&amp;" "&amp;VLOOKUP(C232,PC!A$1:K$435,6,FALSE),"")</x:f>
        <x:v/>
      </x:c>
      <x:c r="G232" s="120"/>
      <x:c r="H232" s="1" t="str">
        <x:f t="shared" si="3"/>
        <x:v>10.51.91.68</x:v>
      </x:c>
      <x:c r="J232" s="27"/>
      <x:c r="K232" s="1"/>
    </x:row>
    <x:row r="233" spans="1:11">
      <x:c r="A233" s="100"/>
      <x:c r="B233" s="118">
        <x:v>69</x:v>
      </x:c>
      <x:c r="C233" s="35" t="s">
        <x:v>1438</x:v>
      </x:c>
      <x:c r="D233" s="119" t="str">
        <x:f>IFERROR(VLOOKUP(C233,'정보화기기 명부'!A$2:B$138,2,FALSE),"")</x:f>
        <x:v/>
      </x:c>
      <x:c r="E233" s="120" t="str">
        <x:f>IFERROR(VLOOKUP(C233,PC!A$1:K$435,2,FALSE),"")</x:f>
        <x:v/>
      </x:c>
      <x:c r="F233" s="193" t="str">
        <x:f>IFERROR(VLOOKUP(C233,PC!A$1:K$435,7,FALSE)&amp;" "&amp;VLOOKUP(C233,PC!A$1:K$435,6,FALSE),"")</x:f>
        <x:v/>
      </x:c>
      <x:c r="G233" s="120"/>
      <x:c r="H233" s="1" t="str">
        <x:f t="shared" si="3"/>
        <x:v>10.51.91.69</x:v>
      </x:c>
      <x:c r="J233" s="27"/>
      <x:c r="K233" s="1"/>
    </x:row>
    <x:row r="234" spans="1:11">
      <x:c r="A234" s="100"/>
      <x:c r="B234" s="118">
        <x:v>70</x:v>
      </x:c>
      <x:c r="C234" s="35" t="s">
        <x:v>1438</x:v>
      </x:c>
      <x:c r="D234" s="119" t="str">
        <x:f>IFERROR(VLOOKUP(C234,'정보화기기 명부'!A$2:B$138,2,FALSE),"")</x:f>
        <x:v/>
      </x:c>
      <x:c r="E234" s="120" t="str">
        <x:f>IFERROR(VLOOKUP(C234,PC!A$1:K$435,2,FALSE),"")</x:f>
        <x:v/>
      </x:c>
      <x:c r="F234" s="193" t="str">
        <x:f>IFERROR(VLOOKUP(C234,PC!A$1:K$435,7,FALSE)&amp;" "&amp;VLOOKUP(C234,PC!A$1:K$435,6,FALSE),"")</x:f>
        <x:v/>
      </x:c>
      <x:c r="G234" s="120"/>
      <x:c r="H234" s="1" t="str">
        <x:f t="shared" si="3"/>
        <x:v>10.51.91.70</x:v>
      </x:c>
      <x:c r="J234" s="27"/>
      <x:c r="K234" s="1"/>
    </x:row>
    <x:row r="235" spans="1:11">
      <x:c r="A235" s="100"/>
      <x:c r="B235" s="118">
        <x:v>71</x:v>
      </x:c>
      <x:c r="C235" s="35" t="s">
        <x:v>1438</x:v>
      </x:c>
      <x:c r="D235" s="119" t="str">
        <x:f>IFERROR(VLOOKUP(C235,'정보화기기 명부'!A$2:B$138,2,FALSE),"")</x:f>
        <x:v/>
      </x:c>
      <x:c r="E235" s="120" t="str">
        <x:f>IFERROR(VLOOKUP(C235,PC!A$1:K$435,2,FALSE),"")</x:f>
        <x:v/>
      </x:c>
      <x:c r="F235" s="193" t="str">
        <x:f>IFERROR(VLOOKUP(C235,PC!A$1:K$435,7,FALSE)&amp;" "&amp;VLOOKUP(C235,PC!A$1:K$435,6,FALSE),"")</x:f>
        <x:v/>
      </x:c>
      <x:c r="G235" s="120"/>
      <x:c r="H235" s="1" t="str">
        <x:f t="shared" si="3"/>
        <x:v>10.51.91.71</x:v>
      </x:c>
      <x:c r="J235" s="27"/>
      <x:c r="K235" s="1"/>
    </x:row>
    <x:row r="236" spans="1:11">
      <x:c r="A236" s="100"/>
      <x:c r="B236" s="118">
        <x:v>72</x:v>
      </x:c>
      <x:c r="C236" s="35" t="s">
        <x:v>1438</x:v>
      </x:c>
      <x:c r="D236" s="119" t="str">
        <x:f>IFERROR(VLOOKUP(C236,'정보화기기 명부'!A$2:B$138,2,FALSE),"")</x:f>
        <x:v/>
      </x:c>
      <x:c r="E236" s="120" t="str">
        <x:f>IFERROR(VLOOKUP(C236,PC!A$1:K$435,2,FALSE),"")</x:f>
        <x:v/>
      </x:c>
      <x:c r="F236" s="193" t="str">
        <x:f>IFERROR(VLOOKUP(C236,PC!A$1:K$435,7,FALSE)&amp;" "&amp;VLOOKUP(C236,PC!A$1:K$435,6,FALSE),"")</x:f>
        <x:v/>
      </x:c>
      <x:c r="G236" s="120"/>
      <x:c r="H236" s="1" t="str">
        <x:f t="shared" si="3"/>
        <x:v>10.51.91.72</x:v>
      </x:c>
      <x:c r="J236" s="27"/>
      <x:c r="K236" s="1"/>
    </x:row>
    <x:row r="237" spans="1:11">
      <x:c r="A237" s="100"/>
      <x:c r="B237" s="118">
        <x:v>73</x:v>
      </x:c>
      <x:c r="C237" s="35" t="s">
        <x:v>1438</x:v>
      </x:c>
      <x:c r="D237" s="119" t="str">
        <x:f>IFERROR(VLOOKUP(C237,'정보화기기 명부'!A$2:B$138,2,FALSE),"")</x:f>
        <x:v/>
      </x:c>
      <x:c r="E237" s="120" t="str">
        <x:f>IFERROR(VLOOKUP(C237,PC!A$1:K$435,2,FALSE),"")</x:f>
        <x:v/>
      </x:c>
      <x:c r="F237" s="193" t="str">
        <x:f>IFERROR(VLOOKUP(C237,PC!A$1:K$435,7,FALSE)&amp;" "&amp;VLOOKUP(C237,PC!A$1:K$435,6,FALSE),"")</x:f>
        <x:v/>
      </x:c>
      <x:c r="G237" s="120"/>
      <x:c r="H237" s="1" t="str">
        <x:f t="shared" si="3"/>
        <x:v>10.51.91.73</x:v>
      </x:c>
      <x:c r="J237" s="27"/>
      <x:c r="K237" s="1"/>
    </x:row>
    <x:row r="238" spans="1:11">
      <x:c r="A238" s="87"/>
      <x:c r="B238" s="118">
        <x:v>74</x:v>
      </x:c>
      <x:c r="C238" s="35" t="s">
        <x:v>1438</x:v>
      </x:c>
      <x:c r="D238" s="119" t="str">
        <x:f>IFERROR(VLOOKUP(C238,'정보화기기 명부'!A$2:B$138,2,FALSE),"")</x:f>
        <x:v/>
      </x:c>
      <x:c r="E238" s="120" t="str">
        <x:f>IFERROR(VLOOKUP(C238,PC!A$1:K$435,2,FALSE),"")</x:f>
        <x:v/>
      </x:c>
      <x:c r="F238" s="193" t="str">
        <x:f>IFERROR(VLOOKUP(C238,PC!A$1:K$435,7,FALSE)&amp;" "&amp;VLOOKUP(C238,PC!A$1:K$435,6,FALSE),"")</x:f>
        <x:v/>
      </x:c>
      <x:c r="G238" s="120"/>
      <x:c r="H238" s="1" t="str">
        <x:f t="shared" si="3"/>
        <x:v>10.51.91.74</x:v>
      </x:c>
      <x:c r="J238" s="27"/>
      <x:c r="K238" s="1"/>
    </x:row>
    <x:row r="239" spans="2:8">
      <x:c r="B239" s="118">
        <x:v>75</x:v>
      </x:c>
      <x:c r="C239" s="35" t="s">
        <x:v>1438</x:v>
      </x:c>
      <x:c r="D239" s="119" t="str">
        <x:f>IFERROR(VLOOKUP(C239,'정보화기기 명부'!A$2:B$138,2,FALSE),"")</x:f>
        <x:v/>
      </x:c>
      <x:c r="E239" s="120" t="str">
        <x:f>IFERROR(VLOOKUP(C239,PC!A$1:K$435,2,FALSE),"")</x:f>
        <x:v/>
      </x:c>
      <x:c r="F239" s="193" t="str">
        <x:f>IFERROR(VLOOKUP(C239,PC!A$1:K$435,7,FALSE)&amp;" "&amp;VLOOKUP(C239,PC!A$1:K$435,6,FALSE),"")</x:f>
        <x:v/>
      </x:c>
      <x:c r="G239" s="120"/>
      <x:c r="H239" s="1" t="str">
        <x:f t="shared" ref="H239:H302" si="4">$A$174&amp;B239</x:f>
        <x:v>10.51.91.75</x:v>
      </x:c>
    </x:row>
    <x:row r="240" spans="2:8">
      <x:c r="B240" s="118">
        <x:v>76</x:v>
      </x:c>
      <x:c r="C240" s="35" t="s">
        <x:v>1438</x:v>
      </x:c>
      <x:c r="D240" s="119" t="str">
        <x:f>IFERROR(VLOOKUP(C240,'정보화기기 명부'!A$2:B$138,2,FALSE),"")</x:f>
        <x:v/>
      </x:c>
      <x:c r="E240" s="120" t="str">
        <x:f>IFERROR(VLOOKUP(C240,PC!A$1:K$435,2,FALSE),"")</x:f>
        <x:v/>
      </x:c>
      <x:c r="F240" s="193" t="str">
        <x:f>IFERROR(VLOOKUP(C240,PC!A$1:K$435,7,FALSE)&amp;" "&amp;VLOOKUP(C240,PC!A$1:K$435,6,FALSE),"")</x:f>
        <x:v/>
      </x:c>
      <x:c r="G240" s="120"/>
      <x:c r="H240" s="1" t="str">
        <x:f t="shared" si="4"/>
        <x:v>10.51.91.76</x:v>
      </x:c>
    </x:row>
    <x:row r="241" spans="2:8">
      <x:c r="B241" s="118">
        <x:v>77</x:v>
      </x:c>
      <x:c r="C241" s="35" t="s">
        <x:v>1438</x:v>
      </x:c>
      <x:c r="D241" s="119" t="str">
        <x:f>IFERROR(VLOOKUP(C241,'정보화기기 명부'!A$2:B$138,2,FALSE),"")</x:f>
        <x:v/>
      </x:c>
      <x:c r="E241" s="120" t="str">
        <x:f>IFERROR(VLOOKUP(C241,PC!A$1:K$435,2,FALSE),"")</x:f>
        <x:v/>
      </x:c>
      <x:c r="F241" s="193" t="str">
        <x:f>IFERROR(VLOOKUP(C241,PC!A$1:K$435,7,FALSE)&amp;" "&amp;VLOOKUP(C241,PC!A$1:K$435,6,FALSE),"")</x:f>
        <x:v/>
      </x:c>
      <x:c r="G241" s="120"/>
      <x:c r="H241" s="1" t="str">
        <x:f t="shared" si="4"/>
        <x:v>10.51.91.77</x:v>
      </x:c>
    </x:row>
    <x:row r="242" spans="2:8">
      <x:c r="B242" s="118">
        <x:v>78</x:v>
      </x:c>
      <x:c r="C242" s="35" t="s">
        <x:v>1438</x:v>
      </x:c>
      <x:c r="D242" s="119" t="str">
        <x:f>IFERROR(VLOOKUP(C242,'정보화기기 명부'!A$2:B$138,2,FALSE),"")</x:f>
        <x:v/>
      </x:c>
      <x:c r="E242" s="120" t="str">
        <x:f>IFERROR(VLOOKUP(C242,PC!A$1:K$435,2,FALSE),"")</x:f>
        <x:v/>
      </x:c>
      <x:c r="F242" s="193" t="str">
        <x:f>IFERROR(VLOOKUP(C242,PC!A$1:K$435,7,FALSE)&amp;" "&amp;VLOOKUP(C242,PC!A$1:K$435,6,FALSE),"")</x:f>
        <x:v/>
      </x:c>
      <x:c r="G242" s="120"/>
      <x:c r="H242" s="1" t="str">
        <x:f t="shared" si="4"/>
        <x:v>10.51.91.78</x:v>
      </x:c>
    </x:row>
    <x:row r="243" spans="2:8">
      <x:c r="B243" s="118">
        <x:v>79</x:v>
      </x:c>
      <x:c r="C243" s="35" t="s">
        <x:v>1438</x:v>
      </x:c>
      <x:c r="D243" s="119" t="str">
        <x:f>IFERROR(VLOOKUP(C243,'정보화기기 명부'!A$2:B$138,2,FALSE),"")</x:f>
        <x:v/>
      </x:c>
      <x:c r="E243" s="120" t="str">
        <x:f>IFERROR(VLOOKUP(C243,PC!A$1:K$435,2,FALSE),"")</x:f>
        <x:v/>
      </x:c>
      <x:c r="F243" s="193" t="str">
        <x:f>IFERROR(VLOOKUP(C243,PC!A$1:K$435,7,FALSE)&amp;" "&amp;VLOOKUP(C243,PC!A$1:K$435,6,FALSE),"")</x:f>
        <x:v/>
      </x:c>
      <x:c r="G243" s="120"/>
      <x:c r="H243" s="1" t="str">
        <x:f t="shared" si="4"/>
        <x:v>10.51.91.79</x:v>
      </x:c>
    </x:row>
    <x:row r="244" spans="2:8">
      <x:c r="B244" s="118">
        <x:v>80</x:v>
      </x:c>
      <x:c r="C244" s="35" t="s">
        <x:v>1438</x:v>
      </x:c>
      <x:c r="D244" s="119" t="str">
        <x:f>IFERROR(VLOOKUP(C244,'정보화기기 명부'!A$2:B$138,2,FALSE),"")</x:f>
        <x:v/>
      </x:c>
      <x:c r="E244" s="120" t="str">
        <x:f>IFERROR(VLOOKUP(C244,PC!A$1:K$435,2,FALSE),"")</x:f>
        <x:v/>
      </x:c>
      <x:c r="F244" s="193" t="str">
        <x:f>IFERROR(VLOOKUP(C244,PC!A$1:K$435,7,FALSE)&amp;" "&amp;VLOOKUP(C244,PC!A$1:K$435,6,FALSE),"")</x:f>
        <x:v/>
      </x:c>
      <x:c r="G244" s="120"/>
      <x:c r="H244" s="1" t="str">
        <x:f t="shared" si="4"/>
        <x:v>10.51.91.80</x:v>
      </x:c>
    </x:row>
    <x:row r="245" spans="2:8">
      <x:c r="B245" s="118">
        <x:v>81</x:v>
      </x:c>
      <x:c r="C245" s="35" t="s">
        <x:v>1438</x:v>
      </x:c>
      <x:c r="D245" s="119" t="str">
        <x:f>IFERROR(VLOOKUP(C245,'정보화기기 명부'!A$2:B$138,2,FALSE),"")</x:f>
        <x:v/>
      </x:c>
      <x:c r="E245" s="120" t="str">
        <x:f>IFERROR(VLOOKUP(C245,PC!A$1:K$435,2,FALSE),"")</x:f>
        <x:v/>
      </x:c>
      <x:c r="F245" s="193" t="str">
        <x:f>IFERROR(VLOOKUP(C245,PC!A$1:K$435,7,FALSE)&amp;" "&amp;VLOOKUP(C245,PC!A$1:K$435,6,FALSE),"")</x:f>
        <x:v/>
      </x:c>
      <x:c r="G245" s="120"/>
      <x:c r="H245" s="1" t="str">
        <x:f t="shared" si="4"/>
        <x:v>10.51.91.81</x:v>
      </x:c>
    </x:row>
    <x:row r="246" spans="2:8">
      <x:c r="B246" s="118">
        <x:v>82</x:v>
      </x:c>
      <x:c r="C246" s="35" t="s">
        <x:v>1438</x:v>
      </x:c>
      <x:c r="D246" s="119" t="str">
        <x:f>IFERROR(VLOOKUP(C246,'정보화기기 명부'!A$2:B$138,2,FALSE),"")</x:f>
        <x:v/>
      </x:c>
      <x:c r="E246" s="120" t="str">
        <x:f>IFERROR(VLOOKUP(C246,PC!A$1:K$435,2,FALSE),"")</x:f>
        <x:v/>
      </x:c>
      <x:c r="F246" s="193" t="str">
        <x:f>IFERROR(VLOOKUP(C246,PC!A$1:K$435,7,FALSE)&amp;" "&amp;VLOOKUP(C246,PC!A$1:K$435,6,FALSE),"")</x:f>
        <x:v/>
      </x:c>
      <x:c r="G246" s="120"/>
      <x:c r="H246" s="1" t="str">
        <x:f t="shared" si="4"/>
        <x:v>10.51.91.82</x:v>
      </x:c>
    </x:row>
    <x:row r="247" spans="2:8">
      <x:c r="B247" s="118">
        <x:v>83</x:v>
      </x:c>
      <x:c r="C247" s="35" t="s">
        <x:v>1438</x:v>
      </x:c>
      <x:c r="D247" s="119" t="str">
        <x:f>IFERROR(VLOOKUP(C247,'정보화기기 명부'!A$2:B$138,2,FALSE),"")</x:f>
        <x:v/>
      </x:c>
      <x:c r="E247" s="120" t="str">
        <x:f>IFERROR(VLOOKUP(C247,PC!A$1:K$435,2,FALSE),"")</x:f>
        <x:v/>
      </x:c>
      <x:c r="F247" s="193" t="str">
        <x:f>IFERROR(VLOOKUP(C247,PC!A$1:K$435,7,FALSE)&amp;" "&amp;VLOOKUP(C247,PC!A$1:K$435,6,FALSE),"")</x:f>
        <x:v/>
      </x:c>
      <x:c r="G247" s="120"/>
      <x:c r="H247" s="1" t="str">
        <x:f t="shared" si="4"/>
        <x:v>10.51.91.83</x:v>
      </x:c>
    </x:row>
    <x:row r="248" spans="2:8">
      <x:c r="B248" s="118">
        <x:v>84</x:v>
      </x:c>
      <x:c r="C248" s="35" t="s">
        <x:v>1438</x:v>
      </x:c>
      <x:c r="D248" s="119" t="str">
        <x:f>IFERROR(VLOOKUP(C248,'정보화기기 명부'!A$2:B$138,2,FALSE),"")</x:f>
        <x:v/>
      </x:c>
      <x:c r="E248" s="120" t="str">
        <x:f>IFERROR(VLOOKUP(C248,PC!A$1:K$435,2,FALSE),"")</x:f>
        <x:v/>
      </x:c>
      <x:c r="F248" s="193" t="str">
        <x:f>IFERROR(VLOOKUP(C248,PC!A$1:K$435,7,FALSE)&amp;" "&amp;VLOOKUP(C248,PC!A$1:K$435,6,FALSE),"")</x:f>
        <x:v/>
      </x:c>
      <x:c r="G248" s="120"/>
      <x:c r="H248" s="1" t="str">
        <x:f t="shared" si="4"/>
        <x:v>10.51.91.84</x:v>
      </x:c>
    </x:row>
    <x:row r="249" spans="2:8">
      <x:c r="B249" s="118">
        <x:v>85</x:v>
      </x:c>
      <x:c r="C249" s="35" t="s">
        <x:v>1438</x:v>
      </x:c>
      <x:c r="D249" s="119" t="str">
        <x:f>IFERROR(VLOOKUP(C249,'정보화기기 명부'!A$2:B$138,2,FALSE),"")</x:f>
        <x:v/>
      </x:c>
      <x:c r="E249" s="120" t="str">
        <x:f>IFERROR(VLOOKUP(C249,PC!A$1:K$435,2,FALSE),"")</x:f>
        <x:v/>
      </x:c>
      <x:c r="F249" s="193" t="str">
        <x:f>IFERROR(VLOOKUP(C249,PC!A$1:K$435,7,FALSE)&amp;" "&amp;VLOOKUP(C249,PC!A$1:K$435,6,FALSE),"")</x:f>
        <x:v/>
      </x:c>
      <x:c r="G249" s="120"/>
      <x:c r="H249" s="1" t="str">
        <x:f t="shared" si="4"/>
        <x:v>10.51.91.85</x:v>
      </x:c>
    </x:row>
    <x:row r="250" spans="2:8">
      <x:c r="B250" s="118">
        <x:v>86</x:v>
      </x:c>
      <x:c r="C250" s="35" t="s">
        <x:v>1438</x:v>
      </x:c>
      <x:c r="D250" s="119" t="str">
        <x:f>IFERROR(VLOOKUP(C250,'정보화기기 명부'!A$2:B$138,2,FALSE),"")</x:f>
        <x:v/>
      </x:c>
      <x:c r="E250" s="120" t="str">
        <x:f>IFERROR(VLOOKUP(C250,PC!A$1:K$435,2,FALSE),"")</x:f>
        <x:v/>
      </x:c>
      <x:c r="F250" s="193" t="str">
        <x:f>IFERROR(VLOOKUP(C250,PC!A$1:K$435,7,FALSE)&amp;" "&amp;VLOOKUP(C250,PC!A$1:K$435,6,FALSE),"")</x:f>
        <x:v/>
      </x:c>
      <x:c r="G250" s="120"/>
      <x:c r="H250" s="1" t="str">
        <x:f t="shared" si="4"/>
        <x:v>10.51.91.86</x:v>
      </x:c>
    </x:row>
    <x:row r="251" spans="2:8">
      <x:c r="B251" s="118">
        <x:v>87</x:v>
      </x:c>
      <x:c r="C251" s="35" t="s">
        <x:v>1438</x:v>
      </x:c>
      <x:c r="D251" s="119" t="str">
        <x:f>IFERROR(VLOOKUP(C251,'정보화기기 명부'!A$2:B$138,2,FALSE),"")</x:f>
        <x:v/>
      </x:c>
      <x:c r="E251" s="120" t="str">
        <x:f>IFERROR(VLOOKUP(C251,PC!A$1:K$435,2,FALSE),"")</x:f>
        <x:v/>
      </x:c>
      <x:c r="F251" s="193" t="str">
        <x:f>IFERROR(VLOOKUP(C251,PC!A$1:K$435,7,FALSE)&amp;" "&amp;VLOOKUP(C251,PC!A$1:K$435,6,FALSE),"")</x:f>
        <x:v/>
      </x:c>
      <x:c r="G251" s="120"/>
      <x:c r="H251" s="1" t="str">
        <x:f t="shared" si="4"/>
        <x:v>10.51.91.87</x:v>
      </x:c>
    </x:row>
    <x:row r="252" spans="2:8">
      <x:c r="B252" s="118">
        <x:v>88</x:v>
      </x:c>
      <x:c r="C252" s="35" t="s">
        <x:v>1438</x:v>
      </x:c>
      <x:c r="D252" s="119" t="str">
        <x:f>IFERROR(VLOOKUP(C252,'정보화기기 명부'!A$2:B$138,2,FALSE),"")</x:f>
        <x:v/>
      </x:c>
      <x:c r="E252" s="120" t="str">
        <x:f>IFERROR(VLOOKUP(C252,PC!A$1:K$435,2,FALSE),"")</x:f>
        <x:v/>
      </x:c>
      <x:c r="F252" s="193" t="str">
        <x:f>IFERROR(VLOOKUP(C252,PC!A$1:K$435,7,FALSE)&amp;" "&amp;VLOOKUP(C252,PC!A$1:K$435,6,FALSE),"")</x:f>
        <x:v/>
      </x:c>
      <x:c r="G252" s="120"/>
      <x:c r="H252" s="1" t="str">
        <x:f t="shared" si="4"/>
        <x:v>10.51.91.88</x:v>
      </x:c>
    </x:row>
    <x:row r="253" spans="2:8">
      <x:c r="B253" s="118">
        <x:v>89</x:v>
      </x:c>
      <x:c r="C253" s="35" t="s">
        <x:v>1438</x:v>
      </x:c>
      <x:c r="D253" s="119" t="str">
        <x:f>IFERROR(VLOOKUP(C253,'정보화기기 명부'!A$2:B$138,2,FALSE),"")</x:f>
        <x:v/>
      </x:c>
      <x:c r="E253" s="120" t="str">
        <x:f>IFERROR(VLOOKUP(C253,PC!A$1:K$435,2,FALSE),"")</x:f>
        <x:v/>
      </x:c>
      <x:c r="F253" s="193" t="str">
        <x:f>IFERROR(VLOOKUP(C253,PC!A$1:K$435,7,FALSE)&amp;" "&amp;VLOOKUP(C253,PC!A$1:K$435,6,FALSE),"")</x:f>
        <x:v/>
      </x:c>
      <x:c r="G253" s="120"/>
      <x:c r="H253" s="1" t="str">
        <x:f t="shared" si="4"/>
        <x:v>10.51.91.89</x:v>
      </x:c>
    </x:row>
    <x:row r="254" spans="2:8">
      <x:c r="B254" s="118">
        <x:v>90</x:v>
      </x:c>
      <x:c r="C254" s="35" t="s">
        <x:v>1438</x:v>
      </x:c>
      <x:c r="D254" s="119" t="str">
        <x:f>IFERROR(VLOOKUP(C254,'정보화기기 명부'!A$2:B$138,2,FALSE),"")</x:f>
        <x:v/>
      </x:c>
      <x:c r="E254" s="120" t="str">
        <x:f>IFERROR(VLOOKUP(C254,PC!A$1:K$435,2,FALSE),"")</x:f>
        <x:v/>
      </x:c>
      <x:c r="F254" s="193" t="str">
        <x:f>IFERROR(VLOOKUP(C254,PC!A$1:K$435,7,FALSE)&amp;" "&amp;VLOOKUP(C254,PC!A$1:K$435,6,FALSE),"")</x:f>
        <x:v/>
      </x:c>
      <x:c r="G254" s="120"/>
      <x:c r="H254" s="1" t="str">
        <x:f t="shared" si="4"/>
        <x:v>10.51.91.90</x:v>
      </x:c>
    </x:row>
    <x:row r="255" spans="2:8">
      <x:c r="B255" s="118">
        <x:v>91</x:v>
      </x:c>
      <x:c r="C255" s="35" t="s">
        <x:v>1438</x:v>
      </x:c>
      <x:c r="D255" s="119" t="str">
        <x:f>IFERROR(VLOOKUP(C255,'정보화기기 명부'!A$2:B$138,2,FALSE),"")</x:f>
        <x:v/>
      </x:c>
      <x:c r="E255" s="120" t="str">
        <x:f>IFERROR(VLOOKUP(C255,PC!A$1:K$435,2,FALSE),"")</x:f>
        <x:v/>
      </x:c>
      <x:c r="F255" s="193" t="str">
        <x:f>IFERROR(VLOOKUP(C255,PC!A$1:K$435,7,FALSE)&amp;" "&amp;VLOOKUP(C255,PC!A$1:K$435,6,FALSE),"")</x:f>
        <x:v/>
      </x:c>
      <x:c r="G255" s="120"/>
      <x:c r="H255" s="1" t="str">
        <x:f t="shared" si="4"/>
        <x:v>10.51.91.91</x:v>
      </x:c>
    </x:row>
    <x:row r="256" spans="2:8">
      <x:c r="B256" s="118">
        <x:v>92</x:v>
      </x:c>
      <x:c r="C256" s="35" t="s">
        <x:v>1438</x:v>
      </x:c>
      <x:c r="D256" s="119" t="str">
        <x:f>IFERROR(VLOOKUP(C256,'정보화기기 명부'!A$2:B$138,2,FALSE),"")</x:f>
        <x:v/>
      </x:c>
      <x:c r="E256" s="120" t="str">
        <x:f>IFERROR(VLOOKUP(C256,PC!A$1:K$435,2,FALSE),"")</x:f>
        <x:v/>
      </x:c>
      <x:c r="F256" s="193" t="str">
        <x:f>IFERROR(VLOOKUP(C256,PC!A$1:K$435,7,FALSE)&amp;" "&amp;VLOOKUP(C256,PC!A$1:K$435,6,FALSE),"")</x:f>
        <x:v/>
      </x:c>
      <x:c r="G256" s="120"/>
      <x:c r="H256" s="1" t="str">
        <x:f t="shared" si="4"/>
        <x:v>10.51.91.92</x:v>
      </x:c>
    </x:row>
    <x:row r="257" spans="2:8">
      <x:c r="B257" s="118">
        <x:v>93</x:v>
      </x:c>
      <x:c r="C257" s="35" t="s">
        <x:v>1438</x:v>
      </x:c>
      <x:c r="D257" s="119" t="str">
        <x:f>IFERROR(VLOOKUP(C257,'정보화기기 명부'!A$2:B$138,2,FALSE),"")</x:f>
        <x:v/>
      </x:c>
      <x:c r="E257" s="120" t="str">
        <x:f>IFERROR(VLOOKUP(C257,PC!A$1:K$435,2,FALSE),"")</x:f>
        <x:v/>
      </x:c>
      <x:c r="F257" s="193" t="str">
        <x:f>IFERROR(VLOOKUP(C257,PC!A$1:K$435,7,FALSE)&amp;" "&amp;VLOOKUP(C257,PC!A$1:K$435,6,FALSE),"")</x:f>
        <x:v/>
      </x:c>
      <x:c r="G257" s="120"/>
      <x:c r="H257" s="1" t="str">
        <x:f t="shared" si="4"/>
        <x:v>10.51.91.93</x:v>
      </x:c>
    </x:row>
    <x:row r="258" spans="2:8">
      <x:c r="B258" s="118">
        <x:v>94</x:v>
      </x:c>
      <x:c r="C258" s="35" t="s">
        <x:v>1438</x:v>
      </x:c>
      <x:c r="D258" s="119" t="str">
        <x:f>IFERROR(VLOOKUP(C258,'정보화기기 명부'!A$2:B$138,2,FALSE),"")</x:f>
        <x:v/>
      </x:c>
      <x:c r="E258" s="120" t="str">
        <x:f>IFERROR(VLOOKUP(C258,PC!A$1:K$435,2,FALSE),"")</x:f>
        <x:v/>
      </x:c>
      <x:c r="F258" s="193" t="str">
        <x:f>IFERROR(VLOOKUP(C258,PC!A$1:K$435,7,FALSE)&amp;" "&amp;VLOOKUP(C258,PC!A$1:K$435,6,FALSE),"")</x:f>
        <x:v/>
      </x:c>
      <x:c r="G258" s="120"/>
      <x:c r="H258" s="1" t="str">
        <x:f t="shared" si="4"/>
        <x:v>10.51.91.94</x:v>
      </x:c>
    </x:row>
    <x:row r="259" spans="2:8">
      <x:c r="B259" s="118">
        <x:v>95</x:v>
      </x:c>
      <x:c r="C259" s="35" t="s">
        <x:v>1438</x:v>
      </x:c>
      <x:c r="D259" s="119" t="str">
        <x:f>IFERROR(VLOOKUP(C259,'정보화기기 명부'!A$2:B$138,2,FALSE),"")</x:f>
        <x:v/>
      </x:c>
      <x:c r="E259" s="120" t="str">
        <x:f>IFERROR(VLOOKUP(C259,PC!A$1:K$435,2,FALSE),"")</x:f>
        <x:v/>
      </x:c>
      <x:c r="F259" s="193" t="str">
        <x:f>IFERROR(VLOOKUP(C259,PC!A$1:K$435,7,FALSE)&amp;" "&amp;VLOOKUP(C259,PC!A$1:K$435,6,FALSE),"")</x:f>
        <x:v/>
      </x:c>
      <x:c r="G259" s="120"/>
      <x:c r="H259" s="1" t="str">
        <x:f t="shared" si="4"/>
        <x:v>10.51.91.95</x:v>
      </x:c>
    </x:row>
    <x:row r="260" spans="2:8">
      <x:c r="B260" s="118">
        <x:v>96</x:v>
      </x:c>
      <x:c r="C260" s="35" t="s">
        <x:v>1438</x:v>
      </x:c>
      <x:c r="D260" s="119" t="str">
        <x:f>IFERROR(VLOOKUP(C260,'정보화기기 명부'!A$2:B$138,2,FALSE),"")</x:f>
        <x:v/>
      </x:c>
      <x:c r="E260" s="120" t="str">
        <x:f>IFERROR(VLOOKUP(C260,PC!A$1:K$435,2,FALSE),"")</x:f>
        <x:v/>
      </x:c>
      <x:c r="F260" s="193" t="str">
        <x:f>IFERROR(VLOOKUP(C260,PC!A$1:K$435,7,FALSE)&amp;" "&amp;VLOOKUP(C260,PC!A$1:K$435,6,FALSE),"")</x:f>
        <x:v/>
      </x:c>
      <x:c r="G260" s="120"/>
      <x:c r="H260" s="1" t="str">
        <x:f t="shared" si="4"/>
        <x:v>10.51.91.96</x:v>
      </x:c>
    </x:row>
    <x:row r="261" spans="2:8">
      <x:c r="B261" s="118">
        <x:v>97</x:v>
      </x:c>
      <x:c r="C261" s="35" t="s">
        <x:v>1438</x:v>
      </x:c>
      <x:c r="D261" s="119" t="str">
        <x:f>IFERROR(VLOOKUP(C261,'정보화기기 명부'!A$2:B$138,2,FALSE),"")</x:f>
        <x:v/>
      </x:c>
      <x:c r="E261" s="120" t="str">
        <x:f>IFERROR(VLOOKUP(C261,PC!A$1:K$435,2,FALSE),"")</x:f>
        <x:v/>
      </x:c>
      <x:c r="F261" s="193" t="str">
        <x:f>IFERROR(VLOOKUP(C261,PC!A$1:K$435,7,FALSE)&amp;" "&amp;VLOOKUP(C261,PC!A$1:K$435,6,FALSE),"")</x:f>
        <x:v/>
      </x:c>
      <x:c r="G261" s="120"/>
      <x:c r="H261" s="1" t="str">
        <x:f t="shared" si="4"/>
        <x:v>10.51.91.97</x:v>
      </x:c>
    </x:row>
    <x:row r="262" spans="2:8">
      <x:c r="B262" s="118">
        <x:v>98</x:v>
      </x:c>
      <x:c r="C262" s="35" t="s">
        <x:v>1438</x:v>
      </x:c>
      <x:c r="D262" s="119" t="str">
        <x:f>IFERROR(VLOOKUP(C262,'정보화기기 명부'!A$2:B$138,2,FALSE),"")</x:f>
        <x:v/>
      </x:c>
      <x:c r="E262" s="120" t="str">
        <x:f>IFERROR(VLOOKUP(C262,PC!A$1:K$435,2,FALSE),"")</x:f>
        <x:v/>
      </x:c>
      <x:c r="F262" s="193" t="str">
        <x:f>IFERROR(VLOOKUP(C262,PC!A$1:K$435,7,FALSE)&amp;" "&amp;VLOOKUP(C262,PC!A$1:K$435,6,FALSE),"")</x:f>
        <x:v/>
      </x:c>
      <x:c r="G262" s="120"/>
      <x:c r="H262" s="1" t="str">
        <x:f t="shared" si="4"/>
        <x:v>10.51.91.98</x:v>
      </x:c>
    </x:row>
    <x:row r="263" spans="2:8">
      <x:c r="B263" s="118">
        <x:v>99</x:v>
      </x:c>
      <x:c r="C263" s="35" t="s">
        <x:v>1438</x:v>
      </x:c>
      <x:c r="D263" s="119" t="str">
        <x:f>IFERROR(VLOOKUP(C263,'정보화기기 명부'!A$2:B$138,2,FALSE),"")</x:f>
        <x:v/>
      </x:c>
      <x:c r="E263" s="120" t="str">
        <x:f>IFERROR(VLOOKUP(C263,PC!A$1:K$435,2,FALSE),"")</x:f>
        <x:v/>
      </x:c>
      <x:c r="F263" s="193" t="str">
        <x:f>IFERROR(VLOOKUP(C263,PC!A$1:K$435,7,FALSE)&amp;" "&amp;VLOOKUP(C263,PC!A$1:K$435,6,FALSE),"")</x:f>
        <x:v/>
      </x:c>
      <x:c r="G263" s="120"/>
      <x:c r="H263" s="1" t="str">
        <x:f t="shared" si="4"/>
        <x:v>10.51.91.99</x:v>
      </x:c>
    </x:row>
    <x:row r="264" spans="2:8">
      <x:c r="B264" s="118">
        <x:v>100</x:v>
      </x:c>
      <x:c r="C264" s="35" t="s">
        <x:v>1438</x:v>
      </x:c>
      <x:c r="D264" s="119" t="str">
        <x:f>IFERROR(VLOOKUP(C264,'정보화기기 명부'!A$2:B$138,2,FALSE),"")</x:f>
        <x:v/>
      </x:c>
      <x:c r="E264" s="120" t="str">
        <x:f>IFERROR(VLOOKUP(C264,PC!A$1:K$435,2,FALSE),"")</x:f>
        <x:v/>
      </x:c>
      <x:c r="F264" s="193" t="str">
        <x:f>IFERROR(VLOOKUP(C264,PC!A$1:K$435,7,FALSE)&amp;" "&amp;VLOOKUP(C264,PC!A$1:K$435,6,FALSE),"")</x:f>
        <x:v/>
      </x:c>
      <x:c r="G264" s="120"/>
      <x:c r="H264" s="1" t="str">
        <x:f t="shared" si="4"/>
        <x:v>10.51.91.100</x:v>
      </x:c>
    </x:row>
    <x:row r="265" spans="2:8">
      <x:c r="B265" s="118">
        <x:v>101</x:v>
      </x:c>
      <x:c r="C265" s="35" t="s">
        <x:v>1438</x:v>
      </x:c>
      <x:c r="D265" s="119" t="str">
        <x:f>IFERROR(VLOOKUP(C265,'정보화기기 명부'!A$2:B$138,2,FALSE),"")</x:f>
        <x:v/>
      </x:c>
      <x:c r="E265" s="120" t="str">
        <x:f>IFERROR(VLOOKUP(C265,PC!A$1:K$435,2,FALSE),"")</x:f>
        <x:v/>
      </x:c>
      <x:c r="F265" s="193" t="str">
        <x:f>IFERROR(VLOOKUP(C265,PC!A$1:K$435,7,FALSE)&amp;" "&amp;VLOOKUP(C265,PC!A$1:K$435,6,FALSE),"")</x:f>
        <x:v/>
      </x:c>
      <x:c r="G265" s="120"/>
      <x:c r="H265" s="1" t="str">
        <x:f t="shared" si="4"/>
        <x:v>10.51.91.101</x:v>
      </x:c>
    </x:row>
    <x:row r="266" spans="2:8">
      <x:c r="B266" s="118">
        <x:v>102</x:v>
      </x:c>
      <x:c r="C266" s="35" t="s">
        <x:v>1438</x:v>
      </x:c>
      <x:c r="D266" s="119" t="str">
        <x:f>IFERROR(VLOOKUP(C266,'정보화기기 명부'!A$2:B$138,2,FALSE),"")</x:f>
        <x:v/>
      </x:c>
      <x:c r="E266" s="120" t="str">
        <x:f>IFERROR(VLOOKUP(C266,PC!A$1:K$435,2,FALSE),"")</x:f>
        <x:v/>
      </x:c>
      <x:c r="F266" s="193" t="str">
        <x:f>IFERROR(VLOOKUP(C266,PC!A$1:K$435,7,FALSE)&amp;" "&amp;VLOOKUP(C266,PC!A$1:K$435,6,FALSE),"")</x:f>
        <x:v/>
      </x:c>
      <x:c r="G266" s="120"/>
      <x:c r="H266" s="1" t="str">
        <x:f t="shared" si="4"/>
        <x:v>10.51.91.102</x:v>
      </x:c>
    </x:row>
    <x:row r="267" spans="2:8">
      <x:c r="B267" s="118">
        <x:v>103</x:v>
      </x:c>
      <x:c r="C267" s="35" t="s">
        <x:v>1438</x:v>
      </x:c>
      <x:c r="D267" s="119" t="str">
        <x:f>IFERROR(VLOOKUP(C267,'정보화기기 명부'!A$2:B$138,2,FALSE),"")</x:f>
        <x:v/>
      </x:c>
      <x:c r="E267" s="120" t="str">
        <x:f>IFERROR(VLOOKUP(C267,PC!A$1:K$435,2,FALSE),"")</x:f>
        <x:v/>
      </x:c>
      <x:c r="F267" s="193" t="str">
        <x:f>IFERROR(VLOOKUP(C267,PC!A$1:K$435,7,FALSE)&amp;" "&amp;VLOOKUP(C267,PC!A$1:K$435,6,FALSE),"")</x:f>
        <x:v/>
      </x:c>
      <x:c r="G267" s="120"/>
      <x:c r="H267" s="1" t="str">
        <x:f t="shared" si="4"/>
        <x:v>10.51.91.103</x:v>
      </x:c>
    </x:row>
    <x:row r="268" spans="2:8">
      <x:c r="B268" s="118">
        <x:v>104</x:v>
      </x:c>
      <x:c r="C268" s="35" t="s">
        <x:v>1438</x:v>
      </x:c>
      <x:c r="D268" s="119" t="str">
        <x:f>IFERROR(VLOOKUP(C268,'정보화기기 명부'!A$2:B$138,2,FALSE),"")</x:f>
        <x:v/>
      </x:c>
      <x:c r="E268" s="120" t="str">
        <x:f>IFERROR(VLOOKUP(C268,PC!A$1:K$435,2,FALSE),"")</x:f>
        <x:v/>
      </x:c>
      <x:c r="F268" s="193" t="str">
        <x:f>IFERROR(VLOOKUP(C268,PC!A$1:K$435,7,FALSE)&amp;" "&amp;VLOOKUP(C268,PC!A$1:K$435,6,FALSE),"")</x:f>
        <x:v/>
      </x:c>
      <x:c r="G268" s="120"/>
      <x:c r="H268" s="1" t="str">
        <x:f t="shared" si="4"/>
        <x:v>10.51.91.104</x:v>
      </x:c>
    </x:row>
    <x:row r="269" spans="2:8">
      <x:c r="B269" s="118">
        <x:v>105</x:v>
      </x:c>
      <x:c r="C269" s="35" t="s">
        <x:v>1438</x:v>
      </x:c>
      <x:c r="D269" s="119" t="str">
        <x:f>IFERROR(VLOOKUP(C269,'정보화기기 명부'!A$2:B$138,2,FALSE),"")</x:f>
        <x:v/>
      </x:c>
      <x:c r="E269" s="120" t="str">
        <x:f>IFERROR(VLOOKUP(C269,PC!A$1:K$435,2,FALSE),"")</x:f>
        <x:v/>
      </x:c>
      <x:c r="F269" s="193" t="str">
        <x:f>IFERROR(VLOOKUP(C269,PC!A$1:K$435,7,FALSE)&amp;" "&amp;VLOOKUP(C269,PC!A$1:K$435,6,FALSE),"")</x:f>
        <x:v/>
      </x:c>
      <x:c r="G269" s="120"/>
      <x:c r="H269" s="1" t="str">
        <x:f t="shared" si="4"/>
        <x:v>10.51.91.105</x:v>
      </x:c>
    </x:row>
    <x:row r="270" spans="2:8">
      <x:c r="B270" s="118">
        <x:v>106</x:v>
      </x:c>
      <x:c r="C270" s="35" t="s">
        <x:v>1438</x:v>
      </x:c>
      <x:c r="D270" s="119" t="str">
        <x:f>IFERROR(VLOOKUP(C270,'정보화기기 명부'!A$2:B$138,2,FALSE),"")</x:f>
        <x:v/>
      </x:c>
      <x:c r="E270" s="120" t="str">
        <x:f>IFERROR(VLOOKUP(C270,PC!A$1:K$435,2,FALSE),"")</x:f>
        <x:v/>
      </x:c>
      <x:c r="F270" s="193" t="str">
        <x:f>IFERROR(VLOOKUP(C270,PC!A$1:K$435,7,FALSE)&amp;" "&amp;VLOOKUP(C270,PC!A$1:K$435,6,FALSE),"")</x:f>
        <x:v/>
      </x:c>
      <x:c r="G270" s="120"/>
      <x:c r="H270" s="1" t="str">
        <x:f t="shared" si="4"/>
        <x:v>10.51.91.106</x:v>
      </x:c>
    </x:row>
    <x:row r="271" spans="2:8">
      <x:c r="B271" s="118">
        <x:v>107</x:v>
      </x:c>
      <x:c r="C271" s="35" t="s">
        <x:v>1438</x:v>
      </x:c>
      <x:c r="D271" s="119" t="str">
        <x:f>IFERROR(VLOOKUP(C271,'정보화기기 명부'!A$2:B$138,2,FALSE),"")</x:f>
        <x:v/>
      </x:c>
      <x:c r="E271" s="120" t="str">
        <x:f>IFERROR(VLOOKUP(C271,PC!A$1:K$435,2,FALSE),"")</x:f>
        <x:v/>
      </x:c>
      <x:c r="F271" s="193" t="str">
        <x:f>IFERROR(VLOOKUP(C271,PC!A$1:K$435,7,FALSE)&amp;" "&amp;VLOOKUP(C271,PC!A$1:K$435,6,FALSE),"")</x:f>
        <x:v/>
      </x:c>
      <x:c r="G271" s="120"/>
      <x:c r="H271" s="1" t="str">
        <x:f t="shared" si="4"/>
        <x:v>10.51.91.107</x:v>
      </x:c>
    </x:row>
    <x:row r="272" spans="2:8">
      <x:c r="B272" s="118">
        <x:v>108</x:v>
      </x:c>
      <x:c r="C272" s="35" t="s">
        <x:v>1438</x:v>
      </x:c>
      <x:c r="D272" s="119" t="str">
        <x:f>IFERROR(VLOOKUP(C272,'정보화기기 명부'!A$2:B$138,2,FALSE),"")</x:f>
        <x:v/>
      </x:c>
      <x:c r="E272" s="120" t="str">
        <x:f>IFERROR(VLOOKUP(C272,PC!A$1:K$435,2,FALSE),"")</x:f>
        <x:v/>
      </x:c>
      <x:c r="F272" s="193" t="str">
        <x:f>IFERROR(VLOOKUP(C272,PC!A$1:K$435,7,FALSE)&amp;" "&amp;VLOOKUP(C272,PC!A$1:K$435,6,FALSE),"")</x:f>
        <x:v/>
      </x:c>
      <x:c r="G272" s="120"/>
      <x:c r="H272" s="1" t="str">
        <x:f t="shared" si="4"/>
        <x:v>10.51.91.108</x:v>
      </x:c>
    </x:row>
    <x:row r="273" spans="2:8">
      <x:c r="B273" s="118">
        <x:v>109</x:v>
      </x:c>
      <x:c r="C273" s="35" t="s">
        <x:v>1438</x:v>
      </x:c>
      <x:c r="D273" s="119" t="str">
        <x:f>IFERROR(VLOOKUP(C273,'정보화기기 명부'!A$2:B$138,2,FALSE),"")</x:f>
        <x:v/>
      </x:c>
      <x:c r="E273" s="120" t="str">
        <x:f>IFERROR(VLOOKUP(C273,PC!A$1:K$435,2,FALSE),"")</x:f>
        <x:v/>
      </x:c>
      <x:c r="F273" s="193" t="str">
        <x:f>IFERROR(VLOOKUP(C273,PC!A$1:K$435,7,FALSE)&amp;" "&amp;VLOOKUP(C273,PC!A$1:K$435,6,FALSE),"")</x:f>
        <x:v/>
      </x:c>
      <x:c r="G273" s="120"/>
      <x:c r="H273" s="1" t="str">
        <x:f t="shared" si="4"/>
        <x:v>10.51.91.109</x:v>
      </x:c>
    </x:row>
    <x:row r="274" spans="2:8">
      <x:c r="B274" s="118">
        <x:v>110</x:v>
      </x:c>
      <x:c r="C274" s="35" t="s">
        <x:v>1438</x:v>
      </x:c>
      <x:c r="D274" s="119" t="str">
        <x:f>IFERROR(VLOOKUP(C274,'정보화기기 명부'!A$2:B$138,2,FALSE),"")</x:f>
        <x:v/>
      </x:c>
      <x:c r="E274" s="120" t="str">
        <x:f>IFERROR(VLOOKUP(C274,PC!A$1:K$435,2,FALSE),"")</x:f>
        <x:v/>
      </x:c>
      <x:c r="F274" s="193" t="str">
        <x:f>IFERROR(VLOOKUP(C274,PC!A$1:K$435,7,FALSE)&amp;" "&amp;VLOOKUP(C274,PC!A$1:K$435,6,FALSE),"")</x:f>
        <x:v/>
      </x:c>
      <x:c r="G274" s="120"/>
      <x:c r="H274" s="1" t="str">
        <x:f t="shared" si="4"/>
        <x:v>10.51.91.110</x:v>
      </x:c>
    </x:row>
    <x:row r="275" spans="2:8">
      <x:c r="B275" s="118">
        <x:v>111</x:v>
      </x:c>
      <x:c r="C275" s="35" t="s">
        <x:v>1438</x:v>
      </x:c>
      <x:c r="D275" s="119" t="str">
        <x:f>IFERROR(VLOOKUP(C275,'정보화기기 명부'!A$2:B$138,2,FALSE),"")</x:f>
        <x:v/>
      </x:c>
      <x:c r="E275" s="120" t="str">
        <x:f>IFERROR(VLOOKUP(C275,PC!A$1:K$435,2,FALSE),"")</x:f>
        <x:v/>
      </x:c>
      <x:c r="F275" s="193" t="str">
        <x:f>IFERROR(VLOOKUP(C275,PC!A$1:K$435,7,FALSE)&amp;" "&amp;VLOOKUP(C275,PC!A$1:K$435,6,FALSE),"")</x:f>
        <x:v/>
      </x:c>
      <x:c r="G275" s="120"/>
      <x:c r="H275" s="1" t="str">
        <x:f t="shared" si="4"/>
        <x:v>10.51.91.111</x:v>
      </x:c>
    </x:row>
    <x:row r="276" spans="2:8">
      <x:c r="B276" s="118">
        <x:v>112</x:v>
      </x:c>
      <x:c r="C276" s="35" t="s">
        <x:v>1438</x:v>
      </x:c>
      <x:c r="D276" s="119" t="str">
        <x:f>IFERROR(VLOOKUP(C276,'정보화기기 명부'!A$2:B$138,2,FALSE),"")</x:f>
        <x:v/>
      </x:c>
      <x:c r="E276" s="120" t="str">
        <x:f>IFERROR(VLOOKUP(C276,PC!A$1:K$435,2,FALSE),"")</x:f>
        <x:v/>
      </x:c>
      <x:c r="F276" s="193" t="str">
        <x:f>IFERROR(VLOOKUP(C276,PC!A$1:K$435,7,FALSE)&amp;" "&amp;VLOOKUP(C276,PC!A$1:K$435,6,FALSE),"")</x:f>
        <x:v/>
      </x:c>
      <x:c r="G276" s="120"/>
      <x:c r="H276" s="1" t="str">
        <x:f t="shared" si="4"/>
        <x:v>10.51.91.112</x:v>
      </x:c>
    </x:row>
    <x:row r="277" spans="2:8">
      <x:c r="B277" s="118">
        <x:v>113</x:v>
      </x:c>
      <x:c r="C277" s="35" t="s">
        <x:v>1438</x:v>
      </x:c>
      <x:c r="D277" s="119" t="str">
        <x:f>IFERROR(VLOOKUP(C277,'정보화기기 명부'!A$2:B$138,2,FALSE),"")</x:f>
        <x:v/>
      </x:c>
      <x:c r="E277" s="120" t="str">
        <x:f>IFERROR(VLOOKUP(C277,PC!A$1:K$435,2,FALSE),"")</x:f>
        <x:v/>
      </x:c>
      <x:c r="F277" s="193" t="str">
        <x:f>IFERROR(VLOOKUP(C277,PC!A$1:K$435,7,FALSE)&amp;" "&amp;VLOOKUP(C277,PC!A$1:K$435,6,FALSE),"")</x:f>
        <x:v/>
      </x:c>
      <x:c r="G277" s="120"/>
      <x:c r="H277" s="1" t="str">
        <x:f t="shared" si="4"/>
        <x:v>10.51.91.113</x:v>
      </x:c>
    </x:row>
    <x:row r="278" spans="2:8">
      <x:c r="B278" s="118">
        <x:v>114</x:v>
      </x:c>
      <x:c r="C278" s="35" t="s">
        <x:v>1438</x:v>
      </x:c>
      <x:c r="D278" s="119" t="str">
        <x:f>IFERROR(VLOOKUP(C278,'정보화기기 명부'!A$2:B$138,2,FALSE),"")</x:f>
        <x:v/>
      </x:c>
      <x:c r="E278" s="120" t="str">
        <x:f>IFERROR(VLOOKUP(C278,PC!A$1:K$435,2,FALSE),"")</x:f>
        <x:v/>
      </x:c>
      <x:c r="F278" s="193" t="str">
        <x:f>IFERROR(VLOOKUP(C278,PC!A$1:K$435,7,FALSE)&amp;" "&amp;VLOOKUP(C278,PC!A$1:K$435,6,FALSE),"")</x:f>
        <x:v/>
      </x:c>
      <x:c r="G278" s="120"/>
      <x:c r="H278" s="1" t="str">
        <x:f t="shared" si="4"/>
        <x:v>10.51.91.114</x:v>
      </x:c>
    </x:row>
    <x:row r="279" spans="2:8">
      <x:c r="B279" s="118">
        <x:v>115</x:v>
      </x:c>
      <x:c r="C279" s="35" t="s">
        <x:v>1438</x:v>
      </x:c>
      <x:c r="D279" s="119" t="str">
        <x:f>IFERROR(VLOOKUP(C279,'정보화기기 명부'!A$2:B$138,2,FALSE),"")</x:f>
        <x:v/>
      </x:c>
      <x:c r="E279" s="120" t="str">
        <x:f>IFERROR(VLOOKUP(C279,PC!A$1:K$435,2,FALSE),"")</x:f>
        <x:v/>
      </x:c>
      <x:c r="F279" s="193" t="str">
        <x:f>IFERROR(VLOOKUP(C279,PC!A$1:K$435,7,FALSE)&amp;" "&amp;VLOOKUP(C279,PC!A$1:K$435,6,FALSE),"")</x:f>
        <x:v/>
      </x:c>
      <x:c r="G279" s="120"/>
      <x:c r="H279" s="1" t="str">
        <x:f t="shared" si="4"/>
        <x:v>10.51.91.115</x:v>
      </x:c>
    </x:row>
    <x:row r="280" spans="2:8">
      <x:c r="B280" s="118">
        <x:v>116</x:v>
      </x:c>
      <x:c r="C280" s="35" t="s">
        <x:v>1438</x:v>
      </x:c>
      <x:c r="D280" s="119" t="str">
        <x:f>IFERROR(VLOOKUP(C280,'정보화기기 명부'!A$2:B$138,2,FALSE),"")</x:f>
        <x:v/>
      </x:c>
      <x:c r="E280" s="120" t="str">
        <x:f>IFERROR(VLOOKUP(C280,PC!A$1:K$435,2,FALSE),"")</x:f>
        <x:v/>
      </x:c>
      <x:c r="F280" s="193" t="str">
        <x:f>IFERROR(VLOOKUP(C280,PC!A$1:K$435,7,FALSE)&amp;" "&amp;VLOOKUP(C280,PC!A$1:K$435,6,FALSE),"")</x:f>
        <x:v/>
      </x:c>
      <x:c r="G280" s="120"/>
      <x:c r="H280" s="1" t="str">
        <x:f t="shared" si="4"/>
        <x:v>10.51.91.116</x:v>
      </x:c>
    </x:row>
    <x:row r="281" spans="2:8">
      <x:c r="B281" s="118">
        <x:v>117</x:v>
      </x:c>
      <x:c r="C281" s="35" t="s">
        <x:v>1438</x:v>
      </x:c>
      <x:c r="D281" s="119" t="str">
        <x:f>IFERROR(VLOOKUP(C281,'정보화기기 명부'!A$2:B$138,2,FALSE),"")</x:f>
        <x:v/>
      </x:c>
      <x:c r="E281" s="120" t="str">
        <x:f>IFERROR(VLOOKUP(C281,PC!A$1:K$435,2,FALSE),"")</x:f>
        <x:v/>
      </x:c>
      <x:c r="F281" s="193" t="str">
        <x:f>IFERROR(VLOOKUP(C281,PC!A$1:K$435,7,FALSE)&amp;" "&amp;VLOOKUP(C281,PC!A$1:K$435,6,FALSE),"")</x:f>
        <x:v/>
      </x:c>
      <x:c r="G281" s="120"/>
      <x:c r="H281" s="1" t="str">
        <x:f t="shared" si="4"/>
        <x:v>10.51.91.117</x:v>
      </x:c>
    </x:row>
    <x:row r="282" spans="2:8">
      <x:c r="B282" s="118">
        <x:v>118</x:v>
      </x:c>
      <x:c r="C282" s="35" t="s">
        <x:v>1438</x:v>
      </x:c>
      <x:c r="D282" s="119" t="str">
        <x:f>IFERROR(VLOOKUP(C282,'정보화기기 명부'!A$2:B$138,2,FALSE),"")</x:f>
        <x:v/>
      </x:c>
      <x:c r="E282" s="120" t="str">
        <x:f>IFERROR(VLOOKUP(C282,PC!A$1:K$435,2,FALSE),"")</x:f>
        <x:v/>
      </x:c>
      <x:c r="F282" s="193" t="str">
        <x:f>IFERROR(VLOOKUP(C282,PC!A$1:K$435,7,FALSE)&amp;" "&amp;VLOOKUP(C282,PC!A$1:K$435,6,FALSE),"")</x:f>
        <x:v/>
      </x:c>
      <x:c r="G282" s="120"/>
      <x:c r="H282" s="1" t="str">
        <x:f t="shared" si="4"/>
        <x:v>10.51.91.118</x:v>
      </x:c>
    </x:row>
    <x:row r="283" spans="2:8">
      <x:c r="B283" s="118">
        <x:v>119</x:v>
      </x:c>
      <x:c r="C283" s="35" t="s">
        <x:v>1438</x:v>
      </x:c>
      <x:c r="D283" s="119" t="str">
        <x:f>IFERROR(VLOOKUP(C283,'정보화기기 명부'!A$2:B$138,2,FALSE),"")</x:f>
        <x:v/>
      </x:c>
      <x:c r="E283" s="120" t="str">
        <x:f>IFERROR(VLOOKUP(C283,PC!A$1:K$435,2,FALSE),"")</x:f>
        <x:v/>
      </x:c>
      <x:c r="F283" s="193" t="str">
        <x:f>IFERROR(VLOOKUP(C283,PC!A$1:K$435,7,FALSE)&amp;" "&amp;VLOOKUP(C283,PC!A$1:K$435,6,FALSE),"")</x:f>
        <x:v/>
      </x:c>
      <x:c r="G283" s="120"/>
      <x:c r="H283" s="1" t="str">
        <x:f t="shared" si="4"/>
        <x:v>10.51.91.119</x:v>
      </x:c>
    </x:row>
    <x:row r="284" spans="2:8">
      <x:c r="B284" s="118">
        <x:v>120</x:v>
      </x:c>
      <x:c r="C284" s="35" t="s">
        <x:v>1438</x:v>
      </x:c>
      <x:c r="D284" s="119" t="str">
        <x:f>IFERROR(VLOOKUP(C284,'정보화기기 명부'!A$2:B$138,2,FALSE),"")</x:f>
        <x:v/>
      </x:c>
      <x:c r="E284" s="120" t="str">
        <x:f>IFERROR(VLOOKUP(C284,PC!A$1:K$435,2,FALSE),"")</x:f>
        <x:v/>
      </x:c>
      <x:c r="F284" s="193" t="str">
        <x:f>IFERROR(VLOOKUP(C284,PC!A$1:K$435,7,FALSE)&amp;" "&amp;VLOOKUP(C284,PC!A$1:K$435,6,FALSE),"")</x:f>
        <x:v/>
      </x:c>
      <x:c r="G284" s="120"/>
      <x:c r="H284" s="1" t="str">
        <x:f t="shared" si="4"/>
        <x:v>10.51.91.120</x:v>
      </x:c>
    </x:row>
    <x:row r="285" spans="2:8">
      <x:c r="B285" s="118">
        <x:v>121</x:v>
      </x:c>
      <x:c r="C285" s="35" t="s">
        <x:v>1438</x:v>
      </x:c>
      <x:c r="D285" s="119" t="str">
        <x:f>IFERROR(VLOOKUP(C285,'정보화기기 명부'!A$2:B$138,2,FALSE),"")</x:f>
        <x:v/>
      </x:c>
      <x:c r="E285" s="120" t="str">
        <x:f>IFERROR(VLOOKUP(C285,PC!A$1:K$435,2,FALSE),"")</x:f>
        <x:v/>
      </x:c>
      <x:c r="F285" s="193" t="str">
        <x:f>IFERROR(VLOOKUP(C285,PC!A$1:K$435,7,FALSE)&amp;" "&amp;VLOOKUP(C285,PC!A$1:K$435,6,FALSE),"")</x:f>
        <x:v/>
      </x:c>
      <x:c r="G285" s="120"/>
      <x:c r="H285" s="1" t="str">
        <x:f t="shared" si="4"/>
        <x:v>10.51.91.121</x:v>
      </x:c>
    </x:row>
    <x:row r="286" spans="2:8">
      <x:c r="B286" s="118">
        <x:v>122</x:v>
      </x:c>
      <x:c r="C286" s="35" t="s">
        <x:v>1438</x:v>
      </x:c>
      <x:c r="D286" s="119" t="str">
        <x:f>IFERROR(VLOOKUP(C286,'정보화기기 명부'!A$2:B$138,2,FALSE),"")</x:f>
        <x:v/>
      </x:c>
      <x:c r="E286" s="120" t="str">
        <x:f>IFERROR(VLOOKUP(C286,PC!A$1:K$435,2,FALSE),"")</x:f>
        <x:v/>
      </x:c>
      <x:c r="F286" s="193" t="str">
        <x:f>IFERROR(VLOOKUP(C286,PC!A$1:K$435,7,FALSE)&amp;" "&amp;VLOOKUP(C286,PC!A$1:K$435,6,FALSE),"")</x:f>
        <x:v/>
      </x:c>
      <x:c r="G286" s="120"/>
      <x:c r="H286" s="1" t="str">
        <x:f t="shared" si="4"/>
        <x:v>10.51.91.122</x:v>
      </x:c>
    </x:row>
    <x:row r="287" spans="2:8">
      <x:c r="B287" s="118">
        <x:v>123</x:v>
      </x:c>
      <x:c r="C287" s="35" t="s">
        <x:v>1438</x:v>
      </x:c>
      <x:c r="D287" s="119" t="str">
        <x:f>IFERROR(VLOOKUP(C287,'정보화기기 명부'!A$2:B$138,2,FALSE),"")</x:f>
        <x:v/>
      </x:c>
      <x:c r="E287" s="120" t="str">
        <x:f>IFERROR(VLOOKUP(C287,PC!A$1:K$435,2,FALSE),"")</x:f>
        <x:v/>
      </x:c>
      <x:c r="F287" s="193" t="str">
        <x:f>IFERROR(VLOOKUP(C287,PC!A$1:K$435,7,FALSE)&amp;" "&amp;VLOOKUP(C287,PC!A$1:K$435,6,FALSE),"")</x:f>
        <x:v/>
      </x:c>
      <x:c r="G287" s="120"/>
      <x:c r="H287" s="1" t="str">
        <x:f t="shared" si="4"/>
        <x:v>10.51.91.123</x:v>
      </x:c>
    </x:row>
    <x:row r="288" spans="2:8">
      <x:c r="B288" s="118">
        <x:v>124</x:v>
      </x:c>
      <x:c r="C288" s="35" t="s">
        <x:v>1438</x:v>
      </x:c>
      <x:c r="D288" s="119" t="str">
        <x:f>IFERROR(VLOOKUP(C288,'정보화기기 명부'!A$2:B$138,2,FALSE),"")</x:f>
        <x:v/>
      </x:c>
      <x:c r="E288" s="120" t="str">
        <x:f>IFERROR(VLOOKUP(C288,PC!A$1:K$435,2,FALSE),"")</x:f>
        <x:v/>
      </x:c>
      <x:c r="F288" s="193" t="str">
        <x:f>IFERROR(VLOOKUP(C288,PC!A$1:K$435,7,FALSE)&amp;" "&amp;VLOOKUP(C288,PC!A$1:K$435,6,FALSE),"")</x:f>
        <x:v/>
      </x:c>
      <x:c r="G288" s="120"/>
      <x:c r="H288" s="1" t="str">
        <x:f t="shared" si="4"/>
        <x:v>10.51.91.124</x:v>
      </x:c>
    </x:row>
    <x:row r="289" spans="2:8">
      <x:c r="B289" s="118">
        <x:v>125</x:v>
      </x:c>
      <x:c r="C289" s="35" t="s">
        <x:v>1438</x:v>
      </x:c>
      <x:c r="D289" s="119" t="str">
        <x:f>IFERROR(VLOOKUP(C289,'정보화기기 명부'!A$2:B$138,2,FALSE),"")</x:f>
        <x:v/>
      </x:c>
      <x:c r="E289" s="120" t="str">
        <x:f>IFERROR(VLOOKUP(C289,PC!A$1:K$435,2,FALSE),"")</x:f>
        <x:v/>
      </x:c>
      <x:c r="F289" s="193" t="str">
        <x:f>IFERROR(VLOOKUP(C289,PC!A$1:K$435,7,FALSE)&amp;" "&amp;VLOOKUP(C289,PC!A$1:K$435,6,FALSE),"")</x:f>
        <x:v/>
      </x:c>
      <x:c r="G289" s="120"/>
      <x:c r="H289" s="1" t="str">
        <x:f t="shared" si="4"/>
        <x:v>10.51.91.125</x:v>
      </x:c>
    </x:row>
    <x:row r="290" spans="2:8">
      <x:c r="B290" s="118">
        <x:v>126</x:v>
      </x:c>
      <x:c r="C290" s="35" t="s">
        <x:v>1438</x:v>
      </x:c>
      <x:c r="D290" s="119" t="str">
        <x:f>IFERROR(VLOOKUP(C290,'정보화기기 명부'!A$2:B$138,2,FALSE),"")</x:f>
        <x:v/>
      </x:c>
      <x:c r="E290" s="120" t="str">
        <x:f>IFERROR(VLOOKUP(C290,PC!A$1:K$435,2,FALSE),"")</x:f>
        <x:v/>
      </x:c>
      <x:c r="F290" s="193" t="str">
        <x:f>IFERROR(VLOOKUP(C290,PC!A$1:K$435,7,FALSE)&amp;" "&amp;VLOOKUP(C290,PC!A$1:K$435,6,FALSE),"")</x:f>
        <x:v/>
      </x:c>
      <x:c r="G290" s="120"/>
      <x:c r="H290" s="1" t="str">
        <x:f t="shared" si="4"/>
        <x:v>10.51.91.126</x:v>
      </x:c>
    </x:row>
    <x:row r="291" spans="2:8">
      <x:c r="B291" s="118">
        <x:v>127</x:v>
      </x:c>
      <x:c r="C291" s="35" t="s">
        <x:v>1438</x:v>
      </x:c>
      <x:c r="D291" s="119" t="str">
        <x:f>IFERROR(VLOOKUP(C291,'정보화기기 명부'!A$2:B$138,2,FALSE),"")</x:f>
        <x:v/>
      </x:c>
      <x:c r="E291" s="120" t="str">
        <x:f>IFERROR(VLOOKUP(C291,PC!A$1:K$435,2,FALSE),"")</x:f>
        <x:v/>
      </x:c>
      <x:c r="F291" s="193" t="str">
        <x:f>IFERROR(VLOOKUP(C291,PC!A$1:K$435,7,FALSE)&amp;" "&amp;VLOOKUP(C291,PC!A$1:K$435,6,FALSE),"")</x:f>
        <x:v/>
      </x:c>
      <x:c r="G291" s="120"/>
      <x:c r="H291" s="1" t="str">
        <x:f t="shared" si="4"/>
        <x:v>10.51.91.127</x:v>
      </x:c>
    </x:row>
    <x:row r="292" spans="2:8">
      <x:c r="B292" s="118">
        <x:v>128</x:v>
      </x:c>
      <x:c r="C292" s="35" t="s">
        <x:v>1438</x:v>
      </x:c>
      <x:c r="D292" s="119" t="str">
        <x:f>IFERROR(VLOOKUP(C292,'정보화기기 명부'!A$2:B$138,2,FALSE),"")</x:f>
        <x:v/>
      </x:c>
      <x:c r="E292" s="120" t="str">
        <x:f>IFERROR(VLOOKUP(C292,PC!A$1:K$435,2,FALSE),"")</x:f>
        <x:v/>
      </x:c>
      <x:c r="F292" s="193" t="str">
        <x:f>IFERROR(VLOOKUP(C292,PC!A$1:K$435,7,FALSE)&amp;" "&amp;VLOOKUP(C292,PC!A$1:K$435,6,FALSE),"")</x:f>
        <x:v/>
      </x:c>
      <x:c r="G292" s="120"/>
      <x:c r="H292" s="1" t="str">
        <x:f t="shared" si="4"/>
        <x:v>10.51.91.128</x:v>
      </x:c>
    </x:row>
    <x:row r="293" spans="2:8">
      <x:c r="B293" s="118">
        <x:v>129</x:v>
      </x:c>
      <x:c r="C293" s="35" t="s">
        <x:v>1438</x:v>
      </x:c>
      <x:c r="D293" s="119" t="str">
        <x:f>IFERROR(VLOOKUP(C293,'정보화기기 명부'!A$2:B$138,2,FALSE),"")</x:f>
        <x:v/>
      </x:c>
      <x:c r="E293" s="120" t="str">
        <x:f>IFERROR(VLOOKUP(C293,PC!A$1:K$435,2,FALSE),"")</x:f>
        <x:v/>
      </x:c>
      <x:c r="F293" s="193" t="str">
        <x:f>IFERROR(VLOOKUP(C293,PC!A$1:K$435,7,FALSE)&amp;" "&amp;VLOOKUP(C293,PC!A$1:K$435,6,FALSE),"")</x:f>
        <x:v/>
      </x:c>
      <x:c r="G293" s="120"/>
      <x:c r="H293" s="1" t="str">
        <x:f t="shared" si="4"/>
        <x:v>10.51.91.129</x:v>
      </x:c>
    </x:row>
    <x:row r="294" spans="2:8">
      <x:c r="B294" s="118">
        <x:v>130</x:v>
      </x:c>
      <x:c r="C294" s="35" t="s">
        <x:v>1438</x:v>
      </x:c>
      <x:c r="D294" s="119" t="str">
        <x:f>IFERROR(VLOOKUP(C294,'정보화기기 명부'!A$2:B$138,2,FALSE),"")</x:f>
        <x:v/>
      </x:c>
      <x:c r="E294" s="120" t="str">
        <x:f>IFERROR(VLOOKUP(C294,PC!A$1:K$435,2,FALSE),"")</x:f>
        <x:v/>
      </x:c>
      <x:c r="F294" s="193" t="str">
        <x:f>IFERROR(VLOOKUP(C294,PC!A$1:K$435,7,FALSE)&amp;" "&amp;VLOOKUP(C294,PC!A$1:K$435,6,FALSE),"")</x:f>
        <x:v/>
      </x:c>
      <x:c r="G294" s="120"/>
      <x:c r="H294" s="1" t="str">
        <x:f t="shared" si="4"/>
        <x:v>10.51.91.130</x:v>
      </x:c>
    </x:row>
    <x:row r="295" spans="2:8">
      <x:c r="B295" s="118">
        <x:v>131</x:v>
      </x:c>
      <x:c r="C295" s="35" t="s">
        <x:v>1438</x:v>
      </x:c>
      <x:c r="D295" s="119" t="str">
        <x:f>IFERROR(VLOOKUP(C295,'정보화기기 명부'!A$2:B$138,2,FALSE),"")</x:f>
        <x:v/>
      </x:c>
      <x:c r="E295" s="120" t="str">
        <x:f>IFERROR(VLOOKUP(C295,PC!A$1:K$435,2,FALSE),"")</x:f>
        <x:v/>
      </x:c>
      <x:c r="F295" s="193" t="str">
        <x:f>IFERROR(VLOOKUP(C295,PC!A$1:K$435,7,FALSE)&amp;" "&amp;VLOOKUP(C295,PC!A$1:K$435,6,FALSE),"")</x:f>
        <x:v/>
      </x:c>
      <x:c r="G295" s="120"/>
      <x:c r="H295" s="1" t="str">
        <x:f t="shared" si="4"/>
        <x:v>10.51.91.131</x:v>
      </x:c>
    </x:row>
    <x:row r="296" spans="2:8">
      <x:c r="B296" s="118">
        <x:v>132</x:v>
      </x:c>
      <x:c r="C296" s="35" t="s">
        <x:v>1438</x:v>
      </x:c>
      <x:c r="D296" s="119" t="str">
        <x:f>IFERROR(VLOOKUP(C296,'정보화기기 명부'!A$2:B$138,2,FALSE),"")</x:f>
        <x:v/>
      </x:c>
      <x:c r="E296" s="120" t="str">
        <x:f>IFERROR(VLOOKUP(C296,PC!A$1:K$435,2,FALSE),"")</x:f>
        <x:v/>
      </x:c>
      <x:c r="F296" s="193" t="str">
        <x:f>IFERROR(VLOOKUP(C296,PC!A$1:K$435,7,FALSE)&amp;" "&amp;VLOOKUP(C296,PC!A$1:K$435,6,FALSE),"")</x:f>
        <x:v/>
      </x:c>
      <x:c r="G296" s="120"/>
      <x:c r="H296" s="1" t="str">
        <x:f t="shared" si="4"/>
        <x:v>10.51.91.132</x:v>
      </x:c>
    </x:row>
    <x:row r="297" spans="2:8">
      <x:c r="B297" s="118">
        <x:v>133</x:v>
      </x:c>
      <x:c r="C297" s="35" t="s">
        <x:v>1438</x:v>
      </x:c>
      <x:c r="D297" s="119" t="str">
        <x:f>IFERROR(VLOOKUP(C297,'정보화기기 명부'!A$2:B$138,2,FALSE),"")</x:f>
        <x:v/>
      </x:c>
      <x:c r="E297" s="120" t="str">
        <x:f>IFERROR(VLOOKUP(C297,PC!A$1:K$435,2,FALSE),"")</x:f>
        <x:v/>
      </x:c>
      <x:c r="F297" s="193" t="str">
        <x:f>IFERROR(VLOOKUP(C297,PC!A$1:K$435,7,FALSE)&amp;" "&amp;VLOOKUP(C297,PC!A$1:K$435,6,FALSE),"")</x:f>
        <x:v/>
      </x:c>
      <x:c r="G297" s="120"/>
      <x:c r="H297" s="1" t="str">
        <x:f t="shared" si="4"/>
        <x:v>10.51.91.133</x:v>
      </x:c>
    </x:row>
    <x:row r="298" spans="2:8">
      <x:c r="B298" s="118">
        <x:v>134</x:v>
      </x:c>
      <x:c r="C298" s="35" t="s">
        <x:v>1438</x:v>
      </x:c>
      <x:c r="D298" s="119" t="str">
        <x:f>IFERROR(VLOOKUP(C298,'정보화기기 명부'!A$2:B$138,2,FALSE),"")</x:f>
        <x:v/>
      </x:c>
      <x:c r="E298" s="120" t="str">
        <x:f>IFERROR(VLOOKUP(C298,PC!A$1:K$435,2,FALSE),"")</x:f>
        <x:v/>
      </x:c>
      <x:c r="F298" s="193" t="str">
        <x:f>IFERROR(VLOOKUP(C298,PC!A$1:K$435,7,FALSE)&amp;" "&amp;VLOOKUP(C298,PC!A$1:K$435,6,FALSE),"")</x:f>
        <x:v/>
      </x:c>
      <x:c r="G298" s="120"/>
      <x:c r="H298" s="1" t="str">
        <x:f t="shared" si="4"/>
        <x:v>10.51.91.134</x:v>
      </x:c>
    </x:row>
    <x:row r="299" spans="2:8">
      <x:c r="B299" s="118">
        <x:v>135</x:v>
      </x:c>
      <x:c r="C299" s="35" t="s">
        <x:v>1438</x:v>
      </x:c>
      <x:c r="D299" s="119" t="str">
        <x:f>IFERROR(VLOOKUP(C299,'정보화기기 명부'!A$2:B$138,2,FALSE),"")</x:f>
        <x:v/>
      </x:c>
      <x:c r="E299" s="120" t="str">
        <x:f>IFERROR(VLOOKUP(C299,PC!A$1:K$435,2,FALSE),"")</x:f>
        <x:v/>
      </x:c>
      <x:c r="F299" s="193" t="str">
        <x:f>IFERROR(VLOOKUP(C299,PC!A$1:K$435,7,FALSE)&amp;" "&amp;VLOOKUP(C299,PC!A$1:K$435,6,FALSE),"")</x:f>
        <x:v/>
      </x:c>
      <x:c r="G299" s="120"/>
      <x:c r="H299" s="1" t="str">
        <x:f t="shared" si="4"/>
        <x:v>10.51.91.135</x:v>
      </x:c>
    </x:row>
    <x:row r="300" spans="2:8">
      <x:c r="B300" s="118">
        <x:v>136</x:v>
      </x:c>
      <x:c r="C300" s="35" t="s">
        <x:v>1438</x:v>
      </x:c>
      <x:c r="D300" s="119" t="str">
        <x:f>IFERROR(VLOOKUP(C300,'정보화기기 명부'!A$2:B$138,2,FALSE),"")</x:f>
        <x:v/>
      </x:c>
      <x:c r="E300" s="120" t="str">
        <x:f>IFERROR(VLOOKUP(C300,PC!A$1:K$435,2,FALSE),"")</x:f>
        <x:v/>
      </x:c>
      <x:c r="F300" s="193" t="str">
        <x:f>IFERROR(VLOOKUP(C300,PC!A$1:K$435,7,FALSE)&amp;" "&amp;VLOOKUP(C300,PC!A$1:K$435,6,FALSE),"")</x:f>
        <x:v/>
      </x:c>
      <x:c r="G300" s="120"/>
      <x:c r="H300" s="1" t="str">
        <x:f t="shared" si="4"/>
        <x:v>10.51.91.136</x:v>
      </x:c>
    </x:row>
    <x:row r="301" spans="2:8">
      <x:c r="B301" s="118">
        <x:v>137</x:v>
      </x:c>
      <x:c r="C301" s="35" t="s">
        <x:v>1546</x:v>
      </x:c>
      <x:c r="D301" s="119" t="str">
        <x:f>IFERROR(VLOOKUP(C301,'정보화기기 명부'!A$2:B$138,2,FALSE),"")</x:f>
        <x:v>특수교육부</x:v>
      </x:c>
      <x:c r="E301" s="120" t="str">
        <x:f>IFERROR(VLOOKUP(C301,PC!A$1:K$435,2,FALSE),"")</x:f>
        <x:v>20180102-0756</x:v>
      </x:c>
      <x:c r="F301" s="193" t="str">
        <x:f>IFERROR(VLOOKUP(C301,PC!A$1:K$435,7,FALSE)&amp;" "&amp;VLOOKUP(C301,PC!A$1:K$435,6,FALSE),"")</x:f>
        <x:v>삼성 NT300E5L-K51G</x:v>
      </x:c>
      <x:c r="G301" s="120"/>
      <x:c r="H301" s="1" t="str">
        <x:f t="shared" si="4"/>
        <x:v>10.51.91.137</x:v>
      </x:c>
    </x:row>
    <x:row r="302" spans="2:8">
      <x:c r="B302" s="118">
        <x:v>138</x:v>
      </x:c>
      <x:c r="C302" s="35" t="s">
        <x:v>1438</x:v>
      </x:c>
      <x:c r="D302" s="119" t="str">
        <x:f>IFERROR(VLOOKUP(C302,'정보화기기 명부'!A$2:B$138,2,FALSE),"")</x:f>
        <x:v/>
      </x:c>
      <x:c r="E302" s="120" t="str">
        <x:f>IFERROR(VLOOKUP(C302,PC!A$1:K$435,2,FALSE),"")</x:f>
        <x:v/>
      </x:c>
      <x:c r="F302" s="193" t="str">
        <x:f>IFERROR(VLOOKUP(C302,PC!A$1:K$435,7,FALSE)&amp;" "&amp;VLOOKUP(C302,PC!A$1:K$435,6,FALSE),"")</x:f>
        <x:v/>
      </x:c>
      <x:c r="G302" s="120"/>
      <x:c r="H302" s="1" t="str">
        <x:f t="shared" si="4"/>
        <x:v>10.51.91.138</x:v>
      </x:c>
    </x:row>
    <x:row r="303" spans="2:8">
      <x:c r="B303" s="118">
        <x:v>139</x:v>
      </x:c>
      <x:c r="C303" s="35" t="s">
        <x:v>1438</x:v>
      </x:c>
      <x:c r="D303" s="119" t="str">
        <x:f>IFERROR(VLOOKUP(C303,'정보화기기 명부'!A$2:B$138,2,FALSE),"")</x:f>
        <x:v/>
      </x:c>
      <x:c r="E303" s="120" t="str">
        <x:f>IFERROR(VLOOKUP(C303,PC!A$1:K$435,2,FALSE),"")</x:f>
        <x:v/>
      </x:c>
      <x:c r="F303" s="193" t="str">
        <x:f>IFERROR(VLOOKUP(C303,PC!A$1:K$435,7,FALSE)&amp;" "&amp;VLOOKUP(C303,PC!A$1:K$435,6,FALSE),"")</x:f>
        <x:v/>
      </x:c>
      <x:c r="G303" s="120"/>
      <x:c r="H303" s="1" t="str">
        <x:f t="shared" ref="H303:H364" si="5">$A$174&amp;B303</x:f>
        <x:v>10.51.91.139</x:v>
      </x:c>
    </x:row>
    <x:row r="304" spans="2:8">
      <x:c r="B304" s="118">
        <x:v>140</x:v>
      </x:c>
      <x:c r="C304" s="35" t="s">
        <x:v>1438</x:v>
      </x:c>
      <x:c r="D304" s="119" t="str">
        <x:f>IFERROR(VLOOKUP(C304,'정보화기기 명부'!A$2:B$138,2,FALSE),"")</x:f>
        <x:v/>
      </x:c>
      <x:c r="E304" s="120" t="str">
        <x:f>IFERROR(VLOOKUP(C304,PC!A$1:K$435,2,FALSE),"")</x:f>
        <x:v/>
      </x:c>
      <x:c r="F304" s="193" t="str">
        <x:f>IFERROR(VLOOKUP(C304,PC!A$1:K$435,7,FALSE)&amp;" "&amp;VLOOKUP(C304,PC!A$1:K$435,6,FALSE),"")</x:f>
        <x:v/>
      </x:c>
      <x:c r="G304" s="120"/>
      <x:c r="H304" s="1" t="str">
        <x:f t="shared" si="5"/>
        <x:v>10.51.91.140</x:v>
      </x:c>
    </x:row>
    <x:row r="305" spans="2:8">
      <x:c r="B305" s="118">
        <x:v>141</x:v>
      </x:c>
      <x:c r="C305" s="35" t="s">
        <x:v>1438</x:v>
      </x:c>
      <x:c r="D305" s="119" t="str">
        <x:f>IFERROR(VLOOKUP(C305,'정보화기기 명부'!A$2:B$138,2,FALSE),"")</x:f>
        <x:v/>
      </x:c>
      <x:c r="E305" s="120" t="str">
        <x:f>IFERROR(VLOOKUP(C305,PC!A$1:K$435,2,FALSE),"")</x:f>
        <x:v/>
      </x:c>
      <x:c r="F305" s="193" t="str">
        <x:f>IFERROR(VLOOKUP(C305,PC!A$1:K$435,7,FALSE)&amp;" "&amp;VLOOKUP(C305,PC!A$1:K$435,6,FALSE),"")</x:f>
        <x:v/>
      </x:c>
      <x:c r="G305" s="120"/>
      <x:c r="H305" s="1" t="str">
        <x:f t="shared" si="5"/>
        <x:v>10.51.91.141</x:v>
      </x:c>
    </x:row>
    <x:row r="306" spans="2:8">
      <x:c r="B306" s="1">
        <x:v>142</x:v>
      </x:c>
      <x:c r="C306" s="35" t="s">
        <x:v>1438</x:v>
      </x:c>
      <x:c r="D306" s="119" t="str">
        <x:f>IFERROR(VLOOKUP(C306,'정보화기기 명부'!A$2:B$138,2,FALSE),"")</x:f>
        <x:v/>
      </x:c>
      <x:c r="E306" s="120" t="str">
        <x:f>IFERROR(VLOOKUP(C306,PC!A$1:K$435,2,FALSE),"")</x:f>
        <x:v/>
      </x:c>
      <x:c r="F306" s="193" t="str">
        <x:f>IFERROR(VLOOKUP(C306,PC!A$1:K$435,7,FALSE)&amp;" "&amp;VLOOKUP(C306,PC!A$1:K$435,6,FALSE),"")</x:f>
        <x:v/>
      </x:c>
      <x:c r="G306" s="120"/>
      <x:c r="H306" s="1" t="str">
        <x:f t="shared" si="5"/>
        <x:v>10.51.91.142</x:v>
      </x:c>
    </x:row>
    <x:row r="307" spans="2:8">
      <x:c r="B307" s="1">
        <x:v>143</x:v>
      </x:c>
      <x:c r="C307" s="119" t="s">
        <x:v>1438</x:v>
      </x:c>
      <x:c r="D307" s="119" t="str">
        <x:f>IFERROR(VLOOKUP(C307,'정보화기기 명부'!A$2:B$138,2,FALSE),"")</x:f>
        <x:v/>
      </x:c>
      <x:c r="E307" s="120" t="str">
        <x:f>IFERROR(VLOOKUP(C307,PC!A$1:K$435,2,FALSE),"")</x:f>
        <x:v/>
      </x:c>
      <x:c r="F307" s="193" t="str">
        <x:f>IFERROR(VLOOKUP(C307,PC!A$1:K$435,7,FALSE)&amp;" "&amp;VLOOKUP(C307,PC!A$1:K$435,6,FALSE),"")</x:f>
        <x:v/>
      </x:c>
      <x:c r="G307" s="120"/>
      <x:c r="H307" s="1" t="str">
        <x:f t="shared" si="5"/>
        <x:v>10.51.91.143</x:v>
      </x:c>
    </x:row>
    <x:row r="308" spans="2:8">
      <x:c r="B308" s="30">
        <x:v>144</x:v>
      </x:c>
      <x:c r="C308" s="112"/>
      <x:c r="D308" s="112"/>
      <x:c r="E308" s="112"/>
      <x:c r="F308" s="276"/>
      <x:c r="G308" s="2"/>
      <x:c r="H308" s="1" t="str">
        <x:f t="shared" si="5"/>
        <x:v>10.51.91.144</x:v>
      </x:c>
    </x:row>
    <x:row r="309" spans="2:8">
      <x:c r="B309" s="30">
        <x:v>145</x:v>
      </x:c>
      <x:c r="C309" s="112"/>
      <x:c r="D309" s="112"/>
      <x:c r="E309" s="112"/>
      <x:c r="F309" s="276"/>
      <x:c r="G309" s="2"/>
      <x:c r="H309" s="1" t="str">
        <x:f t="shared" si="5"/>
        <x:v>10.51.91.145</x:v>
      </x:c>
    </x:row>
    <x:row r="310" spans="2:8">
      <x:c r="B310" s="30">
        <x:v>146</x:v>
      </x:c>
      <x:c r="C310" s="112"/>
      <x:c r="D310" s="112"/>
      <x:c r="E310" s="112"/>
      <x:c r="F310" s="276"/>
      <x:c r="G310" s="2"/>
      <x:c r="H310" s="1" t="str">
        <x:f t="shared" si="5"/>
        <x:v>10.51.91.146</x:v>
      </x:c>
    </x:row>
    <x:row r="311" spans="2:8">
      <x:c r="B311" s="30">
        <x:v>147</x:v>
      </x:c>
      <x:c r="C311" s="112"/>
      <x:c r="D311" s="112"/>
      <x:c r="E311" s="112"/>
      <x:c r="F311" s="276"/>
      <x:c r="G311" s="2"/>
      <x:c r="H311" s="1" t="str">
        <x:f t="shared" si="5"/>
        <x:v>10.51.91.147</x:v>
      </x:c>
    </x:row>
    <x:row r="312" spans="2:8">
      <x:c r="B312" s="30">
        <x:v>148</x:v>
      </x:c>
      <x:c r="C312" s="112"/>
      <x:c r="D312" s="112"/>
      <x:c r="E312" s="112"/>
      <x:c r="F312" s="276"/>
      <x:c r="G312" s="2"/>
      <x:c r="H312" s="1" t="str">
        <x:f t="shared" si="5"/>
        <x:v>10.51.91.148</x:v>
      </x:c>
    </x:row>
    <x:row r="313" spans="2:8">
      <x:c r="B313" s="30">
        <x:v>149</x:v>
      </x:c>
      <x:c r="C313" s="112"/>
      <x:c r="D313" s="112"/>
      <x:c r="E313" s="112"/>
      <x:c r="F313" s="276"/>
      <x:c r="G313" s="2"/>
      <x:c r="H313" s="1" t="str">
        <x:f t="shared" si="5"/>
        <x:v>10.51.91.149</x:v>
      </x:c>
    </x:row>
    <x:row r="314" spans="2:8">
      <x:c r="B314" s="30">
        <x:v>150</x:v>
      </x:c>
      <x:c r="C314" s="112"/>
      <x:c r="D314" s="112"/>
      <x:c r="E314" s="112"/>
      <x:c r="F314" s="276"/>
      <x:c r="G314" s="2"/>
      <x:c r="H314" s="1" t="str">
        <x:f t="shared" si="5"/>
        <x:v>10.51.91.150</x:v>
      </x:c>
    </x:row>
    <x:row r="315" spans="2:8">
      <x:c r="B315" s="30">
        <x:v>151</x:v>
      </x:c>
      <x:c r="C315" s="112"/>
      <x:c r="D315" s="112"/>
      <x:c r="E315" s="112"/>
      <x:c r="F315" s="276"/>
      <x:c r="G315" s="2"/>
      <x:c r="H315" s="1" t="str">
        <x:f t="shared" si="5"/>
        <x:v>10.51.91.151</x:v>
      </x:c>
    </x:row>
    <x:row r="316" spans="2:8">
      <x:c r="B316" s="30">
        <x:v>152</x:v>
      </x:c>
      <x:c r="C316" s="112"/>
      <x:c r="D316" s="112"/>
      <x:c r="E316" s="112"/>
      <x:c r="F316" s="276"/>
      <x:c r="G316" s="2"/>
      <x:c r="H316" s="1" t="str">
        <x:f t="shared" si="5"/>
        <x:v>10.51.91.152</x:v>
      </x:c>
    </x:row>
    <x:row r="317" spans="2:8">
      <x:c r="B317" s="30">
        <x:v>153</x:v>
      </x:c>
      <x:c r="C317" s="112"/>
      <x:c r="D317" s="112"/>
      <x:c r="E317" s="112"/>
      <x:c r="F317" s="276"/>
      <x:c r="G317" s="2"/>
      <x:c r="H317" s="1" t="str">
        <x:f t="shared" si="5"/>
        <x:v>10.51.91.153</x:v>
      </x:c>
    </x:row>
    <x:row r="318" spans="2:8">
      <x:c r="B318" s="30">
        <x:v>154</x:v>
      </x:c>
      <x:c r="C318" s="112"/>
      <x:c r="D318" s="112"/>
      <x:c r="E318" s="112"/>
      <x:c r="F318" s="276"/>
      <x:c r="G318" s="2"/>
      <x:c r="H318" s="1" t="str">
        <x:f t="shared" si="5"/>
        <x:v>10.51.91.154</x:v>
      </x:c>
    </x:row>
    <x:row r="319" spans="2:8">
      <x:c r="B319" s="30">
        <x:v>155</x:v>
      </x:c>
      <x:c r="C319" s="112"/>
      <x:c r="D319" s="112"/>
      <x:c r="E319" s="112"/>
      <x:c r="F319" s="276"/>
      <x:c r="G319" s="2"/>
      <x:c r="H319" s="1" t="str">
        <x:f t="shared" si="5"/>
        <x:v>10.51.91.155</x:v>
      </x:c>
    </x:row>
    <x:row r="320" spans="2:8">
      <x:c r="B320" s="30">
        <x:v>156</x:v>
      </x:c>
      <x:c r="C320" s="112"/>
      <x:c r="D320" s="112"/>
      <x:c r="E320" s="112"/>
      <x:c r="F320" s="276"/>
      <x:c r="G320" s="2"/>
      <x:c r="H320" s="1" t="str">
        <x:f t="shared" si="5"/>
        <x:v>10.51.91.156</x:v>
      </x:c>
    </x:row>
    <x:row r="321" spans="2:8">
      <x:c r="B321" s="30">
        <x:v>157</x:v>
      </x:c>
      <x:c r="C321" s="112"/>
      <x:c r="D321" s="112"/>
      <x:c r="E321" s="112"/>
      <x:c r="F321" s="276"/>
      <x:c r="G321" s="2"/>
      <x:c r="H321" s="1" t="str">
        <x:f t="shared" si="5"/>
        <x:v>10.51.91.157</x:v>
      </x:c>
    </x:row>
    <x:row r="322" spans="2:8">
      <x:c r="B322" s="30">
        <x:v>158</x:v>
      </x:c>
      <x:c r="C322" s="112"/>
      <x:c r="D322" s="112"/>
      <x:c r="E322" s="112"/>
      <x:c r="F322" s="276"/>
      <x:c r="G322" s="2"/>
      <x:c r="H322" s="1" t="str">
        <x:f t="shared" si="5"/>
        <x:v>10.51.91.158</x:v>
      </x:c>
    </x:row>
    <x:row r="323" spans="2:8">
      <x:c r="B323" s="30">
        <x:v>159</x:v>
      </x:c>
      <x:c r="C323" s="112"/>
      <x:c r="D323" s="112"/>
      <x:c r="E323" s="112"/>
      <x:c r="F323" s="276"/>
      <x:c r="G323" s="2"/>
      <x:c r="H323" s="1" t="str">
        <x:f t="shared" si="5"/>
        <x:v>10.51.91.159</x:v>
      </x:c>
    </x:row>
    <x:row r="324" spans="2:8">
      <x:c r="B324" s="30">
        <x:v>160</x:v>
      </x:c>
      <x:c r="C324" s="112"/>
      <x:c r="D324" s="112"/>
      <x:c r="E324" s="112"/>
      <x:c r="F324" s="276"/>
      <x:c r="G324" s="2"/>
      <x:c r="H324" s="1" t="str">
        <x:f t="shared" si="5"/>
        <x:v>10.51.91.160</x:v>
      </x:c>
    </x:row>
    <x:row r="325" spans="2:8">
      <x:c r="B325" s="30">
        <x:v>161</x:v>
      </x:c>
      <x:c r="C325" s="112"/>
      <x:c r="D325" s="112"/>
      <x:c r="E325" s="112"/>
      <x:c r="F325" s="276"/>
      <x:c r="G325" s="2"/>
      <x:c r="H325" s="1" t="str">
        <x:f t="shared" si="5"/>
        <x:v>10.51.91.161</x:v>
      </x:c>
    </x:row>
    <x:row r="326" spans="2:8">
      <x:c r="B326" s="30">
        <x:v>162</x:v>
      </x:c>
      <x:c r="C326" s="112"/>
      <x:c r="D326" s="112"/>
      <x:c r="E326" s="112"/>
      <x:c r="F326" s="276"/>
      <x:c r="G326" s="2"/>
      <x:c r="H326" s="1" t="str">
        <x:f t="shared" si="5"/>
        <x:v>10.51.91.162</x:v>
      </x:c>
    </x:row>
    <x:row r="327" spans="2:8">
      <x:c r="B327" s="30">
        <x:v>163</x:v>
      </x:c>
      <x:c r="C327" s="112"/>
      <x:c r="D327" s="112"/>
      <x:c r="E327" s="112"/>
      <x:c r="F327" s="276"/>
      <x:c r="G327" s="2"/>
      <x:c r="H327" s="1" t="str">
        <x:f t="shared" si="5"/>
        <x:v>10.51.91.163</x:v>
      </x:c>
    </x:row>
    <x:row r="328" spans="2:8">
      <x:c r="B328" s="30">
        <x:v>164</x:v>
      </x:c>
      <x:c r="C328" s="112"/>
      <x:c r="D328" s="112"/>
      <x:c r="E328" s="112"/>
      <x:c r="F328" s="276"/>
      <x:c r="G328" s="2"/>
      <x:c r="H328" s="1" t="str">
        <x:f t="shared" si="5"/>
        <x:v>10.51.91.164</x:v>
      </x:c>
    </x:row>
    <x:row r="329" spans="2:8">
      <x:c r="B329" s="30">
        <x:v>165</x:v>
      </x:c>
      <x:c r="C329" s="112"/>
      <x:c r="D329" s="112"/>
      <x:c r="E329" s="112"/>
      <x:c r="F329" s="276"/>
      <x:c r="G329" s="2"/>
      <x:c r="H329" s="1" t="str">
        <x:f t="shared" si="5"/>
        <x:v>10.51.91.165</x:v>
      </x:c>
    </x:row>
    <x:row r="330" spans="2:8">
      <x:c r="B330" s="30">
        <x:v>166</x:v>
      </x:c>
      <x:c r="C330" s="112"/>
      <x:c r="D330" s="112"/>
      <x:c r="E330" s="112"/>
      <x:c r="F330" s="276"/>
      <x:c r="G330" s="2"/>
      <x:c r="H330" s="1" t="str">
        <x:f t="shared" si="5"/>
        <x:v>10.51.91.166</x:v>
      </x:c>
    </x:row>
    <x:row r="331" spans="2:8">
      <x:c r="B331" s="30">
        <x:v>167</x:v>
      </x:c>
      <x:c r="C331" s="112"/>
      <x:c r="D331" s="112"/>
      <x:c r="E331" s="112"/>
      <x:c r="F331" s="276"/>
      <x:c r="G331" s="2"/>
      <x:c r="H331" s="1" t="str">
        <x:f t="shared" si="5"/>
        <x:v>10.51.91.167</x:v>
      </x:c>
    </x:row>
    <x:row r="332" spans="2:8">
      <x:c r="B332" s="30">
        <x:v>168</x:v>
      </x:c>
      <x:c r="C332" s="112"/>
      <x:c r="D332" s="112"/>
      <x:c r="E332" s="112"/>
      <x:c r="F332" s="276"/>
      <x:c r="G332" s="2"/>
      <x:c r="H332" s="1" t="str">
        <x:f t="shared" si="5"/>
        <x:v>10.51.91.168</x:v>
      </x:c>
    </x:row>
    <x:row r="333" spans="2:8">
      <x:c r="B333" s="30">
        <x:v>169</x:v>
      </x:c>
      <x:c r="C333" s="112"/>
      <x:c r="D333" s="112"/>
      <x:c r="E333" s="112"/>
      <x:c r="F333" s="276"/>
      <x:c r="G333" s="2"/>
      <x:c r="H333" s="1" t="str">
        <x:f t="shared" si="5"/>
        <x:v>10.51.91.169</x:v>
      </x:c>
    </x:row>
    <x:row r="334" spans="2:8">
      <x:c r="B334" s="30">
        <x:v>170</x:v>
      </x:c>
      <x:c r="C334" s="112"/>
      <x:c r="D334" s="112"/>
      <x:c r="E334" s="112"/>
      <x:c r="F334" s="276"/>
      <x:c r="G334" s="2"/>
      <x:c r="H334" s="1" t="str">
        <x:f t="shared" si="5"/>
        <x:v>10.51.91.170</x:v>
      </x:c>
    </x:row>
    <x:row r="335" spans="2:8">
      <x:c r="B335" s="30">
        <x:v>171</x:v>
      </x:c>
      <x:c r="C335" s="112"/>
      <x:c r="D335" s="112"/>
      <x:c r="E335" s="112"/>
      <x:c r="F335" s="276"/>
      <x:c r="G335" s="2"/>
      <x:c r="H335" s="1" t="str">
        <x:f t="shared" si="5"/>
        <x:v>10.51.91.171</x:v>
      </x:c>
    </x:row>
    <x:row r="336" spans="2:8">
      <x:c r="B336" s="30">
        <x:v>172</x:v>
      </x:c>
      <x:c r="C336" s="112"/>
      <x:c r="D336" s="112"/>
      <x:c r="E336" s="112"/>
      <x:c r="F336" s="276"/>
      <x:c r="G336" s="2"/>
      <x:c r="H336" s="1" t="str">
        <x:f t="shared" si="5"/>
        <x:v>10.51.91.172</x:v>
      </x:c>
    </x:row>
    <x:row r="337" spans="2:8">
      <x:c r="B337" s="30">
        <x:v>173</x:v>
      </x:c>
      <x:c r="C337" s="112"/>
      <x:c r="D337" s="112"/>
      <x:c r="E337" s="112"/>
      <x:c r="F337" s="276"/>
      <x:c r="G337" s="2"/>
      <x:c r="H337" s="1" t="str">
        <x:f t="shared" si="5"/>
        <x:v>10.51.91.173</x:v>
      </x:c>
    </x:row>
    <x:row r="338" spans="2:8">
      <x:c r="B338" s="30">
        <x:v>174</x:v>
      </x:c>
      <x:c r="C338" s="112"/>
      <x:c r="D338" s="112"/>
      <x:c r="E338" s="112"/>
      <x:c r="F338" s="276"/>
      <x:c r="G338" s="2"/>
      <x:c r="H338" s="1" t="str">
        <x:f t="shared" si="5"/>
        <x:v>10.51.91.174</x:v>
      </x:c>
    </x:row>
    <x:row r="339" spans="2:8">
      <x:c r="B339" s="30">
        <x:v>175</x:v>
      </x:c>
      <x:c r="C339" s="112"/>
      <x:c r="D339" s="112"/>
      <x:c r="E339" s="112"/>
      <x:c r="F339" s="276"/>
      <x:c r="G339" s="2"/>
      <x:c r="H339" s="1" t="str">
        <x:f t="shared" si="5"/>
        <x:v>10.51.91.175</x:v>
      </x:c>
    </x:row>
    <x:row r="340" spans="2:8">
      <x:c r="B340" s="30">
        <x:v>176</x:v>
      </x:c>
      <x:c r="C340" s="112"/>
      <x:c r="D340" s="112"/>
      <x:c r="E340" s="112"/>
      <x:c r="F340" s="276"/>
      <x:c r="G340" s="2"/>
      <x:c r="H340" s="1" t="str">
        <x:f t="shared" si="5"/>
        <x:v>10.51.91.176</x:v>
      </x:c>
    </x:row>
    <x:row r="341" spans="2:8">
      <x:c r="B341" s="30">
        <x:v>177</x:v>
      </x:c>
      <x:c r="C341" s="112"/>
      <x:c r="D341" s="112"/>
      <x:c r="E341" s="112"/>
      <x:c r="F341" s="276"/>
      <x:c r="G341" s="2"/>
      <x:c r="H341" s="1" t="str">
        <x:f t="shared" si="5"/>
        <x:v>10.51.91.177</x:v>
      </x:c>
    </x:row>
    <x:row r="342" spans="2:8">
      <x:c r="B342" s="30">
        <x:v>178</x:v>
      </x:c>
      <x:c r="C342" s="112"/>
      <x:c r="D342" s="112"/>
      <x:c r="E342" s="112"/>
      <x:c r="F342" s="276"/>
      <x:c r="G342" s="2"/>
      <x:c r="H342" s="1" t="str">
        <x:f t="shared" si="5"/>
        <x:v>10.51.91.178</x:v>
      </x:c>
    </x:row>
    <x:row r="343" spans="2:8">
      <x:c r="B343" s="30">
        <x:v>179</x:v>
      </x:c>
      <x:c r="C343" s="112"/>
      <x:c r="D343" s="112"/>
      <x:c r="E343" s="112"/>
      <x:c r="F343" s="276"/>
      <x:c r="G343" s="2"/>
      <x:c r="H343" s="1" t="str">
        <x:f t="shared" si="5"/>
        <x:v>10.51.91.179</x:v>
      </x:c>
    </x:row>
    <x:row r="344" spans="2:8">
      <x:c r="B344" s="30">
        <x:v>180</x:v>
      </x:c>
      <x:c r="C344" s="112"/>
      <x:c r="D344" s="112"/>
      <x:c r="E344" s="112"/>
      <x:c r="F344" s="276"/>
      <x:c r="G344" s="2"/>
      <x:c r="H344" s="1" t="str">
        <x:f t="shared" si="5"/>
        <x:v>10.51.91.180</x:v>
      </x:c>
    </x:row>
    <x:row r="345" spans="2:8">
      <x:c r="B345" s="30">
        <x:v>181</x:v>
      </x:c>
      <x:c r="C345" s="112"/>
      <x:c r="D345" s="112"/>
      <x:c r="E345" s="112"/>
      <x:c r="F345" s="276"/>
      <x:c r="G345" s="2"/>
      <x:c r="H345" s="1" t="str">
        <x:f t="shared" si="5"/>
        <x:v>10.51.91.181</x:v>
      </x:c>
    </x:row>
    <x:row r="346" spans="2:8">
      <x:c r="B346" s="30">
        <x:v>182</x:v>
      </x:c>
      <x:c r="C346" s="112"/>
      <x:c r="D346" s="112"/>
      <x:c r="E346" s="112"/>
      <x:c r="F346" s="276"/>
      <x:c r="G346" s="2"/>
      <x:c r="H346" s="1" t="str">
        <x:f t="shared" si="5"/>
        <x:v>10.51.91.182</x:v>
      </x:c>
    </x:row>
    <x:row r="347" spans="2:8">
      <x:c r="B347" s="30">
        <x:v>183</x:v>
      </x:c>
      <x:c r="C347" s="112"/>
      <x:c r="D347" s="112"/>
      <x:c r="E347" s="112"/>
      <x:c r="F347" s="276"/>
      <x:c r="G347" s="2"/>
      <x:c r="H347" s="1" t="str">
        <x:f t="shared" si="5"/>
        <x:v>10.51.91.183</x:v>
      </x:c>
    </x:row>
    <x:row r="348" spans="2:8">
      <x:c r="B348" s="30">
        <x:v>184</x:v>
      </x:c>
      <x:c r="C348" s="112"/>
      <x:c r="D348" s="112"/>
      <x:c r="E348" s="112"/>
      <x:c r="F348" s="276"/>
      <x:c r="G348" s="2"/>
      <x:c r="H348" s="1" t="str">
        <x:f t="shared" si="5"/>
        <x:v>10.51.91.184</x:v>
      </x:c>
    </x:row>
    <x:row r="349" spans="2:8">
      <x:c r="B349" s="30">
        <x:v>185</x:v>
      </x:c>
      <x:c r="C349" s="112"/>
      <x:c r="D349" s="112"/>
      <x:c r="E349" s="112"/>
      <x:c r="F349" s="276"/>
      <x:c r="G349" s="2"/>
      <x:c r="H349" s="1" t="str">
        <x:f t="shared" si="5"/>
        <x:v>10.51.91.185</x:v>
      </x:c>
    </x:row>
    <x:row r="350" spans="2:8">
      <x:c r="B350" s="30">
        <x:v>186</x:v>
      </x:c>
      <x:c r="C350" s="112"/>
      <x:c r="D350" s="112"/>
      <x:c r="E350" s="112"/>
      <x:c r="F350" s="276"/>
      <x:c r="G350" s="2"/>
      <x:c r="H350" s="1" t="str">
        <x:f t="shared" si="5"/>
        <x:v>10.51.91.186</x:v>
      </x:c>
    </x:row>
    <x:row r="351" spans="2:8">
      <x:c r="B351" s="30">
        <x:v>187</x:v>
      </x:c>
      <x:c r="C351" s="112"/>
      <x:c r="D351" s="112"/>
      <x:c r="E351" s="112"/>
      <x:c r="F351" s="276"/>
      <x:c r="G351" s="2"/>
      <x:c r="H351" s="1" t="str">
        <x:f t="shared" si="5"/>
        <x:v>10.51.91.187</x:v>
      </x:c>
    </x:row>
    <x:row r="352" spans="2:8">
      <x:c r="B352" s="30">
        <x:v>188</x:v>
      </x:c>
      <x:c r="C352" s="112"/>
      <x:c r="D352" s="112"/>
      <x:c r="E352" s="112"/>
      <x:c r="F352" s="276"/>
      <x:c r="G352" s="2"/>
      <x:c r="H352" s="1" t="str">
        <x:f t="shared" si="5"/>
        <x:v>10.51.91.188</x:v>
      </x:c>
    </x:row>
    <x:row r="353" spans="2:8">
      <x:c r="B353" s="30">
        <x:v>189</x:v>
      </x:c>
      <x:c r="C353" s="112"/>
      <x:c r="D353" s="112"/>
      <x:c r="E353" s="112"/>
      <x:c r="F353" s="276"/>
      <x:c r="G353" s="2"/>
      <x:c r="H353" s="1" t="str">
        <x:f t="shared" si="5"/>
        <x:v>10.51.91.189</x:v>
      </x:c>
    </x:row>
    <x:row r="354" spans="2:8">
      <x:c r="B354" s="30">
        <x:v>190</x:v>
      </x:c>
      <x:c r="C354" s="112"/>
      <x:c r="D354" s="112"/>
      <x:c r="E354" s="112"/>
      <x:c r="F354" s="276"/>
      <x:c r="G354" s="2"/>
      <x:c r="H354" s="1" t="str">
        <x:f t="shared" si="5"/>
        <x:v>10.51.91.190</x:v>
      </x:c>
    </x:row>
    <x:row r="355" spans="2:8">
      <x:c r="B355" s="30">
        <x:v>191</x:v>
      </x:c>
      <x:c r="C355" s="112"/>
      <x:c r="D355" s="112"/>
      <x:c r="E355" s="112"/>
      <x:c r="F355" s="276"/>
      <x:c r="G355" s="2"/>
      <x:c r="H355" s="1" t="str">
        <x:f t="shared" si="5"/>
        <x:v>10.51.91.191</x:v>
      </x:c>
    </x:row>
    <x:row r="356" spans="2:8">
      <x:c r="B356" s="30">
        <x:v>192</x:v>
      </x:c>
      <x:c r="C356" s="112"/>
      <x:c r="D356" s="112"/>
      <x:c r="E356" s="112"/>
      <x:c r="F356" s="276"/>
      <x:c r="G356" s="2"/>
      <x:c r="H356" s="1" t="str">
        <x:f t="shared" si="5"/>
        <x:v>10.51.91.192</x:v>
      </x:c>
    </x:row>
    <x:row r="357" spans="2:8">
      <x:c r="B357" s="30">
        <x:v>193</x:v>
      </x:c>
      <x:c r="C357" s="112"/>
      <x:c r="D357" s="112"/>
      <x:c r="E357" s="112"/>
      <x:c r="F357" s="276"/>
      <x:c r="G357" s="2"/>
      <x:c r="H357" s="1" t="str">
        <x:f t="shared" si="5"/>
        <x:v>10.51.91.193</x:v>
      </x:c>
    </x:row>
    <x:row r="358" spans="2:8">
      <x:c r="B358" s="30">
        <x:v>194</x:v>
      </x:c>
      <x:c r="C358" s="112"/>
      <x:c r="D358" s="112"/>
      <x:c r="E358" s="112"/>
      <x:c r="F358" s="276"/>
      <x:c r="G358" s="2"/>
      <x:c r="H358" s="1" t="str">
        <x:f t="shared" si="5"/>
        <x:v>10.51.91.194</x:v>
      </x:c>
    </x:row>
    <x:row r="359" spans="2:8">
      <x:c r="B359" s="30">
        <x:v>195</x:v>
      </x:c>
      <x:c r="C359" s="112"/>
      <x:c r="D359" s="112"/>
      <x:c r="E359" s="112"/>
      <x:c r="F359" s="276"/>
      <x:c r="G359" s="2"/>
      <x:c r="H359" s="1" t="str">
        <x:f t="shared" si="5"/>
        <x:v>10.51.91.195</x:v>
      </x:c>
    </x:row>
    <x:row r="360" spans="2:8">
      <x:c r="B360" s="30">
        <x:v>196</x:v>
      </x:c>
      <x:c r="C360" s="112"/>
      <x:c r="D360" s="112"/>
      <x:c r="E360" s="112"/>
      <x:c r="F360" s="276"/>
      <x:c r="G360" s="2"/>
      <x:c r="H360" s="1" t="str">
        <x:f t="shared" si="5"/>
        <x:v>10.51.91.196</x:v>
      </x:c>
    </x:row>
    <x:row r="361" spans="2:8">
      <x:c r="B361" s="30">
        <x:v>197</x:v>
      </x:c>
      <x:c r="C361" s="112"/>
      <x:c r="D361" s="112"/>
      <x:c r="E361" s="112"/>
      <x:c r="F361" s="276"/>
      <x:c r="G361" s="2"/>
      <x:c r="H361" s="1" t="str">
        <x:f t="shared" si="5"/>
        <x:v>10.51.91.197</x:v>
      </x:c>
    </x:row>
    <x:row r="362" spans="2:8">
      <x:c r="B362" s="30">
        <x:v>198</x:v>
      </x:c>
      <x:c r="C362" s="112"/>
      <x:c r="D362" s="112"/>
      <x:c r="E362" s="112"/>
      <x:c r="F362" s="276"/>
      <x:c r="G362" s="2"/>
      <x:c r="H362" s="1" t="str">
        <x:f t="shared" si="5"/>
        <x:v>10.51.91.198</x:v>
      </x:c>
    </x:row>
    <x:row r="363" spans="2:8">
      <x:c r="B363" s="30">
        <x:v>199</x:v>
      </x:c>
      <x:c r="C363" s="35" t="s">
        <x:v>846</x:v>
      </x:c>
      <x:c r="D363" s="112"/>
      <x:c r="E363" s="112"/>
      <x:c r="F363" s="276"/>
      <x:c r="G363" s="2"/>
      <x:c r="H363" s="1" t="str">
        <x:f t="shared" si="5"/>
        <x:v>10.51.91.199</x:v>
      </x:c>
    </x:row>
    <x:row r="364" spans="2:8">
      <x:c r="B364" s="30">
        <x:v>200</x:v>
      </x:c>
      <x:c r="C364" s="112"/>
      <x:c r="D364" s="112"/>
      <x:c r="E364" s="112"/>
      <x:c r="F364" s="276"/>
      <x:c r="G364" s="2"/>
      <x:c r="H364" s="1" t="str">
        <x:f t="shared" si="5"/>
        <x:v>10.51.91.200</x:v>
      </x:c>
    </x:row>
  </x:sheetData>
  <x:mergeCells count="6">
    <x:mergeCell ref="A1:B1"/>
    <x:mergeCell ref="J31:K31"/>
    <x:mergeCell ref="J47:J48"/>
    <x:mergeCell ref="K47:K48"/>
    <x:mergeCell ref="L47:M47"/>
    <x:mergeCell ref="L50:M50"/>
  </x:mergeCells>
  <x:printOptions horizontalCentered="1" verticalCentered="0" headings="0" gridLines="0" gridLinesSet="1"/>
  <x:pageMargins left="0.70861113071441650391" right="0.70861113071441650391" top="0.9448611140251159668" bottom="0.74750000238418579102" header="0.31486111879348754883" footer="0.31486111879348754883"/>
  <x:pageSetup paperSize="9" scale="95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>
    <x:oddHeader>&amp;C&amp;"HY견고딕,Regular"&amp;22IP관리대장(교직원용)</x:oddHeader>
  </x:headerFooter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L218"/>
  <x:sheetViews>
    <x:sheetView topLeftCell="A1" zoomScaleNormal="100" zoomScaleSheetLayoutView="100" workbookViewId="0">
      <x:selection activeCell="H116" activeCellId="0" sqref="H116:H116"/>
    </x:sheetView>
  </x:sheetViews>
  <x:sheetFormatPr defaultColWidth="8.9140625" defaultRowHeight="13.5" customHeight="1"/>
  <x:cols>
    <x:col min="1" max="1" width="7.6640625" style="1" bestFit="1" customWidth="1"/>
    <x:col min="2" max="2" width="4.4140625" style="11" bestFit="1" customWidth="1"/>
    <x:col min="3" max="3" width="19.4140625" style="1" bestFit="1" customWidth="1"/>
    <x:col min="4" max="4" width="36.6640625" style="11" bestFit="1" customWidth="1"/>
    <x:col min="5" max="5" width="12.9140625" style="11" bestFit="1" customWidth="1"/>
    <x:col min="6" max="6" width="11.4140625" style="11" bestFit="1" customWidth="1"/>
    <x:col min="7" max="8" width="17.83203125" style="11" customWidth="1"/>
    <x:col min="9" max="9" width="14.4140625" style="11" bestFit="1" customWidth="1"/>
    <x:col min="10" max="16384" width="8.9140625" style="11"/>
  </x:cols>
  <x:sheetData>
    <x:row r="1" spans="1:6" ht="15" customHeight="1">
      <x:c r="A1" s="48" t="s">
        <x:v>1473</x:v>
      </x:c>
      <x:c r="B1" s="28" t="s">
        <x:v>1290</x:v>
      </x:c>
      <x:c r="C1" s="43" t="s">
        <x:v>1530</x:v>
      </x:c>
      <x:c r="D1" s="28" t="s">
        <x:v>1460</x:v>
      </x:c>
      <x:c r="E1" s="28" t="s">
        <x:v>1970</x:v>
      </x:c>
      <x:c r="F1" s="49"/>
    </x:row>
    <x:row r="2" spans="1:7" ht="15" customHeight="1">
      <x:c r="A2" s="50" t="s">
        <x:v>632</x:v>
      </x:c>
      <x:c r="B2" s="39">
        <x:v>1</x:v>
      </x:c>
      <x:c r="C2" s="39"/>
      <x:c r="D2" s="39"/>
      <x:c r="E2" s="39"/>
      <x:c r="F2" s="79"/>
      <x:c r="G2" s="11" t="str">
        <x:f t="shared" ref="G2:G10" si="0">$A$2&amp;B2</x:f>
        <x:v>10.54.36.1</x:v>
      </x:c>
    </x:row>
    <x:row r="3" spans="1:7" ht="15" customHeight="1">
      <x:c r="A3" s="30"/>
      <x:c r="B3" s="40">
        <x:v>2</x:v>
      </x:c>
      <x:c r="C3" s="40"/>
      <x:c r="D3" s="40"/>
      <x:c r="E3" s="40"/>
      <x:c r="F3" s="79"/>
      <x:c r="G3" s="11" t="str">
        <x:f t="shared" si="0"/>
        <x:v>10.54.36.2</x:v>
      </x:c>
    </x:row>
    <x:row r="4" spans="1:7" ht="15" customHeight="1">
      <x:c r="A4" s="30"/>
      <x:c r="B4" s="40">
        <x:v>3</x:v>
      </x:c>
      <x:c r="C4" s="40"/>
      <x:c r="D4" s="40"/>
      <x:c r="E4" s="40"/>
      <x:c r="F4" s="79"/>
      <x:c r="G4" s="11" t="str">
        <x:f t="shared" si="0"/>
        <x:v>10.54.36.3</x:v>
      </x:c>
    </x:row>
    <x:row r="5" spans="1:7" ht="15" customHeight="1">
      <x:c r="A5" s="30"/>
      <x:c r="B5" s="40">
        <x:v>4</x:v>
      </x:c>
      <x:c r="C5" s="40"/>
      <x:c r="D5" s="40"/>
      <x:c r="E5" s="40"/>
      <x:c r="F5" s="79"/>
      <x:c r="G5" s="11" t="str">
        <x:f t="shared" si="0"/>
        <x:v>10.54.36.4</x:v>
      </x:c>
    </x:row>
    <x:row r="6" spans="1:7" ht="15" customHeight="1">
      <x:c r="A6" s="30"/>
      <x:c r="B6" s="41">
        <x:v>5</x:v>
      </x:c>
      <x:c r="C6" s="41"/>
      <x:c r="D6" s="41"/>
      <x:c r="E6" s="41"/>
      <x:c r="F6" s="79"/>
      <x:c r="G6" s="11" t="str">
        <x:f t="shared" si="0"/>
        <x:v>10.54.36.5</x:v>
      </x:c>
    </x:row>
    <x:row r="7" spans="1:7" ht="15" customHeight="1">
      <x:c r="A7" s="30"/>
      <x:c r="B7" s="39">
        <x:v>6</x:v>
      </x:c>
      <x:c r="C7" s="39"/>
      <x:c r="D7" s="39"/>
      <x:c r="E7" s="39"/>
      <x:c r="F7" s="79"/>
      <x:c r="G7" s="11" t="str">
        <x:f t="shared" si="0"/>
        <x:v>10.54.36.6</x:v>
      </x:c>
    </x:row>
    <x:row r="8" spans="1:7" ht="15" customHeight="1">
      <x:c r="A8" s="30"/>
      <x:c r="B8" s="40">
        <x:v>7</x:v>
      </x:c>
      <x:c r="C8" s="40"/>
      <x:c r="D8" s="40"/>
      <x:c r="E8" s="40"/>
      <x:c r="F8" s="79"/>
      <x:c r="G8" s="11" t="str">
        <x:f t="shared" si="0"/>
        <x:v>10.54.36.7</x:v>
      </x:c>
    </x:row>
    <x:row r="9" spans="1:7" ht="15" customHeight="1">
      <x:c r="A9" s="30"/>
      <x:c r="B9" s="40">
        <x:v>8</x:v>
      </x:c>
      <x:c r="C9" s="40"/>
      <x:c r="D9" s="40"/>
      <x:c r="E9" s="40"/>
      <x:c r="F9" s="79"/>
      <x:c r="G9" s="11" t="str">
        <x:f t="shared" si="0"/>
        <x:v>10.54.36.8</x:v>
      </x:c>
    </x:row>
    <x:row r="10" spans="1:7" ht="15" customHeight="1">
      <x:c r="A10" s="30"/>
      <x:c r="B10" s="40">
        <x:v>9</x:v>
      </x:c>
      <x:c r="C10" s="40"/>
      <x:c r="D10" s="40"/>
      <x:c r="E10" s="40"/>
      <x:c r="F10" s="79"/>
      <x:c r="G10" s="11" t="str">
        <x:f t="shared" si="0"/>
        <x:v>10.54.36.9</x:v>
      </x:c>
    </x:row>
    <x:row r="11" spans="1:7" ht="15" customHeight="1">
      <x:c r="A11" s="11"/>
      <x:c r="B11" s="41">
        <x:v>10</x:v>
      </x:c>
      <x:c r="C11" s="41" t="s">
        <x:v>772</x:v>
      </x:c>
      <x:c r="D11" s="41" t="str">
        <x:f>IFERROR((VLOOKUP(C11,PC!$A$1:$K$435,7,FALSE)&amp;" "&amp;VLOOKUP(C11,PC!$A$1:$K$435,6,FALSE)),"")</x:f>
        <x:v>레드스톤 VITO RMS-565S</x:v>
      </x:c>
      <x:c r="E11" s="41" t="str">
        <x:f>IFERROR(VLOOKUP(C11,PC!$A$1:$K$435,2,FALSE),"")</x:f>
        <x:v>20190927-0798</x:v>
      </x:c>
      <x:c r="F11" s="315" t="s">
        <x:v>1917</x:v>
      </x:c>
      <x:c r="G11" s="11" t="str">
        <x:f t="shared" ref="G11:G25" si="1">$A$2&amp;B11</x:f>
        <x:v>10.54.36.10</x:v>
      </x:c>
    </x:row>
    <x:row r="12" spans="1:7" ht="15" customHeight="1">
      <x:c r="A12" s="51"/>
      <x:c r="B12" s="39">
        <x:v>11</x:v>
      </x:c>
      <x:c r="C12" s="39" t="s">
        <x:v>718</x:v>
      </x:c>
      <x:c r="D12" s="39" t="str">
        <x:f>IFERROR((VLOOKUP(C12,PC!$A$1:$K$435,7,FALSE)&amp;" "&amp;VLOOKUP(C12,PC!$A$1:$K$435,6,FALSE)),"")</x:f>
        <x:v>성주컴텍 SD100-GCR22S</x:v>
      </x:c>
      <x:c r="E12" s="39" t="str">
        <x:f>IFERROR(VLOOKUP(C12,PC!$A$1:$K$435,2,FALSE),"")</x:f>
        <x:v>20201102-0883</x:v>
      </x:c>
      <x:c r="F12" s="316"/>
      <x:c r="G12" s="11" t="str">
        <x:f t="shared" si="1"/>
        <x:v>10.54.36.11</x:v>
      </x:c>
    </x:row>
    <x:row r="13" spans="1:7" ht="15" customHeight="1">
      <x:c r="A13" s="51"/>
      <x:c r="B13" s="40">
        <x:v>12</x:v>
      </x:c>
      <x:c r="C13" s="40" t="s">
        <x:v>716</x:v>
      </x:c>
      <x:c r="D13" s="40" t="str">
        <x:f>IFERROR((VLOOKUP(C13,PC!$A$1:$K$435,7,FALSE)&amp;" "&amp;VLOOKUP(C13,PC!$A$1:$K$435,6,FALSE)),"")</x:f>
        <x:v>성주컴텍 SD100-GCR22S</x:v>
      </x:c>
      <x:c r="E13" s="40" t="str">
        <x:f>IFERROR(VLOOKUP(C13,PC!$A$1:$K$435,2,FALSE),"")</x:f>
        <x:v>20201102-0882</x:v>
      </x:c>
      <x:c r="F13" s="316"/>
      <x:c r="G13" s="11" t="str">
        <x:f t="shared" si="1"/>
        <x:v>10.54.36.12</x:v>
      </x:c>
    </x:row>
    <x:row r="14" spans="1:7" ht="15" customHeight="1">
      <x:c r="A14" s="51"/>
      <x:c r="B14" s="40">
        <x:v>13</x:v>
      </x:c>
      <x:c r="C14" s="40" t="s">
        <x:v>679</x:v>
      </x:c>
      <x:c r="D14" s="40" t="str">
        <x:f>IFERROR((VLOOKUP(C14,PC!$A$1:$K$435,7,FALSE)&amp;" "&amp;VLOOKUP(C14,PC!$A$1:$K$435,6,FALSE)),"")</x:f>
        <x:v>성주컴텍 SD100-GCR22S</x:v>
      </x:c>
      <x:c r="E14" s="40" t="str">
        <x:f>IFERROR(VLOOKUP(C14,PC!$A$1:$K$435,2,FALSE),"")</x:f>
        <x:v>20201102-0881</x:v>
      </x:c>
      <x:c r="F14" s="316"/>
      <x:c r="G14" s="11" t="str">
        <x:f t="shared" si="1"/>
        <x:v>10.54.36.13</x:v>
      </x:c>
    </x:row>
    <x:row r="15" spans="1:7" ht="15" customHeight="1">
      <x:c r="A15" s="51"/>
      <x:c r="B15" s="40">
        <x:v>14</x:v>
      </x:c>
      <x:c r="C15" s="40" t="s">
        <x:v>735</x:v>
      </x:c>
      <x:c r="D15" s="40" t="str">
        <x:f>IFERROR((VLOOKUP(C15,PC!$A$1:$K$435,7,FALSE)&amp;" "&amp;VLOOKUP(C15,PC!$A$1:$K$435,6,FALSE)),"")</x:f>
        <x:v>성주컴텍 SD100-GCR22S</x:v>
      </x:c>
      <x:c r="E15" s="40" t="str">
        <x:f>IFERROR(VLOOKUP(C15,PC!$A$1:$K$435,2,FALSE),"")</x:f>
        <x:v>20201102-0880</x:v>
      </x:c>
      <x:c r="F15" s="316"/>
      <x:c r="G15" s="11" t="str">
        <x:f t="shared" si="1"/>
        <x:v>10.54.36.14</x:v>
      </x:c>
    </x:row>
    <x:row r="16" spans="1:7" ht="15" customHeight="1">
      <x:c r="A16" s="51"/>
      <x:c r="B16" s="41">
        <x:v>15</x:v>
      </x:c>
      <x:c r="C16" s="41" t="s">
        <x:v>759</x:v>
      </x:c>
      <x:c r="D16" s="41" t="str">
        <x:f>IFERROR((VLOOKUP(C16,PC!$A$1:$K$435,7,FALSE)&amp;" "&amp;VLOOKUP(C16,PC!$A$1:$K$435,6,FALSE)),"")</x:f>
        <x:v>레드스톤 VITO RMS-565S</x:v>
      </x:c>
      <x:c r="E16" s="41" t="str">
        <x:f>IFERROR(VLOOKUP(C16,PC!$A$1:$K$435,2,FALSE),"")</x:f>
        <x:v>20190927-0795</x:v>
      </x:c>
      <x:c r="F16" s="316"/>
      <x:c r="G16" s="11" t="str">
        <x:f t="shared" si="1"/>
        <x:v>10.54.36.15</x:v>
      </x:c>
    </x:row>
    <x:row r="17" spans="1:7" ht="15" customHeight="1">
      <x:c r="A17" s="51"/>
      <x:c r="B17" s="39">
        <x:v>16</x:v>
      </x:c>
      <x:c r="C17" s="39" t="s">
        <x:v>743</x:v>
      </x:c>
      <x:c r="D17" s="39" t="str">
        <x:f>IFERROR((VLOOKUP(C17,PC!$A$1:$K$435,7,FALSE)&amp;" "&amp;VLOOKUP(C17,PC!$A$1:$K$435,6,FALSE)),"")</x:f>
        <x:v>레드스톤 VITO RMS-565S</x:v>
      </x:c>
      <x:c r="E17" s="39" t="str">
        <x:f>IFERROR(VLOOKUP(C17,PC!$A$1:$K$435,2,FALSE),"")</x:f>
        <x:v>20190927-0796</x:v>
      </x:c>
      <x:c r="F17" s="316"/>
      <x:c r="G17" s="11" t="str">
        <x:f t="shared" si="1"/>
        <x:v>10.54.36.16</x:v>
      </x:c>
    </x:row>
    <x:row r="18" spans="1:7" ht="15" customHeight="1">
      <x:c r="A18" s="51"/>
      <x:c r="B18" s="40">
        <x:v>17</x:v>
      </x:c>
      <x:c r="C18" s="40" t="s">
        <x:v>744</x:v>
      </x:c>
      <x:c r="D18" s="40" t="str">
        <x:f>IFERROR((VLOOKUP(C18,PC!$A$1:$K$435,7,FALSE)&amp;" "&amp;VLOOKUP(C18,PC!$A$1:$K$435,6,FALSE)),"")</x:f>
        <x:v>레드스톤 VITO RMS-565S</x:v>
      </x:c>
      <x:c r="E18" s="40" t="str">
        <x:f>IFERROR(VLOOKUP(C18,PC!$A$1:$K$435,2,FALSE),"")</x:f>
        <x:v>20190927-0797</x:v>
      </x:c>
      <x:c r="F18" s="316"/>
      <x:c r="G18" s="11" t="str">
        <x:f t="shared" si="1"/>
        <x:v>10.54.36.17</x:v>
      </x:c>
    </x:row>
    <x:row r="19" spans="1:7" ht="15" customHeight="1">
      <x:c r="A19" s="51"/>
      <x:c r="B19" s="40">
        <x:v>18</x:v>
      </x:c>
      <x:c r="C19" s="40" t="s">
        <x:v>732</x:v>
      </x:c>
      <x:c r="D19" s="40" t="str">
        <x:f>IFERROR((VLOOKUP(C19,PC!$A$1:$K$435,7,FALSE)&amp;" "&amp;VLOOKUP(C19,PC!$A$1:$K$435,6,FALSE)),"")</x:f>
        <x:v>삼보 DG375-GA31-0BPS</x:v>
      </x:c>
      <x:c r="E19" s="40" t="str">
        <x:f>IFERROR(VLOOKUP(C19,PC!$A$1:$K$435,2,FALSE),"")</x:f>
        <x:v>20220117-0896</x:v>
      </x:c>
      <x:c r="F19" s="316"/>
      <x:c r="G19" s="11" t="str">
        <x:f t="shared" si="1"/>
        <x:v>10.54.36.18</x:v>
      </x:c>
    </x:row>
    <x:row r="20" spans="1:7" ht="15" customHeight="1">
      <x:c r="A20" s="51"/>
      <x:c r="B20" s="40">
        <x:v>19</x:v>
      </x:c>
      <x:c r="C20" s="40" t="s">
        <x:v>694</x:v>
      </x:c>
      <x:c r="D20" s="40" t="str">
        <x:f>IFERROR((VLOOKUP(C20,PC!$A$1:$K$435,7,FALSE)&amp;" "&amp;VLOOKUP(C20,PC!$A$1:$K$435,6,FALSE)),"")</x:f>
        <x:v>삼보 DG375-GA31-0BPS</x:v>
      </x:c>
      <x:c r="E20" s="40" t="str">
        <x:f>IFERROR(VLOOKUP(C20,PC!$A$1:$K$435,2,FALSE),"")</x:f>
        <x:v>20220117-0897</x:v>
      </x:c>
      <x:c r="F20" s="316"/>
      <x:c r="G20" s="11" t="str">
        <x:f t="shared" si="1"/>
        <x:v>10.54.36.19</x:v>
      </x:c>
    </x:row>
    <x:row r="21" spans="1:7" ht="15" customHeight="1">
      <x:c r="A21" s="51"/>
      <x:c r="B21" s="41">
        <x:v>20</x:v>
      </x:c>
      <x:c r="C21" s="41" t="s">
        <x:v>663</x:v>
      </x:c>
      <x:c r="D21" s="41" t="str">
        <x:f>IFERROR((VLOOKUP(C21,PC!$A$1:$K$435,7,FALSE)&amp;" "&amp;VLOOKUP(C21,PC!$A$1:$K$435,6,FALSE)),"")</x:f>
        <x:v>삼보 DG375-GA31-0BPS</x:v>
      </x:c>
      <x:c r="E21" s="41" t="str">
        <x:f>IFERROR(VLOOKUP(C21,PC!$A$1:$K$435,2,FALSE),"")</x:f>
        <x:v>20220117-0898</x:v>
      </x:c>
      <x:c r="F21" s="316"/>
      <x:c r="G21" s="11" t="str">
        <x:f t="shared" si="1"/>
        <x:v>10.54.36.20</x:v>
      </x:c>
    </x:row>
    <x:row r="22" spans="1:7" ht="15" customHeight="1">
      <x:c r="A22" s="51"/>
      <x:c r="B22" s="39">
        <x:v>21</x:v>
      </x:c>
      <x:c r="C22" s="39" t="s">
        <x:v>669</x:v>
      </x:c>
      <x:c r="D22" s="39" t="str">
        <x:f>IFERROR((VLOOKUP(C22,PC!$A$1:$K$435,7,FALSE)&amp;" "&amp;VLOOKUP(C22,PC!$A$1:$K$435,6,FALSE)),"")</x:f>
        <x:v>삼보 DG375-GA31-0BPS</x:v>
      </x:c>
      <x:c r="E22" s="39" t="str">
        <x:f>IFERROR(VLOOKUP(C22,PC!$A$1:$K$435,2,FALSE),"")</x:f>
        <x:v>20220117-0899</x:v>
      </x:c>
      <x:c r="F22" s="316"/>
      <x:c r="G22" s="11" t="str">
        <x:f t="shared" si="1"/>
        <x:v>10.54.36.21</x:v>
      </x:c>
    </x:row>
    <x:row r="23" spans="1:7" ht="15" customHeight="1">
      <x:c r="A23" s="51"/>
      <x:c r="B23" s="40">
        <x:v>22</x:v>
      </x:c>
      <x:c r="C23" s="40" t="s">
        <x:v>689</x:v>
      </x:c>
      <x:c r="D23" s="40" t="str">
        <x:f>IFERROR((VLOOKUP(C23,PC!$A$1:$K$435,7,FALSE)&amp;" "&amp;VLOOKUP(C23,PC!$A$1:$K$435,6,FALSE)),"")</x:f>
        <x:v>삼보 DG375-GA31-0BPS</x:v>
      </x:c>
      <x:c r="E23" s="40" t="str">
        <x:f>IFERROR(VLOOKUP(C23,PC!$A$1:$K$435,2,FALSE),"")</x:f>
        <x:v>20220117-0900</x:v>
      </x:c>
      <x:c r="F23" s="317"/>
      <x:c r="G23" s="11" t="str">
        <x:f t="shared" si="1"/>
        <x:v>10.54.36.22</x:v>
      </x:c>
    </x:row>
    <x:row r="24" spans="1:7" ht="15" customHeight="1">
      <x:c r="A24" s="51"/>
      <x:c r="B24" s="40">
        <x:v>23</x:v>
      </x:c>
      <x:c r="C24" s="40"/>
      <x:c r="D24" s="40" t="str">
        <x:f>IFERROR((VLOOKUP(C24,PC!$A$1:$K$435,7,FALSE)&amp;" "&amp;VLOOKUP(C24,PC!$A$1:$K$435,6,FALSE)),"")</x:f>
        <x:v/>
      </x:c>
      <x:c r="E24" s="40" t="str">
        <x:f>IFERROR(VLOOKUP(C24,PC!$A$1:$K$435,2,FALSE),"")</x:f>
        <x:v/>
      </x:c>
      <x:c r="F24" s="137"/>
      <x:c r="G24" s="11" t="str">
        <x:f t="shared" si="1"/>
        <x:v>10.54.36.23</x:v>
      </x:c>
    </x:row>
    <x:row r="25" spans="1:7" ht="15" customHeight="1">
      <x:c r="A25" s="51"/>
      <x:c r="B25" s="40">
        <x:v>24</x:v>
      </x:c>
      <x:c r="C25" s="40"/>
      <x:c r="D25" s="40" t="str">
        <x:f>IFERROR((VLOOKUP(C25,PC!$A$1:$K$435,7,FALSE)&amp;" "&amp;VLOOKUP(C25,PC!$A$1:$K$435,6,FALSE)),"")</x:f>
        <x:v/>
      </x:c>
      <x:c r="E25" s="40" t="str">
        <x:f>IFERROR(VLOOKUP(C25,PC!$A$1:$K$435,2,FALSE),"")</x:f>
        <x:v/>
      </x:c>
      <x:c r="F25" s="79"/>
      <x:c r="G25" s="11" t="str">
        <x:f t="shared" si="1"/>
        <x:v>10.54.36.24</x:v>
      </x:c>
    </x:row>
    <x:row r="26" spans="1:7" ht="15" customHeight="1">
      <x:c r="A26" s="51"/>
      <x:c r="B26" s="41">
        <x:v>25</x:v>
      </x:c>
      <x:c r="C26" s="41"/>
      <x:c r="D26" s="41"/>
      <x:c r="E26" s="41"/>
      <x:c r="F26" s="79"/>
      <x:c r="G26" s="11" t="str">
        <x:f t="shared" ref="G26:G71" si="2">$A$2&amp;B26</x:f>
        <x:v>10.54.36.25</x:v>
      </x:c>
    </x:row>
    <x:row r="27" spans="1:7" ht="15" customHeight="1">
      <x:c r="A27" s="51"/>
      <x:c r="B27" s="39">
        <x:v>26</x:v>
      </x:c>
      <x:c r="C27" s="39"/>
      <x:c r="D27" s="39"/>
      <x:c r="E27" s="39"/>
      <x:c r="F27" s="79"/>
      <x:c r="G27" s="11" t="str">
        <x:f t="shared" si="2"/>
        <x:v>10.54.36.26</x:v>
      </x:c>
    </x:row>
    <x:row r="28" spans="1:7" ht="15" customHeight="1">
      <x:c r="A28" s="51"/>
      <x:c r="B28" s="40">
        <x:v>27</x:v>
      </x:c>
      <x:c r="C28" s="40"/>
      <x:c r="D28" s="40"/>
      <x:c r="E28" s="40"/>
      <x:c r="F28" s="79"/>
      <x:c r="G28" s="11" t="str">
        <x:f t="shared" si="2"/>
        <x:v>10.54.36.27</x:v>
      </x:c>
    </x:row>
    <x:row r="29" spans="1:7" ht="15" customHeight="1">
      <x:c r="A29" s="51"/>
      <x:c r="B29" s="40">
        <x:v>28</x:v>
      </x:c>
      <x:c r="C29" s="40"/>
      <x:c r="D29" s="40"/>
      <x:c r="E29" s="40"/>
      <x:c r="F29" s="79"/>
      <x:c r="G29" s="11" t="str">
        <x:f t="shared" si="2"/>
        <x:v>10.54.36.28</x:v>
      </x:c>
    </x:row>
    <x:row r="30" spans="1:7" ht="15" customHeight="1">
      <x:c r="A30" s="51"/>
      <x:c r="B30" s="40">
        <x:v>29</x:v>
      </x:c>
      <x:c r="C30" s="40"/>
      <x:c r="D30" s="40"/>
      <x:c r="E30" s="40"/>
      <x:c r="F30" s="79"/>
      <x:c r="G30" s="11" t="str">
        <x:f t="shared" si="2"/>
        <x:v>10.54.36.29</x:v>
      </x:c>
    </x:row>
    <x:row r="31" spans="1:7" ht="15" customHeight="1">
      <x:c r="A31" s="51"/>
      <x:c r="B31" s="41">
        <x:v>30</x:v>
      </x:c>
      <x:c r="C31" s="41"/>
      <x:c r="D31" s="41"/>
      <x:c r="E31" s="41"/>
      <x:c r="F31" s="79"/>
      <x:c r="G31" s="11" t="str">
        <x:f t="shared" si="2"/>
        <x:v>10.54.36.30</x:v>
      </x:c>
    </x:row>
    <x:row r="32" spans="1:7" ht="15" customHeight="1">
      <x:c r="A32" s="51"/>
      <x:c r="B32" s="39">
        <x:v>31</x:v>
      </x:c>
      <x:c r="C32" s="39"/>
      <x:c r="D32" s="39"/>
      <x:c r="E32" s="39"/>
      <x:c r="F32" s="79"/>
      <x:c r="G32" s="11" t="str">
        <x:f t="shared" si="2"/>
        <x:v>10.54.36.31</x:v>
      </x:c>
    </x:row>
    <x:row r="33" spans="1:7" ht="15" customHeight="1">
      <x:c r="A33" s="51"/>
      <x:c r="B33" s="40">
        <x:v>32</x:v>
      </x:c>
      <x:c r="C33" s="40"/>
      <x:c r="D33" s="40"/>
      <x:c r="E33" s="40"/>
      <x:c r="F33" s="79"/>
      <x:c r="G33" s="11" t="str">
        <x:f t="shared" si="2"/>
        <x:v>10.54.36.32</x:v>
      </x:c>
    </x:row>
    <x:row r="34" spans="1:7" ht="15" customHeight="1">
      <x:c r="A34" s="51"/>
      <x:c r="B34" s="40">
        <x:v>33</x:v>
      </x:c>
      <x:c r="C34" s="40"/>
      <x:c r="D34" s="40"/>
      <x:c r="E34" s="40"/>
      <x:c r="F34" s="79"/>
      <x:c r="G34" s="11" t="str">
        <x:f t="shared" si="2"/>
        <x:v>10.54.36.33</x:v>
      </x:c>
    </x:row>
    <x:row r="35" spans="1:7" ht="15" customHeight="1">
      <x:c r="A35" s="51"/>
      <x:c r="B35" s="40">
        <x:v>34</x:v>
      </x:c>
      <x:c r="C35" s="40"/>
      <x:c r="D35" s="40"/>
      <x:c r="E35" s="40"/>
      <x:c r="F35" s="79"/>
      <x:c r="G35" s="11" t="str">
        <x:f t="shared" si="2"/>
        <x:v>10.54.36.34</x:v>
      </x:c>
    </x:row>
    <x:row r="36" spans="1:7" ht="15" customHeight="1">
      <x:c r="A36" s="51"/>
      <x:c r="B36" s="41">
        <x:v>35</x:v>
      </x:c>
      <x:c r="C36" s="41"/>
      <x:c r="D36" s="41"/>
      <x:c r="E36" s="41"/>
      <x:c r="F36" s="79"/>
      <x:c r="G36" s="11" t="str">
        <x:f t="shared" si="2"/>
        <x:v>10.54.36.35</x:v>
      </x:c>
    </x:row>
    <x:row r="37" spans="1:7" ht="15" customHeight="1">
      <x:c r="A37" s="51"/>
      <x:c r="B37" s="39">
        <x:v>36</x:v>
      </x:c>
      <x:c r="C37" s="39"/>
      <x:c r="D37" s="39"/>
      <x:c r="E37" s="39"/>
      <x:c r="F37" s="79"/>
      <x:c r="G37" s="11" t="str">
        <x:f t="shared" si="2"/>
        <x:v>10.54.36.36</x:v>
      </x:c>
    </x:row>
    <x:row r="38" spans="1:7" ht="15" customHeight="1">
      <x:c r="A38" s="51"/>
      <x:c r="B38" s="40">
        <x:v>37</x:v>
      </x:c>
      <x:c r="C38" s="40"/>
      <x:c r="D38" s="40"/>
      <x:c r="E38" s="40"/>
      <x:c r="F38" s="79"/>
      <x:c r="G38" s="11" t="str">
        <x:f t="shared" si="2"/>
        <x:v>10.54.36.37</x:v>
      </x:c>
    </x:row>
    <x:row r="39" spans="1:7" ht="15" customHeight="1">
      <x:c r="A39" s="51"/>
      <x:c r="B39" s="40">
        <x:v>38</x:v>
      </x:c>
      <x:c r="C39" s="40"/>
      <x:c r="D39" s="40"/>
      <x:c r="E39" s="40"/>
      <x:c r="F39" s="79"/>
      <x:c r="G39" s="11" t="str">
        <x:f t="shared" si="2"/>
        <x:v>10.54.36.38</x:v>
      </x:c>
    </x:row>
    <x:row r="40" spans="1:7" ht="15" customHeight="1">
      <x:c r="A40" s="51"/>
      <x:c r="B40" s="40">
        <x:v>39</x:v>
      </x:c>
      <x:c r="C40" s="40"/>
      <x:c r="D40" s="40"/>
      <x:c r="E40" s="40"/>
      <x:c r="F40" s="79"/>
      <x:c r="G40" s="11" t="str">
        <x:f t="shared" si="2"/>
        <x:v>10.54.36.39</x:v>
      </x:c>
    </x:row>
    <x:row r="41" spans="1:7" ht="15" customHeight="1">
      <x:c r="A41" s="51"/>
      <x:c r="B41" s="41">
        <x:v>40</x:v>
      </x:c>
      <x:c r="C41" s="41"/>
      <x:c r="D41" s="41"/>
      <x:c r="E41" s="41"/>
      <x:c r="F41" s="79"/>
      <x:c r="G41" s="11" t="str">
        <x:f t="shared" si="2"/>
        <x:v>10.54.36.40</x:v>
      </x:c>
    </x:row>
    <x:row r="42" spans="1:7" ht="15" customHeight="1">
      <x:c r="A42" s="51"/>
      <x:c r="B42" s="39">
        <x:v>41</x:v>
      </x:c>
      <x:c r="C42" s="39"/>
      <x:c r="D42" s="39"/>
      <x:c r="E42" s="39"/>
      <x:c r="F42" s="79"/>
      <x:c r="G42" s="11" t="str">
        <x:f t="shared" si="2"/>
        <x:v>10.54.36.41</x:v>
      </x:c>
    </x:row>
    <x:row r="43" spans="1:7" ht="15" customHeight="1">
      <x:c r="A43" s="51"/>
      <x:c r="B43" s="40">
        <x:v>42</x:v>
      </x:c>
      <x:c r="C43" s="40"/>
      <x:c r="D43" s="40"/>
      <x:c r="E43" s="40"/>
      <x:c r="F43" s="79"/>
      <x:c r="G43" s="11" t="str">
        <x:f t="shared" si="2"/>
        <x:v>10.54.36.42</x:v>
      </x:c>
    </x:row>
    <x:row r="44" spans="1:7" ht="15" customHeight="1">
      <x:c r="A44" s="51"/>
      <x:c r="B44" s="40">
        <x:v>43</x:v>
      </x:c>
      <x:c r="C44" s="40"/>
      <x:c r="D44" s="40"/>
      <x:c r="E44" s="40"/>
      <x:c r="F44" s="79"/>
      <x:c r="G44" s="11" t="str">
        <x:f t="shared" si="2"/>
        <x:v>10.54.36.43</x:v>
      </x:c>
    </x:row>
    <x:row r="45" spans="1:7" ht="15" customHeight="1">
      <x:c r="A45" s="51"/>
      <x:c r="B45" s="40">
        <x:v>44</x:v>
      </x:c>
      <x:c r="C45" s="40"/>
      <x:c r="D45" s="40"/>
      <x:c r="E45" s="40"/>
      <x:c r="F45" s="79"/>
      <x:c r="G45" s="11" t="str">
        <x:f t="shared" si="2"/>
        <x:v>10.54.36.44</x:v>
      </x:c>
    </x:row>
    <x:row r="46" spans="1:7" ht="15" customHeight="1">
      <x:c r="A46" s="51"/>
      <x:c r="B46" s="41">
        <x:v>45</x:v>
      </x:c>
      <x:c r="C46" s="41"/>
      <x:c r="D46" s="41"/>
      <x:c r="E46" s="41"/>
      <x:c r="F46" s="79"/>
      <x:c r="G46" s="11" t="str">
        <x:f t="shared" si="2"/>
        <x:v>10.54.36.45</x:v>
      </x:c>
    </x:row>
    <x:row r="47" spans="1:7" ht="15" customHeight="1">
      <x:c r="A47" s="51"/>
      <x:c r="B47" s="39">
        <x:v>46</x:v>
      </x:c>
      <x:c r="C47" s="39"/>
      <x:c r="D47" s="39"/>
      <x:c r="E47" s="39"/>
      <x:c r="F47" s="79"/>
      <x:c r="G47" s="11" t="str">
        <x:f t="shared" si="2"/>
        <x:v>10.54.36.46</x:v>
      </x:c>
    </x:row>
    <x:row r="48" spans="1:7" ht="15" customHeight="1">
      <x:c r="A48" s="51"/>
      <x:c r="B48" s="40">
        <x:v>47</x:v>
      </x:c>
      <x:c r="C48" s="40"/>
      <x:c r="D48" s="40"/>
      <x:c r="E48" s="40"/>
      <x:c r="F48" s="79"/>
      <x:c r="G48" s="11" t="str">
        <x:f t="shared" si="2"/>
        <x:v>10.54.36.47</x:v>
      </x:c>
    </x:row>
    <x:row r="49" spans="1:7" ht="15" customHeight="1">
      <x:c r="A49" s="51"/>
      <x:c r="B49" s="40">
        <x:v>48</x:v>
      </x:c>
      <x:c r="C49" s="40"/>
      <x:c r="D49" s="40"/>
      <x:c r="E49" s="40"/>
      <x:c r="F49" s="79"/>
      <x:c r="G49" s="11" t="str">
        <x:f t="shared" si="2"/>
        <x:v>10.54.36.48</x:v>
      </x:c>
    </x:row>
    <x:row r="50" spans="1:7" ht="15" customHeight="1">
      <x:c r="A50" s="51"/>
      <x:c r="B50" s="40">
        <x:v>49</x:v>
      </x:c>
      <x:c r="C50" s="40"/>
      <x:c r="D50" s="40"/>
      <x:c r="E50" s="40"/>
      <x:c r="F50" s="79"/>
      <x:c r="G50" s="11" t="str">
        <x:f t="shared" si="2"/>
        <x:v>10.54.36.49</x:v>
      </x:c>
    </x:row>
    <x:row r="51" spans="1:7" ht="15" customHeight="1">
      <x:c r="A51" s="51"/>
      <x:c r="B51" s="41">
        <x:v>50</x:v>
      </x:c>
      <x:c r="C51" s="41"/>
      <x:c r="D51" s="41"/>
      <x:c r="E51" s="41"/>
      <x:c r="F51" s="79"/>
      <x:c r="G51" s="11" t="str">
        <x:f t="shared" si="2"/>
        <x:v>10.54.36.50</x:v>
      </x:c>
    </x:row>
    <x:row r="52" spans="1:8" ht="15" customHeight="1">
      <x:c r="A52" s="51"/>
      <x:c r="B52" s="39">
        <x:v>51</x:v>
      </x:c>
      <x:c r="C52" s="39" t="s">
        <x:v>1620</x:v>
      </x:c>
      <x:c r="D52" s="39" t="str">
        <x:f>IFERROR((VLOOKUP(C52,PC!$A$1:$K$435,7,FALSE)&amp;" "&amp;VLOOKUP(C52,PC!$A$1:$K$435,6,FALSE)),"")</x:f>
        <x:v>레드스톤 VITO RMS-565S</x:v>
      </x:c>
      <x:c r="E52" s="39" t="str">
        <x:f>IFERROR(VLOOKUP(C52,PC!$A$1:$K$435,2,FALSE),"")</x:f>
        <x:v>20190927-0790</x:v>
      </x:c>
      <x:c r="F52" s="315" t="s">
        <x:v>1403</x:v>
      </x:c>
      <x:c r="G52" s="11" t="str">
        <x:f t="shared" si="2"/>
        <x:v>10.54.36.51</x:v>
      </x:c>
      <x:c r="H52" s="11" t="s">
        <x:v>1816</x:v>
      </x:c>
    </x:row>
    <x:row r="53" spans="1:8" ht="15" customHeight="1">
      <x:c r="A53" s="51"/>
      <x:c r="B53" s="40">
        <x:v>52</x:v>
      </x:c>
      <x:c r="C53" s="40" t="s">
        <x:v>2032</x:v>
      </x:c>
      <x:c r="D53" s="40" t="str">
        <x:f>IFERROR((VLOOKUP(C53,PC!$A$1:$K$435,7,FALSE)&amp;" "&amp;VLOOKUP(C53,PC!$A$1:$K$435,6,FALSE)),"")</x:f>
        <x:v>레드스톤 VITO RMS-565S</x:v>
      </x:c>
      <x:c r="E53" s="40" t="str">
        <x:f>IFERROR(VLOOKUP(C53,PC!$A$1:$K$435,2,FALSE),"")</x:f>
        <x:v>20190927-0791</x:v>
      </x:c>
      <x:c r="F53" s="316"/>
      <x:c r="G53" s="11" t="str">
        <x:f t="shared" si="2"/>
        <x:v>10.54.36.52</x:v>
      </x:c>
      <x:c r="H53" s="11" t="s">
        <x:v>1816</x:v>
      </x:c>
    </x:row>
    <x:row r="54" spans="1:8" ht="15" customHeight="1">
      <x:c r="A54" s="51"/>
      <x:c r="B54" s="40">
        <x:v>53</x:v>
      </x:c>
      <x:c r="C54" s="40" t="s">
        <x:v>1679</x:v>
      </x:c>
      <x:c r="D54" s="40" t="str">
        <x:f>IFERROR((VLOOKUP(C54,PC!$A$1:$K$435,7,FALSE)&amp;" "&amp;VLOOKUP(C54,PC!$A$1:$K$435,6,FALSE)),"")</x:f>
        <x:v>주연테크 JY-네이션스IA45K</x:v>
      </x:c>
      <x:c r="E54" s="40" t="str">
        <x:f>IFERROR(VLOOKUP(C54,PC!$A$1:$K$435,2,FALSE),"")</x:f>
        <x:v>20150825-0768</x:v>
      </x:c>
      <x:c r="F54" s="316"/>
      <x:c r="G54" s="11" t="str">
        <x:f t="shared" si="2"/>
        <x:v>10.54.36.53</x:v>
      </x:c>
      <x:c r="H54" s="11" t="s">
        <x:v>1816</x:v>
      </x:c>
    </x:row>
    <x:row r="55" spans="1:8" ht="15" customHeight="1">
      <x:c r="A55" s="51"/>
      <x:c r="B55" s="40">
        <x:v>54</x:v>
      </x:c>
      <x:c r="C55" s="40" t="s">
        <x:v>1695</x:v>
      </x:c>
      <x:c r="D55" s="40" t="str">
        <x:f>IFERROR((VLOOKUP(C55,PC!$A$1:$K$435,7,FALSE)&amp;" "&amp;VLOOKUP(C55,PC!$A$1:$K$435,6,FALSE)),"")</x:f>
        <x:v>주연테크 JY-네이션스IA45K</x:v>
      </x:c>
      <x:c r="E55" s="40" t="str">
        <x:f>IFERROR(VLOOKUP(C55,PC!$A$1:$K$435,2,FALSE),"")</x:f>
        <x:v>20150825-0769</x:v>
      </x:c>
      <x:c r="F55" s="317"/>
      <x:c r="G55" s="11" t="str">
        <x:f t="shared" si="2"/>
        <x:v>10.54.36.54</x:v>
      </x:c>
      <x:c r="H55" s="11" t="s">
        <x:v>1816</x:v>
      </x:c>
    </x:row>
    <x:row r="56" spans="1:7" ht="15" customHeight="1">
      <x:c r="A56" s="51"/>
      <x:c r="B56" s="41">
        <x:v>55</x:v>
      </x:c>
      <x:c r="C56" s="41"/>
      <x:c r="D56" s="41" t="str">
        <x:f>IFERROR((VLOOKUP(C56,PC!$A$1:$K$435,7,FALSE)&amp;" "&amp;VLOOKUP(C56,PC!$A$1:$K$435,6,FALSE)),"")</x:f>
        <x:v/>
      </x:c>
      <x:c r="E56" s="41" t="str">
        <x:f>IFERROR(VLOOKUP(C56,PC!$A$1:$K$435,2,FALSE),"")</x:f>
        <x:v/>
      </x:c>
      <x:c r="F56" s="198"/>
      <x:c r="G56" s="11" t="str">
        <x:f t="shared" si="2"/>
        <x:v>10.54.36.55</x:v>
      </x:c>
    </x:row>
    <x:row r="57" spans="1:7" ht="15" customHeight="1">
      <x:c r="A57" s="51"/>
      <x:c r="B57" s="39">
        <x:v>56</x:v>
      </x:c>
      <x:c r="C57" s="39"/>
      <x:c r="D57" s="39"/>
      <x:c r="E57" s="39"/>
      <x:c r="F57" s="198"/>
      <x:c r="G57" s="11" t="str">
        <x:f t="shared" si="2"/>
        <x:v>10.54.36.56</x:v>
      </x:c>
    </x:row>
    <x:row r="58" spans="1:7" ht="15" customHeight="1">
      <x:c r="A58" s="51"/>
      <x:c r="B58" s="40">
        <x:v>57</x:v>
      </x:c>
      <x:c r="C58" s="40"/>
      <x:c r="D58" s="40"/>
      <x:c r="E58" s="40"/>
      <x:c r="F58" s="198"/>
      <x:c r="G58" s="11" t="str">
        <x:f t="shared" si="2"/>
        <x:v>10.54.36.57</x:v>
      </x:c>
    </x:row>
    <x:row r="59" spans="1:7" ht="15" customHeight="1">
      <x:c r="A59" s="51"/>
      <x:c r="B59" s="40">
        <x:v>58</x:v>
      </x:c>
      <x:c r="C59" s="40"/>
      <x:c r="D59" s="40"/>
      <x:c r="E59" s="40"/>
      <x:c r="F59" s="198"/>
      <x:c r="G59" s="11" t="str">
        <x:f t="shared" si="2"/>
        <x:v>10.54.36.58</x:v>
      </x:c>
    </x:row>
    <x:row r="60" spans="1:7" ht="15" customHeight="1">
      <x:c r="A60" s="51"/>
      <x:c r="B60" s="40">
        <x:v>59</x:v>
      </x:c>
      <x:c r="C60" s="40"/>
      <x:c r="D60" s="40"/>
      <x:c r="E60" s="40"/>
      <x:c r="F60" s="198"/>
      <x:c r="G60" s="11" t="str">
        <x:f t="shared" si="2"/>
        <x:v>10.54.36.59</x:v>
      </x:c>
    </x:row>
    <x:row r="61" spans="1:7" ht="15" customHeight="1">
      <x:c r="A61" s="51"/>
      <x:c r="B61" s="41">
        <x:v>60</x:v>
      </x:c>
      <x:c r="C61" s="41"/>
      <x:c r="D61" s="41"/>
      <x:c r="E61" s="41"/>
      <x:c r="F61" s="198"/>
      <x:c r="G61" s="11" t="str">
        <x:f t="shared" si="2"/>
        <x:v>10.54.36.60</x:v>
      </x:c>
    </x:row>
    <x:row r="62" spans="1:7" ht="15" customHeight="1">
      <x:c r="A62" s="51"/>
      <x:c r="B62" s="39">
        <x:v>61</x:v>
      </x:c>
      <x:c r="C62" s="39"/>
      <x:c r="D62" s="39"/>
      <x:c r="E62" s="39"/>
      <x:c r="F62" s="198"/>
      <x:c r="G62" s="11" t="str">
        <x:f t="shared" si="2"/>
        <x:v>10.54.36.61</x:v>
      </x:c>
    </x:row>
    <x:row r="63" spans="1:7" ht="15" customHeight="1">
      <x:c r="A63" s="51"/>
      <x:c r="B63" s="40">
        <x:v>62</x:v>
      </x:c>
      <x:c r="C63" s="40"/>
      <x:c r="D63" s="40"/>
      <x:c r="E63" s="40"/>
      <x:c r="F63" s="198"/>
      <x:c r="G63" s="11" t="str">
        <x:f t="shared" si="2"/>
        <x:v>10.54.36.62</x:v>
      </x:c>
    </x:row>
    <x:row r="64" spans="1:7" ht="15" customHeight="1">
      <x:c r="A64" s="51"/>
      <x:c r="B64" s="40">
        <x:v>63</x:v>
      </x:c>
      <x:c r="C64" s="40"/>
      <x:c r="D64" s="40"/>
      <x:c r="E64" s="40"/>
      <x:c r="F64" s="198"/>
      <x:c r="G64" s="11" t="str">
        <x:f t="shared" si="2"/>
        <x:v>10.54.36.63</x:v>
      </x:c>
    </x:row>
    <x:row r="65" spans="1:7" ht="15" customHeight="1">
      <x:c r="A65" s="51"/>
      <x:c r="B65" s="40">
        <x:v>64</x:v>
      </x:c>
      <x:c r="C65" s="40"/>
      <x:c r="D65" s="40"/>
      <x:c r="E65" s="40"/>
      <x:c r="F65" s="198"/>
      <x:c r="G65" s="11" t="str">
        <x:f t="shared" si="2"/>
        <x:v>10.54.36.64</x:v>
      </x:c>
    </x:row>
    <x:row r="66" spans="1:7" ht="15" customHeight="1">
      <x:c r="A66" s="51"/>
      <x:c r="B66" s="41">
        <x:v>65</x:v>
      </x:c>
      <x:c r="C66" s="41"/>
      <x:c r="D66" s="41"/>
      <x:c r="E66" s="41"/>
      <x:c r="F66" s="198"/>
      <x:c r="G66" s="11" t="str">
        <x:f t="shared" si="2"/>
        <x:v>10.54.36.65</x:v>
      </x:c>
    </x:row>
    <x:row r="67" spans="1:7" ht="15" customHeight="1">
      <x:c r="A67" s="51"/>
      <x:c r="B67" s="39">
        <x:v>66</x:v>
      </x:c>
      <x:c r="C67" s="39"/>
      <x:c r="D67" s="39"/>
      <x:c r="E67" s="39"/>
      <x:c r="F67" s="198"/>
      <x:c r="G67" s="11" t="str">
        <x:f t="shared" si="2"/>
        <x:v>10.54.36.66</x:v>
      </x:c>
    </x:row>
    <x:row r="68" spans="1:7" ht="15" customHeight="1">
      <x:c r="A68" s="51"/>
      <x:c r="B68" s="40">
        <x:v>67</x:v>
      </x:c>
      <x:c r="C68" s="40"/>
      <x:c r="D68" s="40"/>
      <x:c r="E68" s="40"/>
      <x:c r="F68" s="198"/>
      <x:c r="G68" s="11" t="str">
        <x:f t="shared" si="2"/>
        <x:v>10.54.36.67</x:v>
      </x:c>
    </x:row>
    <x:row r="69" spans="1:7" ht="15" customHeight="1">
      <x:c r="A69" s="51"/>
      <x:c r="B69" s="40">
        <x:v>68</x:v>
      </x:c>
      <x:c r="C69" s="40"/>
      <x:c r="D69" s="40"/>
      <x:c r="E69" s="40"/>
      <x:c r="F69" s="198"/>
      <x:c r="G69" s="11" t="str">
        <x:f t="shared" si="2"/>
        <x:v>10.54.36.68</x:v>
      </x:c>
    </x:row>
    <x:row r="70" spans="1:7" ht="15" customHeight="1">
      <x:c r="A70" s="51"/>
      <x:c r="B70" s="40">
        <x:v>69</x:v>
      </x:c>
      <x:c r="C70" s="40"/>
      <x:c r="D70" s="40"/>
      <x:c r="E70" s="40"/>
      <x:c r="F70" s="198"/>
      <x:c r="G70" s="11" t="str">
        <x:f t="shared" si="2"/>
        <x:v>10.54.36.69</x:v>
      </x:c>
    </x:row>
    <x:row r="71" spans="1:7" ht="15" customHeight="1">
      <x:c r="A71" s="51"/>
      <x:c r="B71" s="41">
        <x:v>70</x:v>
      </x:c>
      <x:c r="C71" s="41"/>
      <x:c r="D71" s="41"/>
      <x:c r="E71" s="41"/>
      <x:c r="F71" s="198"/>
      <x:c r="G71" s="11" t="str">
        <x:f t="shared" si="2"/>
        <x:v>10.54.36.70</x:v>
      </x:c>
    </x:row>
    <x:row r="72" spans="1:7" ht="15" customHeight="1">
      <x:c r="A72" s="51"/>
      <x:c r="B72" s="39">
        <x:v>71</x:v>
      </x:c>
      <x:c r="C72" s="39" t="s">
        <x:v>748</x:v>
      </x:c>
      <x:c r="D72" s="39" t="str">
        <x:f>IFERROR((VLOOKUP(C72,PC!$A$1:$K$435,7,FALSE)&amp;" "&amp;VLOOKUP(C72,PC!$A$1:$K$435,6,FALSE)),"")</x:f>
        <x:v>레드스톤 VITO RMS-565S</x:v>
      </x:c>
      <x:c r="E72" s="39" t="str">
        <x:f>IFERROR(VLOOKUP(C72,PC!$A$1:$K$435,2,FALSE),"")</x:f>
        <x:v>20190927-0799</x:v>
      </x:c>
      <x:c r="F72" s="315" t="s">
        <x:v>1455</x:v>
      </x:c>
      <x:c r="G72" s="11" t="str">
        <x:f t="shared" ref="G72:G77" si="3">$A$2&amp;B72</x:f>
        <x:v>10.54.36.71</x:v>
      </x:c>
    </x:row>
    <x:row r="73" spans="1:7" ht="15" customHeight="1">
      <x:c r="A73" s="51"/>
      <x:c r="B73" s="40">
        <x:v>72</x:v>
      </x:c>
      <x:c r="C73" s="40" t="s">
        <x:v>758</x:v>
      </x:c>
      <x:c r="D73" s="40" t="str">
        <x:f>IFERROR((VLOOKUP(C73,PC!$A$1:$K$435,7,FALSE)&amp;" "&amp;VLOOKUP(C73,PC!$A$1:$K$435,6,FALSE)),"")</x:f>
        <x:v>레드스톤 VITO RMS-565S</x:v>
      </x:c>
      <x:c r="E73" s="40" t="str">
        <x:f>IFERROR(VLOOKUP(C73,PC!$A$1:$K$435,2,FALSE),"")</x:f>
        <x:v>20190927-0800</x:v>
      </x:c>
      <x:c r="F73" s="316"/>
      <x:c r="G73" s="11" t="str">
        <x:f t="shared" si="3"/>
        <x:v>10.54.36.72</x:v>
      </x:c>
    </x:row>
    <x:row r="74" spans="1:7" ht="15" customHeight="1">
      <x:c r="A74" s="51"/>
      <x:c r="B74" s="40">
        <x:v>73</x:v>
      </x:c>
      <x:c r="C74" s="40" t="s">
        <x:v>754</x:v>
      </x:c>
      <x:c r="D74" s="40" t="str">
        <x:f>IFERROR((VLOOKUP(C74,PC!$A$1:$K$435,7,FALSE)&amp;" "&amp;VLOOKUP(C74,PC!$A$1:$K$435,6,FALSE)),"")</x:f>
        <x:v>레드스톤 VITO RMS-565S</x:v>
      </x:c>
      <x:c r="E74" s="40" t="str">
        <x:f>IFERROR(VLOOKUP(C74,PC!$A$1:$K$435,2,FALSE),"")</x:f>
        <x:v>20190927-0792</x:v>
      </x:c>
      <x:c r="F74" s="316"/>
      <x:c r="G74" s="11" t="str">
        <x:f t="shared" si="3"/>
        <x:v>10.54.36.73</x:v>
      </x:c>
    </x:row>
    <x:row r="75" spans="1:7" ht="15" customHeight="1">
      <x:c r="A75" s="51"/>
      <x:c r="B75" s="40">
        <x:v>74</x:v>
      </x:c>
      <x:c r="C75" s="40" t="s">
        <x:v>729</x:v>
      </x:c>
      <x:c r="D75" s="40" t="str">
        <x:f>IFERROR((VLOOKUP(C75,PC!$A$1:$K$435,7,FALSE)&amp;" "&amp;VLOOKUP(C75,PC!$A$1:$K$435,6,FALSE)),"")</x:f>
        <x:v>레드스톤 VITO RMS-565S</x:v>
      </x:c>
      <x:c r="E75" s="40" t="str">
        <x:f>IFERROR(VLOOKUP(C75,PC!$A$1:$K$435,2,FALSE),"")</x:f>
        <x:v>20190927-0793</x:v>
      </x:c>
      <x:c r="F75" s="316"/>
      <x:c r="G75" s="11" t="str">
        <x:f t="shared" si="3"/>
        <x:v>10.54.36.74</x:v>
      </x:c>
    </x:row>
    <x:row r="76" spans="1:7" ht="15" customHeight="1">
      <x:c r="A76" s="51"/>
      <x:c r="B76" s="41">
        <x:v>75</x:v>
      </x:c>
      <x:c r="C76" s="41" t="s">
        <x:v>747</x:v>
      </x:c>
      <x:c r="D76" s="41" t="str">
        <x:f>IFERROR((VLOOKUP(C76,PC!$A$1:$K$435,7,FALSE)&amp;" "&amp;VLOOKUP(C76,PC!$A$1:$K$435,6,FALSE)),"")</x:f>
        <x:v>레드스톤 VITO RMS-565S</x:v>
      </x:c>
      <x:c r="E76" s="41" t="str">
        <x:f>IFERROR(VLOOKUP(C76,PC!$A$1:$K$435,2,FALSE),"")</x:f>
        <x:v>20190927-0794</x:v>
      </x:c>
      <x:c r="F76" s="317"/>
      <x:c r="G76" s="11" t="str">
        <x:f t="shared" si="3"/>
        <x:v>10.54.36.75</x:v>
      </x:c>
    </x:row>
    <x:row r="77" spans="1:7" ht="15" customHeight="1">
      <x:c r="A77" s="51"/>
      <x:c r="B77" s="39">
        <x:v>76</x:v>
      </x:c>
      <x:c r="C77" s="39"/>
      <x:c r="D77" s="39" t="str">
        <x:f>IFERROR((VLOOKUP(C77,PC!$A$1:$K$435,7,FALSE)&amp;" "&amp;VLOOKUP(C77,PC!$A$1:$K$435,6,FALSE)),"")</x:f>
        <x:v/>
      </x:c>
      <x:c r="E77" s="39" t="str">
        <x:f>IFERROR(VLOOKUP(C77,PC!$A$1:$K$435,2,FALSE),"")</x:f>
        <x:v/>
      </x:c>
      <x:c r="F77" s="198"/>
      <x:c r="G77" s="11" t="str">
        <x:f t="shared" si="3"/>
        <x:v>10.54.36.76</x:v>
      </x:c>
    </x:row>
    <x:row r="78" spans="1:7" ht="15" customHeight="1">
      <x:c r="A78" s="30"/>
      <x:c r="B78" s="40">
        <x:v>77</x:v>
      </x:c>
      <x:c r="C78" s="40"/>
      <x:c r="D78" s="40"/>
      <x:c r="E78" s="40"/>
      <x:c r="F78" s="198"/>
      <x:c r="G78" s="11" t="str">
        <x:f t="shared" ref="G78:G81" si="4">$A$2&amp;B78</x:f>
        <x:v>10.54.36.77</x:v>
      </x:c>
    </x:row>
    <x:row r="79" spans="1:7" ht="15" customHeight="1">
      <x:c r="A79" s="30"/>
      <x:c r="B79" s="40">
        <x:v>78</x:v>
      </x:c>
      <x:c r="C79" s="40"/>
      <x:c r="D79" s="40"/>
      <x:c r="E79" s="40"/>
      <x:c r="F79" s="198"/>
      <x:c r="G79" s="11" t="str">
        <x:f t="shared" si="4"/>
        <x:v>10.54.36.78</x:v>
      </x:c>
    </x:row>
    <x:row r="80" spans="1:7" ht="15" customHeight="1">
      <x:c r="A80" s="30"/>
      <x:c r="B80" s="40">
        <x:v>79</x:v>
      </x:c>
      <x:c r="C80" s="40"/>
      <x:c r="D80" s="40"/>
      <x:c r="E80" s="40"/>
      <x:c r="F80" s="198"/>
      <x:c r="G80" s="11" t="str">
        <x:f t="shared" si="4"/>
        <x:v>10.54.36.79</x:v>
      </x:c>
    </x:row>
    <x:row r="81" spans="1:7" ht="15" customHeight="1">
      <x:c r="A81" s="30"/>
      <x:c r="B81" s="41">
        <x:v>80</x:v>
      </x:c>
      <x:c r="C81" s="41"/>
      <x:c r="D81" s="41"/>
      <x:c r="E81" s="41"/>
      <x:c r="F81" s="198"/>
      <x:c r="G81" s="11" t="str">
        <x:f t="shared" si="4"/>
        <x:v>10.54.36.80</x:v>
      </x:c>
    </x:row>
    <x:row r="82" spans="1:7" ht="15" customHeight="1">
      <x:c r="A82" s="30"/>
      <x:c r="B82" s="42">
        <x:v>100</x:v>
      </x:c>
      <x:c r="C82" s="43" t="s">
        <x:v>1642</x:v>
      </x:c>
      <x:c r="D82" s="43" t="str">
        <x:f>IFERROR((VLOOKUP(C82,PC!$A$1:$K$435,7,FALSE)&amp;" "&amp;VLOOKUP(C82,PC!$A$1:$K$435,6,FALSE)),"")</x:f>
        <x:v>삼성 NT370E5J-K06G</x:v>
      </x:c>
      <x:c r="E82" s="43" t="str">
        <x:f>IFERROR(VLOOKUP(C82,PC!$A$1:$K$435,2,FALSE),"")</x:f>
        <x:v>20160323-0695</x:v>
      </x:c>
      <x:c r="F82" s="44" t="s">
        <x:v>1935</x:v>
      </x:c>
      <x:c r="G82" s="11" t="str">
        <x:f>$A$2&amp;B82</x:f>
        <x:v>10.54.36.100</x:v>
      </x:c>
    </x:row>
    <x:row r="83" spans="1:7" ht="15" customHeight="1">
      <x:c r="A83" s="30"/>
      <x:c r="B83" s="39">
        <x:v>101</x:v>
      </x:c>
      <x:c r="C83" s="39"/>
      <x:c r="D83" s="39"/>
      <x:c r="E83" s="39"/>
      <x:c r="F83" s="145"/>
      <x:c r="G83" s="11" t="str">
        <x:f>$A$2&amp;B83</x:f>
        <x:v>10.54.36.101</x:v>
      </x:c>
    </x:row>
    <x:row r="84" spans="1:7" ht="15" customHeight="1">
      <x:c r="A84" s="51"/>
      <x:c r="B84" s="40">
        <x:v>102</x:v>
      </x:c>
      <x:c r="C84" s="40" t="s">
        <x:v>2077</x:v>
      </x:c>
      <x:c r="D84" s="40" t="str">
        <x:f>IFERROR((VLOOKUP(C84,PC!$A$1:$K$435,7,FALSE)&amp;" "&amp;VLOOKUP(C84,PC!$A$1:$K$435,6,FALSE)),"")</x:f>
        <x:v>조립품 조립품</x:v>
      </x:c>
      <x:c r="E84" s="40" t="str">
        <x:f>IFERROR(VLOOKUP(C84,PC!$A$1:$K$435,2,FALSE),"")</x:f>
        <x:v>20200925-0854</x:v>
      </x:c>
      <x:c r="F84" s="318" t="s">
        <x:v>1477</x:v>
      </x:c>
      <x:c r="G84" s="11" t="str">
        <x:f>$A$2&amp;B84</x:f>
        <x:v>10.54.36.102</x:v>
      </x:c>
    </x:row>
    <x:row r="85" spans="1:7" ht="15" customHeight="1">
      <x:c r="A85" s="30"/>
      <x:c r="B85" s="40">
        <x:v>103</x:v>
      </x:c>
      <x:c r="C85" s="40" t="s">
        <x:v>1641</x:v>
      </x:c>
      <x:c r="D85" s="40" t="str">
        <x:f>IFERROR((VLOOKUP(C85,PC!$A$1:$K$435,7,FALSE)&amp;" "&amp;VLOOKUP(C85,PC!$A$1:$K$435,6,FALSE)),"")</x:f>
        <x:v>주연테크 JY-환타스틱IA49P</x:v>
      </x:c>
      <x:c r="E85" s="40" t="str">
        <x:f>IFERROR(VLOOKUP(C85,PC!$A$1:$K$435,2,FALSE),"")</x:f>
        <x:v>20161107-0763</x:v>
      </x:c>
      <x:c r="F85" s="317"/>
      <x:c r="G85" s="11" t="str">
        <x:f>$A$2&amp;B85</x:f>
        <x:v>10.54.36.103</x:v>
      </x:c>
    </x:row>
    <x:row r="86" spans="1:7" ht="15" customHeight="1">
      <x:c r="A86" s="51"/>
      <x:c r="B86" s="40">
        <x:v>104</x:v>
      </x:c>
      <x:c r="C86" s="40"/>
      <x:c r="D86" s="40"/>
      <x:c r="E86" s="40"/>
      <x:c r="F86" s="145"/>
      <x:c r="G86" s="11" t="str">
        <x:f t="shared" ref="G86:G122" si="5">$A$2&amp;B86</x:f>
        <x:v>10.54.36.104</x:v>
      </x:c>
    </x:row>
    <x:row r="87" spans="1:7" ht="15" customHeight="1">
      <x:c r="A87" s="51"/>
      <x:c r="B87" s="41">
        <x:v>105</x:v>
      </x:c>
      <x:c r="C87" s="41"/>
      <x:c r="D87" s="41"/>
      <x:c r="E87" s="41"/>
      <x:c r="F87" s="145"/>
      <x:c r="G87" s="11" t="str">
        <x:f t="shared" si="5"/>
        <x:v>10.54.36.105</x:v>
      </x:c>
    </x:row>
    <x:row r="88" spans="1:7" ht="15" customHeight="1">
      <x:c r="A88" s="51"/>
      <x:c r="B88" s="39">
        <x:v>106</x:v>
      </x:c>
      <x:c r="C88" s="39"/>
      <x:c r="D88" s="39"/>
      <x:c r="E88" s="39"/>
      <x:c r="F88" s="145"/>
      <x:c r="G88" s="11" t="str">
        <x:f t="shared" si="5"/>
        <x:v>10.54.36.106</x:v>
      </x:c>
    </x:row>
    <x:row r="89" spans="1:7" ht="15" customHeight="1">
      <x:c r="A89" s="51"/>
      <x:c r="B89" s="40">
        <x:v>107</x:v>
      </x:c>
      <x:c r="C89" s="40"/>
      <x:c r="D89" s="40"/>
      <x:c r="E89" s="40"/>
      <x:c r="F89" s="145"/>
      <x:c r="G89" s="11" t="str">
        <x:f t="shared" si="5"/>
        <x:v>10.54.36.107</x:v>
      </x:c>
    </x:row>
    <x:row r="90" spans="1:7" ht="15" customHeight="1">
      <x:c r="A90" s="51"/>
      <x:c r="B90" s="40">
        <x:v>108</x:v>
      </x:c>
      <x:c r="C90" s="40"/>
      <x:c r="D90" s="40"/>
      <x:c r="E90" s="40"/>
      <x:c r="F90" s="145"/>
      <x:c r="G90" s="11" t="str">
        <x:f t="shared" si="5"/>
        <x:v>10.54.36.108</x:v>
      </x:c>
    </x:row>
    <x:row r="91" spans="1:7" ht="15" customHeight="1">
      <x:c r="A91" s="51"/>
      <x:c r="B91" s="40">
        <x:v>109</x:v>
      </x:c>
      <x:c r="C91" s="40"/>
      <x:c r="D91" s="40"/>
      <x:c r="E91" s="40"/>
      <x:c r="F91" s="145"/>
      <x:c r="G91" s="11" t="str">
        <x:f t="shared" si="5"/>
        <x:v>10.54.36.109</x:v>
      </x:c>
    </x:row>
    <x:row r="92" spans="1:7" ht="15" customHeight="1">
      <x:c r="A92" s="51"/>
      <x:c r="B92" s="95">
        <x:v>110</x:v>
      </x:c>
      <x:c r="C92" s="95"/>
      <x:c r="D92" s="95"/>
      <x:c r="E92" s="95"/>
      <x:c r="F92" s="145"/>
      <x:c r="G92" s="11" t="str">
        <x:f t="shared" si="5"/>
        <x:v>10.54.36.110</x:v>
      </x:c>
    </x:row>
    <x:row r="93" spans="1:7" ht="16.25" customHeight="1">
      <x:c r="A93" s="51"/>
      <x:c r="B93" s="95">
        <x:v>111</x:v>
      </x:c>
      <x:c r="C93" s="95"/>
      <x:c r="D93" s="95"/>
      <x:c r="E93" s="95"/>
      <x:c r="F93" s="145"/>
      <x:c r="G93" s="11" t="str">
        <x:f t="shared" si="5"/>
        <x:v>10.54.36.111</x:v>
      </x:c>
    </x:row>
    <x:row r="94" spans="1:7" ht="16.25" customHeight="1">
      <x:c r="A94" s="51"/>
      <x:c r="B94" s="95">
        <x:v>112</x:v>
      </x:c>
      <x:c r="C94" s="95"/>
      <x:c r="D94" s="95"/>
      <x:c r="E94" s="95"/>
      <x:c r="F94" s="145"/>
      <x:c r="G94" s="11" t="str">
        <x:f t="shared" si="5"/>
        <x:v>10.54.36.112</x:v>
      </x:c>
    </x:row>
    <x:row r="95" spans="1:7" ht="16.25" customHeight="1">
      <x:c r="A95" s="51"/>
      <x:c r="B95" s="95">
        <x:v>113</x:v>
      </x:c>
      <x:c r="C95" s="95"/>
      <x:c r="D95" s="95"/>
      <x:c r="E95" s="95"/>
      <x:c r="F95" s="145"/>
      <x:c r="G95" s="11" t="str">
        <x:f t="shared" si="5"/>
        <x:v>10.54.36.113</x:v>
      </x:c>
    </x:row>
    <x:row r="96" spans="1:7" ht="16.25" customHeight="1">
      <x:c r="A96" s="51"/>
      <x:c r="B96" s="95">
        <x:v>114</x:v>
      </x:c>
      <x:c r="C96" s="95"/>
      <x:c r="D96" s="95"/>
      <x:c r="E96" s="95"/>
      <x:c r="F96" s="145"/>
      <x:c r="G96" s="11" t="str">
        <x:f t="shared" si="5"/>
        <x:v>10.54.36.114</x:v>
      </x:c>
    </x:row>
    <x:row r="97" spans="1:7" ht="16.25" customHeight="1">
      <x:c r="A97" s="51"/>
      <x:c r="B97" s="95">
        <x:v>115</x:v>
      </x:c>
      <x:c r="C97" s="95"/>
      <x:c r="D97" s="95"/>
      <x:c r="E97" s="95"/>
      <x:c r="F97" s="145"/>
      <x:c r="G97" s="11" t="str">
        <x:f t="shared" si="5"/>
        <x:v>10.54.36.115</x:v>
      </x:c>
    </x:row>
    <x:row r="98" spans="1:7" ht="16.25" customHeight="1">
      <x:c r="A98" s="51"/>
      <x:c r="B98" s="95">
        <x:v>116</x:v>
      </x:c>
      <x:c r="C98" s="95"/>
      <x:c r="D98" s="95"/>
      <x:c r="E98" s="95"/>
      <x:c r="F98" s="145"/>
      <x:c r="G98" s="11" t="str">
        <x:f t="shared" si="5"/>
        <x:v>10.54.36.116</x:v>
      </x:c>
    </x:row>
    <x:row r="99" spans="1:7" ht="16.25" customHeight="1">
      <x:c r="A99" s="51"/>
      <x:c r="B99" s="95">
        <x:v>117</x:v>
      </x:c>
      <x:c r="C99" s="95"/>
      <x:c r="D99" s="95"/>
      <x:c r="E99" s="95"/>
      <x:c r="F99" s="145"/>
      <x:c r="G99" s="11" t="str">
        <x:f>$A$2&amp;B99</x:f>
        <x:v>10.54.36.117</x:v>
      </x:c>
    </x:row>
    <x:row r="100" spans="1:7" ht="16.25" customHeight="1">
      <x:c r="A100" s="51"/>
      <x:c r="B100" s="95">
        <x:v>118</x:v>
      </x:c>
      <x:c r="C100" s="95"/>
      <x:c r="D100" s="95"/>
      <x:c r="E100" s="95"/>
      <x:c r="F100" s="145"/>
      <x:c r="G100" s="11" t="str">
        <x:f t="shared" si="5"/>
        <x:v>10.54.36.118</x:v>
      </x:c>
    </x:row>
    <x:row r="101" spans="1:7" ht="16.25" customHeight="1">
      <x:c r="A101" s="51"/>
      <x:c r="B101" s="95">
        <x:v>119</x:v>
      </x:c>
      <x:c r="C101" s="95"/>
      <x:c r="D101" s="95"/>
      <x:c r="E101" s="95"/>
      <x:c r="F101" s="145"/>
      <x:c r="G101" s="11" t="str">
        <x:f t="shared" si="5"/>
        <x:v>10.54.36.119</x:v>
      </x:c>
    </x:row>
    <x:row r="102" spans="1:7" ht="16.25" customHeight="1">
      <x:c r="A102" s="51"/>
      <x:c r="B102" s="95">
        <x:v>120</x:v>
      </x:c>
      <x:c r="C102" s="95"/>
      <x:c r="D102" s="95"/>
      <x:c r="E102" s="95"/>
      <x:c r="F102" s="145"/>
      <x:c r="G102" s="11" t="str">
        <x:f t="shared" si="5"/>
        <x:v>10.54.36.120</x:v>
      </x:c>
    </x:row>
    <x:row r="103" spans="1:7" ht="16.25" customHeight="1">
      <x:c r="A103" s="51"/>
      <x:c r="B103" s="95">
        <x:v>121</x:v>
      </x:c>
      <x:c r="C103" s="95"/>
      <x:c r="D103" s="95"/>
      <x:c r="E103" s="95"/>
      <x:c r="F103" s="145"/>
      <x:c r="G103" s="11" t="str">
        <x:f t="shared" si="5"/>
        <x:v>10.54.36.121</x:v>
      </x:c>
    </x:row>
    <x:row r="104" spans="1:7" ht="16.25" customHeight="1">
      <x:c r="A104" s="51"/>
      <x:c r="B104" s="95">
        <x:v>122</x:v>
      </x:c>
      <x:c r="C104" s="95"/>
      <x:c r="D104" s="95"/>
      <x:c r="E104" s="95"/>
      <x:c r="F104" s="145"/>
      <x:c r="G104" s="11" t="str">
        <x:f t="shared" si="5"/>
        <x:v>10.54.36.122</x:v>
      </x:c>
    </x:row>
    <x:row r="105" spans="1:7" ht="16.25" customHeight="1">
      <x:c r="A105" s="51"/>
      <x:c r="B105" s="95">
        <x:v>123</x:v>
      </x:c>
      <x:c r="C105" s="95"/>
      <x:c r="D105" s="95"/>
      <x:c r="E105" s="95"/>
      <x:c r="F105" s="145"/>
      <x:c r="G105" s="11" t="str">
        <x:f t="shared" si="5"/>
        <x:v>10.54.36.123</x:v>
      </x:c>
    </x:row>
    <x:row r="106" spans="1:7" ht="16.25" customHeight="1">
      <x:c r="A106" s="51"/>
      <x:c r="B106" s="95">
        <x:v>124</x:v>
      </x:c>
      <x:c r="C106" s="95"/>
      <x:c r="D106" s="95"/>
      <x:c r="E106" s="95"/>
      <x:c r="F106" s="145"/>
      <x:c r="G106" s="11" t="str">
        <x:f t="shared" si="5"/>
        <x:v>10.54.36.124</x:v>
      </x:c>
    </x:row>
    <x:row r="107" spans="1:7" ht="16.25" customHeight="1">
      <x:c r="A107" s="51"/>
      <x:c r="B107" s="95">
        <x:v>125</x:v>
      </x:c>
      <x:c r="C107" s="95"/>
      <x:c r="D107" s="95"/>
      <x:c r="E107" s="95"/>
      <x:c r="F107" s="145"/>
      <x:c r="G107" s="11" t="str">
        <x:f>$A$2&amp;B107</x:f>
        <x:v>10.54.36.125</x:v>
      </x:c>
    </x:row>
    <x:row r="108" spans="1:7" ht="16.25" customHeight="1">
      <x:c r="A108" s="51"/>
      <x:c r="B108" s="95">
        <x:v>126</x:v>
      </x:c>
      <x:c r="C108" s="95"/>
      <x:c r="D108" s="95"/>
      <x:c r="E108" s="95"/>
      <x:c r="F108" s="145"/>
      <x:c r="G108" s="11" t="str">
        <x:f t="shared" si="5"/>
        <x:v>10.54.36.126</x:v>
      </x:c>
    </x:row>
    <x:row r="109" spans="1:7" ht="16.25" customHeight="1">
      <x:c r="A109" s="51"/>
      <x:c r="B109" s="95">
        <x:v>127</x:v>
      </x:c>
      <x:c r="C109" s="95"/>
      <x:c r="D109" s="95"/>
      <x:c r="E109" s="95"/>
      <x:c r="F109" s="145"/>
      <x:c r="G109" s="11" t="str">
        <x:f t="shared" si="5"/>
        <x:v>10.54.36.127</x:v>
      </x:c>
    </x:row>
    <x:row r="110" spans="1:7" ht="15" customHeight="1">
      <x:c r="A110" s="51"/>
      <x:c r="B110" s="95">
        <x:v>128</x:v>
      </x:c>
      <x:c r="C110" s="95"/>
      <x:c r="D110" s="95"/>
      <x:c r="E110" s="95"/>
      <x:c r="F110" s="145"/>
      <x:c r="G110" s="11" t="str">
        <x:f t="shared" si="5"/>
        <x:v>10.54.36.128</x:v>
      </x:c>
    </x:row>
    <x:row r="111" spans="1:7" ht="15" customHeight="1">
      <x:c r="A111" s="51"/>
      <x:c r="B111" s="95">
        <x:v>129</x:v>
      </x:c>
      <x:c r="C111" s="95"/>
      <x:c r="D111" s="95"/>
      <x:c r="E111" s="95"/>
      <x:c r="F111" s="145"/>
      <x:c r="G111" s="11" t="str">
        <x:f t="shared" si="5"/>
        <x:v>10.54.36.129</x:v>
      </x:c>
    </x:row>
    <x:row r="112" spans="1:7" ht="15" customHeight="1">
      <x:c r="A112" s="51"/>
      <x:c r="B112" s="95">
        <x:v>130</x:v>
      </x:c>
      <x:c r="C112" s="95"/>
      <x:c r="D112" s="95"/>
      <x:c r="E112" s="95"/>
      <x:c r="F112" s="145"/>
      <x:c r="G112" s="11" t="str">
        <x:f t="shared" si="5"/>
        <x:v>10.54.36.130</x:v>
      </x:c>
    </x:row>
    <x:row r="113" spans="1:7" ht="15" customHeight="1">
      <x:c r="A113" s="51"/>
      <x:c r="B113" s="95">
        <x:v>131</x:v>
      </x:c>
      <x:c r="C113" s="95"/>
      <x:c r="D113" s="95"/>
      <x:c r="E113" s="95"/>
      <x:c r="F113" s="145"/>
      <x:c r="G113" s="11" t="str">
        <x:f t="shared" si="5"/>
        <x:v>10.54.36.131</x:v>
      </x:c>
    </x:row>
    <x:row r="114" spans="1:7" ht="15" customHeight="1">
      <x:c r="A114" s="51"/>
      <x:c r="B114" s="95">
        <x:v>132</x:v>
      </x:c>
      <x:c r="C114" s="95"/>
      <x:c r="D114" s="95"/>
      <x:c r="E114" s="95"/>
      <x:c r="F114" s="145"/>
      <x:c r="G114" s="11" t="str">
        <x:f t="shared" si="5"/>
        <x:v>10.54.36.132</x:v>
      </x:c>
    </x:row>
    <x:row r="115" spans="1:8" ht="15" customHeight="1">
      <x:c r="A115" s="51"/>
      <x:c r="B115" s="95">
        <x:v>133</x:v>
      </x:c>
      <x:c r="C115" s="272" t="s">
        <x:v>1508</x:v>
      </x:c>
      <x:c r="D115" s="273"/>
      <x:c r="E115" s="273"/>
      <x:c r="F115" s="274" t="s">
        <x:v>1252</x:v>
      </x:c>
      <x:c r="G115" s="275" t="str">
        <x:f t="shared" si="5"/>
        <x:v>10.54.36.133</x:v>
      </x:c>
      <x:c r="H115" s="11" t="s">
        <x:v>857</x:v>
      </x:c>
    </x:row>
    <x:row r="116" spans="1:7" ht="15" customHeight="1">
      <x:c r="A116" s="51"/>
      <x:c r="B116" s="95">
        <x:v>134</x:v>
      </x:c>
      <x:c r="C116" s="95"/>
      <x:c r="D116" s="95"/>
      <x:c r="E116" s="95"/>
      <x:c r="F116" s="145"/>
      <x:c r="G116" s="11" t="str">
        <x:f>$A$2&amp;B116</x:f>
        <x:v>10.54.36.134</x:v>
      </x:c>
    </x:row>
    <x:row r="117" spans="1:7" ht="15" customHeight="1">
      <x:c r="A117" s="51"/>
      <x:c r="B117" s="95">
        <x:v>135</x:v>
      </x:c>
      <x:c r="C117" s="95"/>
      <x:c r="D117" s="95"/>
      <x:c r="E117" s="95"/>
      <x:c r="F117" s="145"/>
      <x:c r="G117" s="11" t="str">
        <x:f t="shared" si="5"/>
        <x:v>10.54.36.135</x:v>
      </x:c>
    </x:row>
    <x:row r="118" spans="1:8" ht="15" customHeight="1">
      <x:c r="A118" s="51"/>
      <x:c r="B118" s="95">
        <x:v>136</x:v>
      </x:c>
      <x:c r="C118" s="272" t="s">
        <x:v>1508</x:v>
      </x:c>
      <x:c r="D118" s="273"/>
      <x:c r="E118" s="273"/>
      <x:c r="F118" s="274" t="s">
        <x:v>1252</x:v>
      </x:c>
      <x:c r="G118" s="275" t="str">
        <x:f t="shared" si="5"/>
        <x:v>10.54.36.136</x:v>
      </x:c>
      <x:c r="H118" s="11" t="s">
        <x:v>857</x:v>
      </x:c>
    </x:row>
    <x:row r="119" spans="1:7" ht="15" customHeight="1">
      <x:c r="A119" s="51"/>
      <x:c r="B119" s="95">
        <x:v>137</x:v>
      </x:c>
      <x:c r="D119" s="95"/>
      <x:c r="E119" s="95"/>
      <x:c r="F119" s="145"/>
      <x:c r="G119" s="11" t="str">
        <x:f t="shared" si="5"/>
        <x:v>10.54.36.137</x:v>
      </x:c>
    </x:row>
    <x:row r="120" spans="1:7" ht="15" customHeight="1">
      <x:c r="A120" s="51"/>
      <x:c r="B120" s="95">
        <x:v>138</x:v>
      </x:c>
      <x:c r="C120" s="95"/>
      <x:c r="D120" s="95"/>
      <x:c r="E120" s="95"/>
      <x:c r="F120" s="145"/>
      <x:c r="G120" s="11" t="str">
        <x:f t="shared" si="5"/>
        <x:v>10.54.36.138</x:v>
      </x:c>
    </x:row>
    <x:row r="121" spans="1:7" ht="15" customHeight="1">
      <x:c r="A121" s="51"/>
      <x:c r="B121" s="95">
        <x:v>139</x:v>
      </x:c>
      <x:c r="C121" s="95"/>
      <x:c r="D121" s="95"/>
      <x:c r="E121" s="95"/>
      <x:c r="F121" s="145"/>
      <x:c r="G121" s="11" t="str">
        <x:f>$A$2&amp;B121</x:f>
        <x:v>10.54.36.139</x:v>
      </x:c>
    </x:row>
    <x:row r="122" spans="1:7" ht="15" customHeight="1">
      <x:c r="A122" s="51"/>
      <x:c r="B122" s="95">
        <x:v>140</x:v>
      </x:c>
      <x:c r="C122" s="41"/>
      <x:c r="D122" s="41"/>
      <x:c r="E122" s="41"/>
      <x:c r="F122" s="145"/>
      <x:c r="G122" s="11" t="str">
        <x:f t="shared" si="5"/>
        <x:v>10.54.36.140</x:v>
      </x:c>
    </x:row>
    <x:row r="123" spans="1:7" ht="15" customHeight="1">
      <x:c r="A123" s="52" t="s">
        <x:v>654</x:v>
      </x:c>
      <x:c r="B123" s="39">
        <x:v>100</x:v>
      </x:c>
      <x:c r="C123" s="39" t="s">
        <x:v>1724</x:v>
      </x:c>
      <x:c r="D123" s="39" t="str">
        <x:f>IFERROR((VLOOKUP(C123,PC!$A$1:$K$435,7,FALSE)&amp;" "&amp;VLOOKUP(C123,PC!$A$1:$K$435,6,FALSE)),"")</x:f>
        <x:v>엘지 B55PQ.AS5G20D</x:v>
      </x:c>
      <x:c r="E123" s="39" t="str">
        <x:f>IFERROR(VLOOKUP(C123,PC!$A$1:$K$435,2,FALSE),"")</x:f>
        <x:v>20120113-0568</x:v>
      </x:c>
      <x:c r="F123" s="318" t="s">
        <x:v>2075</x:v>
      </x:c>
      <x:c r="G123" s="11" t="str">
        <x:f t="shared" ref="G123:G164" si="6">$A$123&amp;B123</x:f>
        <x:v>10.54.37.100</x:v>
      </x:c>
    </x:row>
    <x:row r="124" spans="1:7" ht="15" customHeight="1">
      <x:c r="A124" s="51"/>
      <x:c r="B124" s="40">
        <x:v>101</x:v>
      </x:c>
      <x:c r="C124" s="40" t="s">
        <x:v>749</x:v>
      </x:c>
      <x:c r="D124" s="40" t="str">
        <x:f>IFERROR((VLOOKUP(C124,PC!$A$1:$K$435,7,FALSE)&amp;" "&amp;VLOOKUP(C124,PC!$A$1:$K$435,6,FALSE)),"")</x:f>
        <x:v>다나와컴퓨터 MHAA-AD-E7SAC</x:v>
      </x:c>
      <x:c r="E124" s="40" t="str">
        <x:f>IFERROR(VLOOKUP(C124,PC!$A$1:$K$435,2,FALSE),"")</x:f>
        <x:v>20200717-0817</x:v>
      </x:c>
      <x:c r="F124" s="316"/>
      <x:c r="G124" s="11" t="str">
        <x:f t="shared" si="6"/>
        <x:v>10.54.37.101</x:v>
      </x:c>
    </x:row>
    <x:row r="125" spans="1:7" ht="15" customHeight="1">
      <x:c r="A125" s="51"/>
      <x:c r="B125" s="40">
        <x:v>102</x:v>
      </x:c>
      <x:c r="C125" s="40" t="s">
        <x:v>750</x:v>
      </x:c>
      <x:c r="D125" s="40" t="str">
        <x:f>IFERROR((VLOOKUP(C125,PC!$A$1:$K$435,7,FALSE)&amp;" "&amp;VLOOKUP(C125,PC!$A$1:$K$435,6,FALSE)),"")</x:f>
        <x:v>다나와컴퓨터 MHAA-AD-E7SAC</x:v>
      </x:c>
      <x:c r="E125" s="40" t="str">
        <x:f>IFERROR(VLOOKUP(C125,PC!$A$1:$K$435,2,FALSE),"")</x:f>
        <x:v>20200717-0818</x:v>
      </x:c>
      <x:c r="F125" s="316"/>
      <x:c r="G125" s="11" t="str">
        <x:f t="shared" si="6"/>
        <x:v>10.54.37.102</x:v>
      </x:c>
    </x:row>
    <x:row r="126" spans="1:7" ht="15" customHeight="1">
      <x:c r="A126" s="51"/>
      <x:c r="B126" s="40">
        <x:v>103</x:v>
      </x:c>
      <x:c r="C126" s="40" t="s">
        <x:v>736</x:v>
      </x:c>
      <x:c r="D126" s="40" t="str">
        <x:f>IFERROR((VLOOKUP(C126,PC!$A$1:$K$435,7,FALSE)&amp;" "&amp;VLOOKUP(C126,PC!$A$1:$K$435,6,FALSE)),"")</x:f>
        <x:v>다나와컴퓨터 MHAA-AD-E7SAC</x:v>
      </x:c>
      <x:c r="E126" s="40" t="str">
        <x:f>IFERROR(VLOOKUP(C126,PC!$A$1:$K$435,2,FALSE),"")</x:f>
        <x:v>20200717-0819</x:v>
      </x:c>
      <x:c r="F126" s="316"/>
      <x:c r="G126" s="11" t="str">
        <x:f t="shared" si="6"/>
        <x:v>10.54.37.103</x:v>
      </x:c>
    </x:row>
    <x:row r="127" spans="1:7" ht="15" customHeight="1">
      <x:c r="A127" s="51"/>
      <x:c r="B127" s="41">
        <x:v>104</x:v>
      </x:c>
      <x:c r="C127" s="41" t="s">
        <x:v>730</x:v>
      </x:c>
      <x:c r="D127" s="41" t="str">
        <x:f>IFERROR((VLOOKUP(C127,PC!$A$1:$K$435,7,FALSE)&amp;" "&amp;VLOOKUP(C127,PC!$A$1:$K$435,6,FALSE)),"")</x:f>
        <x:v>다나와컴퓨터 MHAA-AD-E7SAC</x:v>
      </x:c>
      <x:c r="E127" s="41" t="str">
        <x:f>IFERROR(VLOOKUP(C127,PC!$A$1:$K$435,2,FALSE),"")</x:f>
        <x:v>20200717-0820</x:v>
      </x:c>
      <x:c r="F127" s="316"/>
      <x:c r="G127" s="11" t="str">
        <x:f t="shared" si="6"/>
        <x:v>10.54.37.104</x:v>
      </x:c>
    </x:row>
    <x:row r="128" spans="1:7" ht="15" customHeight="1">
      <x:c r="A128" s="51"/>
      <x:c r="B128" s="39">
        <x:v>105</x:v>
      </x:c>
      <x:c r="C128" s="39" t="s">
        <x:v>728</x:v>
      </x:c>
      <x:c r="D128" s="39" t="str">
        <x:f>IFERROR((VLOOKUP(C128,PC!$A$1:$K$435,7,FALSE)&amp;" "&amp;VLOOKUP(C128,PC!$A$1:$K$435,6,FALSE)),"")</x:f>
        <x:v>다나와컴퓨터 MHAA-AD-E7SAC</x:v>
      </x:c>
      <x:c r="E128" s="39" t="str">
        <x:f>IFERROR(VLOOKUP(C128,PC!$A$1:$K$435,2,FALSE),"")</x:f>
        <x:v>20200717-0821</x:v>
      </x:c>
      <x:c r="F128" s="316"/>
      <x:c r="G128" s="11" t="str">
        <x:f t="shared" si="6"/>
        <x:v>10.54.37.105</x:v>
      </x:c>
    </x:row>
    <x:row r="129" spans="1:7" ht="15" customHeight="1">
      <x:c r="A129" s="51"/>
      <x:c r="B129" s="40">
        <x:v>106</x:v>
      </x:c>
      <x:c r="C129" s="40" t="s">
        <x:v>745</x:v>
      </x:c>
      <x:c r="D129" s="40" t="str">
        <x:f>IFERROR((VLOOKUP(C129,PC!$A$1:$K$435,7,FALSE)&amp;" "&amp;VLOOKUP(C129,PC!$A$1:$K$435,6,FALSE)),"")</x:f>
        <x:v>다나와컴퓨터 MHAA-AD-E7SAC</x:v>
      </x:c>
      <x:c r="E129" s="40" t="str">
        <x:f>IFERROR(VLOOKUP(C129,PC!$A$1:$K$435,2,FALSE),"")</x:f>
        <x:v>20200717-0822</x:v>
      </x:c>
      <x:c r="F129" s="316"/>
      <x:c r="G129" s="11" t="str">
        <x:f t="shared" si="6"/>
        <x:v>10.54.37.106</x:v>
      </x:c>
    </x:row>
    <x:row r="130" spans="1:7" ht="15" customHeight="1">
      <x:c r="A130" s="51"/>
      <x:c r="B130" s="40">
        <x:v>107</x:v>
      </x:c>
      <x:c r="C130" s="40" t="s">
        <x:v>724</x:v>
      </x:c>
      <x:c r="D130" s="40" t="str">
        <x:f>IFERROR((VLOOKUP(C130,PC!$A$1:$K$435,7,FALSE)&amp;" "&amp;VLOOKUP(C130,PC!$A$1:$K$435,6,FALSE)),"")</x:f>
        <x:v>다나와컴퓨터 MHAA-AD-E7SAC</x:v>
      </x:c>
      <x:c r="E130" s="40" t="str">
        <x:f>IFERROR(VLOOKUP(C130,PC!$A$1:$K$435,2,FALSE),"")</x:f>
        <x:v>20200717-0823</x:v>
      </x:c>
      <x:c r="F130" s="316"/>
      <x:c r="G130" s="11" t="str">
        <x:f t="shared" si="6"/>
        <x:v>10.54.37.107</x:v>
      </x:c>
    </x:row>
    <x:row r="131" spans="1:7" ht="15" customHeight="1">
      <x:c r="A131" s="51"/>
      <x:c r="B131" s="40">
        <x:v>108</x:v>
      </x:c>
      <x:c r="C131" s="40" t="s">
        <x:v>712</x:v>
      </x:c>
      <x:c r="D131" s="40" t="str">
        <x:f>IFERROR((VLOOKUP(C131,PC!$A$1:$K$435,7,FALSE)&amp;" "&amp;VLOOKUP(C131,PC!$A$1:$K$435,6,FALSE)),"")</x:f>
        <x:v>다나와컴퓨터 MHAA-AD-E7SAC</x:v>
      </x:c>
      <x:c r="E131" s="40" t="str">
        <x:f>IFERROR(VLOOKUP(C131,PC!$A$1:$K$435,2,FALSE),"")</x:f>
        <x:v>20200717-0824</x:v>
      </x:c>
      <x:c r="F131" s="316"/>
      <x:c r="G131" s="11" t="str">
        <x:f t="shared" si="6"/>
        <x:v>10.54.37.108</x:v>
      </x:c>
    </x:row>
    <x:row r="132" spans="1:7" ht="15" customHeight="1">
      <x:c r="A132" s="51"/>
      <x:c r="B132" s="41">
        <x:v>109</x:v>
      </x:c>
      <x:c r="C132" s="41" t="s">
        <x:v>727</x:v>
      </x:c>
      <x:c r="D132" s="41" t="str">
        <x:f>IFERROR((VLOOKUP(C132,PC!$A$1:$K$435,7,FALSE)&amp;" "&amp;VLOOKUP(C132,PC!$A$1:$K$435,6,FALSE)),"")</x:f>
        <x:v>다나와컴퓨터 MHAA-AD-E7SAC</x:v>
      </x:c>
      <x:c r="E132" s="41" t="str">
        <x:f>IFERROR(VLOOKUP(C132,PC!$A$1:$K$435,2,FALSE),"")</x:f>
        <x:v>20200717-0825</x:v>
      </x:c>
      <x:c r="F132" s="316"/>
      <x:c r="G132" s="11" t="str">
        <x:f t="shared" si="6"/>
        <x:v>10.54.37.109</x:v>
      </x:c>
    </x:row>
    <x:row r="133" spans="1:7" ht="15" customHeight="1">
      <x:c r="A133" s="51"/>
      <x:c r="B133" s="39">
        <x:v>110</x:v>
      </x:c>
      <x:c r="C133" s="39" t="s">
        <x:v>698</x:v>
      </x:c>
      <x:c r="D133" s="39" t="str">
        <x:f>IFERROR((VLOOKUP(C133,PC!$A$1:$K$435,7,FALSE)&amp;" "&amp;VLOOKUP(C133,PC!$A$1:$K$435,6,FALSE)),"")</x:f>
        <x:v>다나와컴퓨터 MHAA-AD-E7SAC</x:v>
      </x:c>
      <x:c r="E133" s="39" t="str">
        <x:f>IFERROR(VLOOKUP(C133,PC!$A$1:$K$435,2,FALSE),"")</x:f>
        <x:v>20200717-0826</x:v>
      </x:c>
      <x:c r="F133" s="316"/>
      <x:c r="G133" s="11" t="str">
        <x:f t="shared" si="6"/>
        <x:v>10.54.37.110</x:v>
      </x:c>
    </x:row>
    <x:row r="134" spans="1:7" ht="15" customHeight="1">
      <x:c r="A134" s="51"/>
      <x:c r="B134" s="40">
        <x:v>111</x:v>
      </x:c>
      <x:c r="C134" s="40" t="s">
        <x:v>710</x:v>
      </x:c>
      <x:c r="D134" s="40" t="str">
        <x:f>IFERROR((VLOOKUP(C134,PC!$A$1:$K$435,7,FALSE)&amp;" "&amp;VLOOKUP(C134,PC!$A$1:$K$435,6,FALSE)),"")</x:f>
        <x:v>다나와컴퓨터 MHAA-AD-E7SAC</x:v>
      </x:c>
      <x:c r="E134" s="40" t="str">
        <x:f>IFERROR(VLOOKUP(C134,PC!$A$1:$K$435,2,FALSE),"")</x:f>
        <x:v>20200717-0827</x:v>
      </x:c>
      <x:c r="F134" s="316"/>
      <x:c r="G134" s="11" t="str">
        <x:f t="shared" si="6"/>
        <x:v>10.54.37.111</x:v>
      </x:c>
    </x:row>
    <x:row r="135" spans="1:7" ht="15" customHeight="1">
      <x:c r="A135" s="51"/>
      <x:c r="B135" s="40">
        <x:v>112</x:v>
      </x:c>
      <x:c r="C135" s="40" t="s">
        <x:v>720</x:v>
      </x:c>
      <x:c r="D135" s="40" t="str">
        <x:f>IFERROR((VLOOKUP(C135,PC!$A$1:$K$435,7,FALSE)&amp;" "&amp;VLOOKUP(C135,PC!$A$1:$K$435,6,FALSE)),"")</x:f>
        <x:v>다나와컴퓨터 MHAA-AD-E7SAC</x:v>
      </x:c>
      <x:c r="E135" s="40" t="str">
        <x:f>IFERROR(VLOOKUP(C135,PC!$A$1:$K$435,2,FALSE),"")</x:f>
        <x:v>20200717-0828</x:v>
      </x:c>
      <x:c r="F135" s="316"/>
      <x:c r="G135" s="11" t="str">
        <x:f t="shared" si="6"/>
        <x:v>10.54.37.112</x:v>
      </x:c>
    </x:row>
    <x:row r="136" spans="1:7" ht="15" customHeight="1">
      <x:c r="A136" s="51"/>
      <x:c r="B136" s="40">
        <x:v>113</x:v>
      </x:c>
      <x:c r="C136" s="40" t="s">
        <x:v>752</x:v>
      </x:c>
      <x:c r="D136" s="40" t="str">
        <x:f>IFERROR((VLOOKUP(C136,PC!$A$1:$K$435,7,FALSE)&amp;" "&amp;VLOOKUP(C136,PC!$A$1:$K$435,6,FALSE)),"")</x:f>
        <x:v>다나와컴퓨터 MHAA-AD-E7SAC</x:v>
      </x:c>
      <x:c r="E136" s="40" t="str">
        <x:f>IFERROR(VLOOKUP(C136,PC!$A$1:$K$435,2,FALSE),"")</x:f>
        <x:v>20200717-0829</x:v>
      </x:c>
      <x:c r="F136" s="316"/>
      <x:c r="G136" s="11" t="str">
        <x:f t="shared" si="6"/>
        <x:v>10.54.37.113</x:v>
      </x:c>
    </x:row>
    <x:row r="137" spans="1:7" ht="15" customHeight="1">
      <x:c r="A137" s="51"/>
      <x:c r="B137" s="41">
        <x:v>114</x:v>
      </x:c>
      <x:c r="C137" s="41" t="s">
        <x:v>740</x:v>
      </x:c>
      <x:c r="D137" s="41" t="str">
        <x:f>IFERROR((VLOOKUP(C137,PC!$A$1:$K$435,7,FALSE)&amp;" "&amp;VLOOKUP(C137,PC!$A$1:$K$435,6,FALSE)),"")</x:f>
        <x:v>다나와컴퓨터 MHAA-AD-E7SAC</x:v>
      </x:c>
      <x:c r="E137" s="41" t="str">
        <x:f>IFERROR(VLOOKUP(C137,PC!$A$1:$K$435,2,FALSE),"")</x:f>
        <x:v>20200717-0830</x:v>
      </x:c>
      <x:c r="F137" s="316"/>
      <x:c r="G137" s="11" t="str">
        <x:f t="shared" si="6"/>
        <x:v>10.54.37.114</x:v>
      </x:c>
    </x:row>
    <x:row r="138" spans="1:7" ht="15" customHeight="1">
      <x:c r="A138" s="51"/>
      <x:c r="B138" s="39">
        <x:v>115</x:v>
      </x:c>
      <x:c r="C138" s="39" t="s">
        <x:v>734</x:v>
      </x:c>
      <x:c r="D138" s="39" t="str">
        <x:f>IFERROR((VLOOKUP(C138,PC!$A$1:$K$435,7,FALSE)&amp;" "&amp;VLOOKUP(C138,PC!$A$1:$K$435,6,FALSE)),"")</x:f>
        <x:v>다나와컴퓨터 MHAA-AD-E7SAC</x:v>
      </x:c>
      <x:c r="E138" s="39" t="str">
        <x:f>IFERROR(VLOOKUP(C138,PC!$A$1:$K$435,2,FALSE),"")</x:f>
        <x:v>20200717-0831</x:v>
      </x:c>
      <x:c r="F138" s="316"/>
      <x:c r="G138" s="11" t="str">
        <x:f t="shared" si="6"/>
        <x:v>10.54.37.115</x:v>
      </x:c>
    </x:row>
    <x:row r="139" spans="1:7" ht="15" customHeight="1">
      <x:c r="A139" s="51"/>
      <x:c r="B139" s="40">
        <x:v>116</x:v>
      </x:c>
      <x:c r="C139" s="40" t="s">
        <x:v>741</x:v>
      </x:c>
      <x:c r="D139" s="40" t="str">
        <x:f>IFERROR((VLOOKUP(C139,PC!$A$1:$K$435,7,FALSE)&amp;" "&amp;VLOOKUP(C139,PC!$A$1:$K$435,6,FALSE)),"")</x:f>
        <x:v>다나와컴퓨터 MHAA-AD-E7SAC</x:v>
      </x:c>
      <x:c r="E139" s="40" t="str">
        <x:f>IFERROR(VLOOKUP(C139,PC!$A$1:$K$435,2,FALSE),"")</x:f>
        <x:v>20200717-0832</x:v>
      </x:c>
      <x:c r="F139" s="316"/>
      <x:c r="G139" s="11" t="str">
        <x:f t="shared" si="6"/>
        <x:v>10.54.37.116</x:v>
      </x:c>
    </x:row>
    <x:row r="140" spans="1:7" ht="15" customHeight="1">
      <x:c r="A140" s="51"/>
      <x:c r="B140" s="40">
        <x:v>117</x:v>
      </x:c>
      <x:c r="C140" s="40" t="s">
        <x:v>737</x:v>
      </x:c>
      <x:c r="D140" s="40" t="str">
        <x:f>IFERROR((VLOOKUP(C140,PC!$A$1:$K$435,7,FALSE)&amp;" "&amp;VLOOKUP(C140,PC!$A$1:$K$435,6,FALSE)),"")</x:f>
        <x:v>다나와컴퓨터 MHAA-AD-E7SAC</x:v>
      </x:c>
      <x:c r="E140" s="40" t="str">
        <x:f>IFERROR(VLOOKUP(C140,PC!$A$1:$K$435,2,FALSE),"")</x:f>
        <x:v>20200717-0833</x:v>
      </x:c>
      <x:c r="F140" s="316"/>
      <x:c r="G140" s="11" t="str">
        <x:f t="shared" si="6"/>
        <x:v>10.54.37.117</x:v>
      </x:c>
    </x:row>
    <x:row r="141" spans="1:7" ht="15" customHeight="1">
      <x:c r="A141" s="51"/>
      <x:c r="B141" s="40">
        <x:v>118</x:v>
      </x:c>
      <x:c r="C141" s="40" t="s">
        <x:v>713</x:v>
      </x:c>
      <x:c r="D141" s="40" t="str">
        <x:f>IFERROR((VLOOKUP(C141,PC!$A$1:$K$435,7,FALSE)&amp;" "&amp;VLOOKUP(C141,PC!$A$1:$K$435,6,FALSE)),"")</x:f>
        <x:v>다나와컴퓨터 MHAA-AD-E7SAC</x:v>
      </x:c>
      <x:c r="E141" s="40" t="str">
        <x:f>IFERROR(VLOOKUP(C141,PC!$A$1:$K$435,2,FALSE),"")</x:f>
        <x:v>20200717-0834</x:v>
      </x:c>
      <x:c r="F141" s="316"/>
      <x:c r="G141" s="11" t="str">
        <x:f t="shared" si="6"/>
        <x:v>10.54.37.118</x:v>
      </x:c>
    </x:row>
    <x:row r="142" spans="1:7" ht="15" customHeight="1">
      <x:c r="A142" s="51"/>
      <x:c r="B142" s="41">
        <x:v>119</x:v>
      </x:c>
      <x:c r="C142" s="41" t="s">
        <x:v>699</x:v>
      </x:c>
      <x:c r="D142" s="41" t="str">
        <x:f>IFERROR((VLOOKUP(C142,PC!$A$1:$K$435,7,FALSE)&amp;" "&amp;VLOOKUP(C142,PC!$A$1:$K$435,6,FALSE)),"")</x:f>
        <x:v>다나와컴퓨터 MHAA-AD-E7SAC</x:v>
      </x:c>
      <x:c r="E142" s="41" t="str">
        <x:f>IFERROR(VLOOKUP(C142,PC!$A$1:$K$435,2,FALSE),"")</x:f>
        <x:v>20200717-0835</x:v>
      </x:c>
      <x:c r="F142" s="316"/>
      <x:c r="G142" s="11" t="str">
        <x:f t="shared" si="6"/>
        <x:v>10.54.37.119</x:v>
      </x:c>
    </x:row>
    <x:row r="143" spans="1:7" ht="15" customHeight="1">
      <x:c r="A143" s="51"/>
      <x:c r="B143" s="39">
        <x:v>120</x:v>
      </x:c>
      <x:c r="C143" s="39" t="s">
        <x:v>715</x:v>
      </x:c>
      <x:c r="D143" s="39" t="str">
        <x:f>IFERROR((VLOOKUP(C143,PC!$A$1:$K$435,7,FALSE)&amp;" "&amp;VLOOKUP(C143,PC!$A$1:$K$435,6,FALSE)),"")</x:f>
        <x:v>다나와컴퓨터 MHAA-AD-E7SAC</x:v>
      </x:c>
      <x:c r="E143" s="39" t="str">
        <x:f>IFERROR(VLOOKUP(C143,PC!$A$1:$K$435,2,FALSE),"")</x:f>
        <x:v>20200717-0836</x:v>
      </x:c>
      <x:c r="F143" s="316"/>
      <x:c r="G143" s="11" t="str">
        <x:f t="shared" si="6"/>
        <x:v>10.54.37.120</x:v>
      </x:c>
    </x:row>
    <x:row r="144" spans="1:7" ht="15" customHeight="1">
      <x:c r="A144" s="51"/>
      <x:c r="B144" s="40">
        <x:v>121</x:v>
      </x:c>
      <x:c r="C144" s="40" t="s">
        <x:v>733</x:v>
      </x:c>
      <x:c r="D144" s="40" t="str">
        <x:f>IFERROR((VLOOKUP(C144,PC!$A$1:$K$435,7,FALSE)&amp;" "&amp;VLOOKUP(C144,PC!$A$1:$K$435,6,FALSE)),"")</x:f>
        <x:v>다나와컴퓨터 MHAA-AD-E7SAC</x:v>
      </x:c>
      <x:c r="E144" s="40" t="str">
        <x:f>IFERROR(VLOOKUP(C144,PC!$A$1:$K$435,2,FALSE),"")</x:f>
        <x:v>20200717-0837</x:v>
      </x:c>
      <x:c r="F144" s="316"/>
      <x:c r="G144" s="11" t="str">
        <x:f t="shared" si="6"/>
        <x:v>10.54.37.121</x:v>
      </x:c>
    </x:row>
    <x:row r="145" spans="1:7" ht="15" customHeight="1">
      <x:c r="A145" s="51"/>
      <x:c r="B145" s="40">
        <x:v>122</x:v>
      </x:c>
      <x:c r="C145" s="40" t="s">
        <x:v>707</x:v>
      </x:c>
      <x:c r="D145" s="40" t="str">
        <x:f>IFERROR((VLOOKUP(C145,PC!$A$1:$K$435,7,FALSE)&amp;" "&amp;VLOOKUP(C145,PC!$A$1:$K$435,6,FALSE)),"")</x:f>
        <x:v>다나와컴퓨터 MHAA-AD-E7SAC</x:v>
      </x:c>
      <x:c r="E145" s="40" t="str">
        <x:f>IFERROR(VLOOKUP(C145,PC!$A$1:$K$435,2,FALSE),"")</x:f>
        <x:v>20200717-0838</x:v>
      </x:c>
      <x:c r="F145" s="316"/>
      <x:c r="G145" s="11" t="str">
        <x:f t="shared" si="6"/>
        <x:v>10.54.37.122</x:v>
      </x:c>
    </x:row>
    <x:row r="146" spans="1:7" ht="15" customHeight="1">
      <x:c r="A146" s="51"/>
      <x:c r="B146" s="40">
        <x:v>123</x:v>
      </x:c>
      <x:c r="C146" s="40" t="s">
        <x:v>725</x:v>
      </x:c>
      <x:c r="D146" s="40" t="str">
        <x:f>IFERROR((VLOOKUP(C146,PC!$A$1:$K$435,7,FALSE)&amp;" "&amp;VLOOKUP(C146,PC!$A$1:$K$435,6,FALSE)),"")</x:f>
        <x:v>다나와컴퓨터 MHAA-AD-E7SAC</x:v>
      </x:c>
      <x:c r="E146" s="40" t="str">
        <x:f>IFERROR(VLOOKUP(C146,PC!$A$1:$K$435,2,FALSE),"")</x:f>
        <x:v>20200717-0839</x:v>
      </x:c>
      <x:c r="F146" s="316"/>
      <x:c r="G146" s="11" t="str">
        <x:f t="shared" si="6"/>
        <x:v>10.54.37.123</x:v>
      </x:c>
    </x:row>
    <x:row r="147" spans="1:7" ht="15" customHeight="1">
      <x:c r="A147" s="51"/>
      <x:c r="B147" s="41">
        <x:v>124</x:v>
      </x:c>
      <x:c r="C147" s="41" t="s">
        <x:v>722</x:v>
      </x:c>
      <x:c r="D147" s="41" t="str">
        <x:f>IFERROR((VLOOKUP(C147,PC!$A$1:$K$435,7,FALSE)&amp;" "&amp;VLOOKUP(C147,PC!$A$1:$K$435,6,FALSE)),"")</x:f>
        <x:v>다나와컴퓨터 MHAA-AD-E7SAC</x:v>
      </x:c>
      <x:c r="E147" s="41" t="str">
        <x:f>IFERROR(VLOOKUP(C147,PC!$A$1:$K$435,2,FALSE),"")</x:f>
        <x:v>20200717-0840</x:v>
      </x:c>
      <x:c r="F147" s="316"/>
      <x:c r="G147" s="11" t="str">
        <x:f t="shared" si="6"/>
        <x:v>10.54.37.124</x:v>
      </x:c>
    </x:row>
    <x:row r="148" spans="1:7" ht="15" customHeight="1">
      <x:c r="A148" s="51"/>
      <x:c r="B148" s="39">
        <x:v>125</x:v>
      </x:c>
      <x:c r="C148" s="39" t="s">
        <x:v>708</x:v>
      </x:c>
      <x:c r="D148" s="39" t="str">
        <x:f>IFERROR((VLOOKUP(C148,PC!$A$1:$K$435,7,FALSE)&amp;" "&amp;VLOOKUP(C148,PC!$A$1:$K$435,6,FALSE)),"")</x:f>
        <x:v>다나와컴퓨터 MHAA-AD-E7SAC</x:v>
      </x:c>
      <x:c r="E148" s="39" t="str">
        <x:f>IFERROR(VLOOKUP(C148,PC!$A$1:$K$435,2,FALSE),"")</x:f>
        <x:v>20200717-0841</x:v>
      </x:c>
      <x:c r="F148" s="316"/>
      <x:c r="G148" s="11" t="str">
        <x:f t="shared" si="6"/>
        <x:v>10.54.37.125</x:v>
      </x:c>
    </x:row>
    <x:row r="149" spans="1:7" ht="15" customHeight="1">
      <x:c r="A149" s="51"/>
      <x:c r="B149" s="40">
        <x:v>126</x:v>
      </x:c>
      <x:c r="C149" s="40" t="s">
        <x:v>700</x:v>
      </x:c>
      <x:c r="D149" s="40" t="str">
        <x:f>IFERROR((VLOOKUP(C149,PC!$A$1:$K$435,7,FALSE)&amp;" "&amp;VLOOKUP(C149,PC!$A$1:$K$435,6,FALSE)),"")</x:f>
        <x:v>다나와컴퓨터 MHAA-AD-E7SAC</x:v>
      </x:c>
      <x:c r="E149" s="40" t="str">
        <x:f>IFERROR(VLOOKUP(C149,PC!$A$1:$K$435,2,FALSE),"")</x:f>
        <x:v>20200717-0842</x:v>
      </x:c>
      <x:c r="F149" s="316"/>
      <x:c r="G149" s="11" t="str">
        <x:f t="shared" si="6"/>
        <x:v>10.54.37.126</x:v>
      </x:c>
    </x:row>
    <x:row r="150" spans="1:7" ht="15" customHeight="1">
      <x:c r="A150" s="51"/>
      <x:c r="B150" s="40">
        <x:v>127</x:v>
      </x:c>
      <x:c r="C150" s="40" t="s">
        <x:v>714</x:v>
      </x:c>
      <x:c r="D150" s="40" t="str">
        <x:f>IFERROR((VLOOKUP(C150,PC!$A$1:$K$435,7,FALSE)&amp;" "&amp;VLOOKUP(C150,PC!$A$1:$K$435,6,FALSE)),"")</x:f>
        <x:v>다나와컴퓨터 MHAA-AD-E7SAC</x:v>
      </x:c>
      <x:c r="E150" s="40" t="str">
        <x:f>IFERROR(VLOOKUP(C150,PC!$A$1:$K$435,2,FALSE),"")</x:f>
        <x:v>20200717-0843</x:v>
      </x:c>
      <x:c r="F150" s="316"/>
      <x:c r="G150" s="11" t="str">
        <x:f t="shared" si="6"/>
        <x:v>10.54.37.127</x:v>
      </x:c>
    </x:row>
    <x:row r="151" spans="1:7" ht="15" customHeight="1">
      <x:c r="A151" s="51"/>
      <x:c r="B151" s="40">
        <x:v>128</x:v>
      </x:c>
      <x:c r="C151" s="40" t="s">
        <x:v>696</x:v>
      </x:c>
      <x:c r="D151" s="40" t="str">
        <x:f>IFERROR((VLOOKUP(C151,PC!$A$1:$K$435,7,FALSE)&amp;" "&amp;VLOOKUP(C151,PC!$A$1:$K$435,6,FALSE)),"")</x:f>
        <x:v>다나와컴퓨터 MHAA-AD-E7SAC</x:v>
      </x:c>
      <x:c r="E151" s="40" t="str">
        <x:f>IFERROR(VLOOKUP(C151,PC!$A$1:$K$435,2,FALSE),"")</x:f>
        <x:v>20200717-0844</x:v>
      </x:c>
      <x:c r="F151" s="316"/>
      <x:c r="G151" s="11" t="str">
        <x:f t="shared" si="6"/>
        <x:v>10.54.37.128</x:v>
      </x:c>
    </x:row>
    <x:row r="152" spans="1:7" ht="15" customHeight="1">
      <x:c r="A152" s="51"/>
      <x:c r="B152" s="41">
        <x:v>129</x:v>
      </x:c>
      <x:c r="C152" s="41" t="s">
        <x:v>709</x:v>
      </x:c>
      <x:c r="D152" s="41" t="str">
        <x:f>IFERROR((VLOOKUP(C152,PC!$A$1:$K$435,7,FALSE)&amp;" "&amp;VLOOKUP(C152,PC!$A$1:$K$435,6,FALSE)),"")</x:f>
        <x:v>다나와컴퓨터 MHAA-AD-E7SAC</x:v>
      </x:c>
      <x:c r="E152" s="41" t="str">
        <x:f>IFERROR(VLOOKUP(C152,PC!$A$1:$K$435,2,FALSE),"")</x:f>
        <x:v>20200717-0845</x:v>
      </x:c>
      <x:c r="F152" s="317"/>
      <x:c r="G152" s="11" t="str">
        <x:f t="shared" si="6"/>
        <x:v>10.54.37.129</x:v>
      </x:c>
    </x:row>
    <x:row r="153" spans="1:7" ht="15" customHeight="1">
      <x:c r="A153" s="51"/>
      <x:c r="B153" s="144">
        <x:v>130</x:v>
      </x:c>
      <x:c r="C153" s="40" t="s">
        <x:v>723</x:v>
      </x:c>
      <x:c r="D153" s="41" t="str">
        <x:f>IFERROR((VLOOKUP(C153,PC!$A$1:$K$435,7,FALSE)&amp;" "&amp;VLOOKUP(C153,PC!$A$1:$K$435,6,FALSE)),"")</x:f>
        <x:v>다나와컴퓨터 MHAA-AD-E7SAC</x:v>
      </x:c>
      <x:c r="E153" s="41" t="str">
        <x:f>IFERROR(VLOOKUP(C153,PC!$A$1:$K$435,2,FALSE),"")</x:f>
        <x:v>20200717-0846</x:v>
      </x:c>
      <x:c r="F153" s="145"/>
      <x:c r="G153" s="11" t="str">
        <x:f t="shared" si="6"/>
        <x:v>10.54.37.130</x:v>
      </x:c>
    </x:row>
    <x:row r="154" spans="1:7" ht="15" customHeight="1">
      <x:c r="A154" s="51"/>
      <x:c r="B154" s="144">
        <x:v>131</x:v>
      </x:c>
      <x:c r="C154" s="41" t="s">
        <x:v>683</x:v>
      </x:c>
      <x:c r="D154" s="41" t="str">
        <x:f>IFERROR((VLOOKUP(C154,PC!$A$1:$K$435,7,FALSE)&amp;" "&amp;VLOOKUP(C154,PC!$A$1:$K$435,6,FALSE)),"")</x:f>
        <x:v>다나와컴퓨터 MHAA-AD-E7SAC</x:v>
      </x:c>
      <x:c r="E154" s="41" t="str">
        <x:f>IFERROR(VLOOKUP(C154,PC!$A$1:$K$435,2,FALSE),"")</x:f>
        <x:v>20200717-0847</x:v>
      </x:c>
      <x:c r="F154" s="145"/>
      <x:c r="G154" s="11" t="str">
        <x:f t="shared" si="6"/>
        <x:v>10.54.37.131</x:v>
      </x:c>
    </x:row>
    <x:row r="155" spans="1:7" ht="15" customHeight="1">
      <x:c r="A155" s="51"/>
      <x:c r="B155" s="39">
        <x:v>131</x:v>
      </x:c>
      <x:c r="C155" s="39"/>
      <x:c r="D155" s="39" t="str">
        <x:f>IFERROR((VLOOKUP(C155,PC!$A$1:$K$435,7,FALSE)&amp;" "&amp;VLOOKUP(C155,PC!$A$1:$K$435,6,FALSE)),"")</x:f>
        <x:v/>
      </x:c>
      <x:c r="E155" s="39" t="str">
        <x:f>IFERROR(VLOOKUP(C155,PC!$A$1:$K$435,2,FALSE),"")</x:f>
        <x:v/>
      </x:c>
      <x:c r="F155" s="318"/>
      <x:c r="G155" s="11" t="str">
        <x:f t="shared" si="6"/>
        <x:v>10.54.37.131</x:v>
      </x:c>
    </x:row>
    <x:row r="156" spans="1:7" ht="15" customHeight="1">
      <x:c r="A156" s="51"/>
      <x:c r="B156" s="40">
        <x:v>132</x:v>
      </x:c>
      <x:c r="C156" s="40"/>
      <x:c r="D156" s="40" t="str">
        <x:f>IFERROR((VLOOKUP(C156,PC!$A$1:$K$435,7,FALSE)&amp;" "&amp;VLOOKUP(C156,PC!$A$1:$K$435,6,FALSE)),"")</x:f>
        <x:v/>
      </x:c>
      <x:c r="E156" s="40" t="str">
        <x:f>IFERROR(VLOOKUP(C156,PC!$A$1:$K$435,2,FALSE),"")</x:f>
        <x:v/>
      </x:c>
      <x:c r="F156" s="316"/>
      <x:c r="G156" s="11" t="str">
        <x:f t="shared" si="6"/>
        <x:v>10.54.37.132</x:v>
      </x:c>
    </x:row>
    <x:row r="157" spans="1:7" ht="15" customHeight="1">
      <x:c r="A157" s="51"/>
      <x:c r="B157" s="40">
        <x:v>133</x:v>
      </x:c>
      <x:c r="C157" s="40"/>
      <x:c r="D157" s="40" t="str">
        <x:f>IFERROR((VLOOKUP(C157,PC!$A$1:$K$435,7,FALSE)&amp;" "&amp;VLOOKUP(C157,PC!$A$1:$K$435,6,FALSE)),"")</x:f>
        <x:v/>
      </x:c>
      <x:c r="E157" s="40" t="str">
        <x:f>IFERROR(VLOOKUP(C157,PC!$A$1:$K$435,2,FALSE),"")</x:f>
        <x:v/>
      </x:c>
      <x:c r="F157" s="316"/>
      <x:c r="G157" s="11" t="str">
        <x:f t="shared" si="6"/>
        <x:v>10.54.37.133</x:v>
      </x:c>
    </x:row>
    <x:row r="158" spans="1:7" ht="15" customHeight="1">
      <x:c r="A158" s="51"/>
      <x:c r="B158" s="40">
        <x:v>134</x:v>
      </x:c>
      <x:c r="C158" s="40"/>
      <x:c r="D158" s="40" t="str">
        <x:f>IFERROR((VLOOKUP(C158,PC!$A$1:$K$435,7,FALSE)&amp;" "&amp;VLOOKUP(C158,PC!$A$1:$K$435,6,FALSE)),"")</x:f>
        <x:v/>
      </x:c>
      <x:c r="E158" s="40" t="str">
        <x:f>IFERROR(VLOOKUP(C158,PC!$A$1:$K$435,2,FALSE),"")</x:f>
        <x:v/>
      </x:c>
      <x:c r="F158" s="316"/>
      <x:c r="G158" s="11" t="str">
        <x:f t="shared" si="6"/>
        <x:v>10.54.37.134</x:v>
      </x:c>
    </x:row>
    <x:row r="159" spans="1:7" ht="15" customHeight="1">
      <x:c r="A159" s="51"/>
      <x:c r="B159" s="40">
        <x:v>135</x:v>
      </x:c>
      <x:c r="C159" s="40"/>
      <x:c r="D159" s="40" t="str">
        <x:f>IFERROR((VLOOKUP(C159,PC!$A$1:$K$435,7,FALSE)&amp;" "&amp;VLOOKUP(C159,PC!$A$1:$K$435,6,FALSE)),"")</x:f>
        <x:v/>
      </x:c>
      <x:c r="E159" s="40" t="str">
        <x:f>IFERROR(VLOOKUP(C159,PC!$A$1:$K$435,2,FALSE),"")</x:f>
        <x:v/>
      </x:c>
      <x:c r="F159" s="316"/>
      <x:c r="G159" s="11" t="str">
        <x:f t="shared" si="6"/>
        <x:v>10.54.37.135</x:v>
      </x:c>
    </x:row>
    <x:row r="160" spans="1:7" ht="15" customHeight="1">
      <x:c r="A160" s="51"/>
      <x:c r="B160" s="41">
        <x:v>136</x:v>
      </x:c>
      <x:c r="C160" s="41"/>
      <x:c r="D160" s="41" t="str">
        <x:f>IFERROR((VLOOKUP(C160,PC!$A$1:$K$435,7,FALSE)&amp;" "&amp;VLOOKUP(C160,PC!$A$1:$K$435,6,FALSE)),"")</x:f>
        <x:v/>
      </x:c>
      <x:c r="E160" s="41" t="str">
        <x:f>IFERROR(VLOOKUP(C160,PC!$A$1:$K$435,2,FALSE),"")</x:f>
        <x:v/>
      </x:c>
      <x:c r="F160" s="319"/>
      <x:c r="G160" s="11" t="str">
        <x:f t="shared" si="6"/>
        <x:v>10.54.37.136</x:v>
      </x:c>
    </x:row>
    <x:row r="161" spans="1:7" ht="15" customHeight="1">
      <x:c r="A161" s="51"/>
      <x:c r="B161" s="144">
        <x:v>141</x:v>
      </x:c>
      <x:c r="C161" s="144"/>
      <x:c r="D161" s="144" t="str">
        <x:f>IFERROR((VLOOKUP(C161,PC!$A$1:$K$435,7,FALSE)&amp;" "&amp;VLOOKUP(C161,PC!$A$1:$K$435,6,FALSE)),"")</x:f>
        <x:v/>
      </x:c>
      <x:c r="E161" s="144"/>
      <x:c r="F161" s="145"/>
      <x:c r="G161" s="11" t="str">
        <x:f t="shared" si="6"/>
        <x:v>10.54.37.141</x:v>
      </x:c>
    </x:row>
    <x:row r="162" spans="1:7" ht="15" customHeight="1">
      <x:c r="A162" s="51"/>
      <x:c r="B162" s="144">
        <x:v>142</x:v>
      </x:c>
      <x:c r="C162" s="144"/>
      <x:c r="D162" s="144" t="str">
        <x:f>IFERROR((VLOOKUP(C162,PC!$A$1:$K$435,7,FALSE)&amp;" "&amp;VLOOKUP(C162,PC!$A$1:$K$435,6,FALSE)),"")</x:f>
        <x:v/>
      </x:c>
      <x:c r="E162" s="144"/>
      <x:c r="F162" s="145"/>
      <x:c r="G162" s="11" t="str">
        <x:f t="shared" si="6"/>
        <x:v>10.54.37.142</x:v>
      </x:c>
    </x:row>
    <x:row r="163" spans="1:7" ht="15" customHeight="1">
      <x:c r="A163" s="51"/>
      <x:c r="B163" s="144">
        <x:v>143</x:v>
      </x:c>
      <x:c r="C163" s="144"/>
      <x:c r="D163" s="144" t="str">
        <x:f>IFERROR((VLOOKUP(C163,PC!$A$1:$K$435,7,FALSE)&amp;" "&amp;VLOOKUP(C163,PC!$A$1:$K$435,6,FALSE)),"")</x:f>
        <x:v/>
      </x:c>
      <x:c r="E163" s="144"/>
      <x:c r="F163" s="145"/>
      <x:c r="G163" s="11" t="str">
        <x:f t="shared" si="6"/>
        <x:v>10.54.37.143</x:v>
      </x:c>
    </x:row>
    <x:row r="164" spans="1:7" ht="15" customHeight="1">
      <x:c r="A164" s="51"/>
      <x:c r="B164" s="144">
        <x:v>144</x:v>
      </x:c>
      <x:c r="C164" s="144"/>
      <x:c r="D164" s="144" t="str">
        <x:f>IFERROR((VLOOKUP(C164,PC!$A$1:$K$435,7,FALSE)&amp;" "&amp;VLOOKUP(C164,PC!$A$1:$K$435,6,FALSE)),"")</x:f>
        <x:v/>
      </x:c>
      <x:c r="E164" s="144"/>
      <x:c r="F164" s="145"/>
      <x:c r="G164" s="11" t="str">
        <x:f t="shared" si="6"/>
        <x:v>10.54.37.144</x:v>
      </x:c>
    </x:row>
    <x:row r="165" spans="1:7" ht="15" customHeight="1">
      <x:c r="A165" s="52" t="s">
        <x:v>631</x:v>
      </x:c>
      <x:c r="B165" s="39">
        <x:v>100</x:v>
      </x:c>
      <x:c r="C165" s="39" t="s">
        <x:v>782</x:v>
      </x:c>
      <x:c r="D165" s="39" t="str">
        <x:f>IFERROR((VLOOKUP(C165,PC!$A$1:$K$435,7,FALSE)&amp;" "&amp;VLOOKUP(C165,PC!$A$1:$K$435,6,FALSE)),"")</x:f>
        <x:v>레드스톤 VITO RMS-565S1</x:v>
      </x:c>
      <x:c r="E165" s="39" t="str">
        <x:f>IFERROR(VLOOKUP(C165,PC!$A$1:$K$435,2,FALSE),"")</x:f>
        <x:v>20161017-0731</x:v>
      </x:c>
      <x:c r="F165" s="315" t="s">
        <x:v>1915</x:v>
      </x:c>
      <x:c r="G165" s="11" t="str">
        <x:f>$A$165&amp;B165</x:f>
        <x:v>10.54.38.100</x:v>
      </x:c>
    </x:row>
    <x:row r="166" spans="1:7" ht="15" customHeight="1">
      <x:c r="A166" s="51"/>
      <x:c r="B166" s="40">
        <x:v>101</x:v>
      </x:c>
      <x:c r="C166" s="40" t="s">
        <x:v>773</x:v>
      </x:c>
      <x:c r="D166" s="40" t="str">
        <x:f>IFERROR((VLOOKUP(C166,PC!$A$1:$K$435,7,FALSE)&amp;" "&amp;VLOOKUP(C166,PC!$A$1:$K$435,6,FALSE)),"")</x:f>
        <x:v>레드스톤 VITO RMS-565S1</x:v>
      </x:c>
      <x:c r="E166" s="40" t="str">
        <x:f>IFERROR(VLOOKUP(C166,PC!$A$1:$K$435,2,FALSE),"")</x:f>
        <x:v>20161017-0732</x:v>
      </x:c>
      <x:c r="F166" s="316"/>
      <x:c r="G166" s="11" t="str">
        <x:f t="shared" ref="G166:G201" si="7">$A$165&amp;B166</x:f>
        <x:v>10.54.38.101</x:v>
      </x:c>
    </x:row>
    <x:row r="167" spans="1:7" ht="15" customHeight="1">
      <x:c r="A167" s="51"/>
      <x:c r="B167" s="40">
        <x:v>102</x:v>
      </x:c>
      <x:c r="C167" s="40" t="s">
        <x:v>829</x:v>
      </x:c>
      <x:c r="D167" s="40" t="str">
        <x:f>IFERROR((VLOOKUP(C167,PC!$A$1:$K$435,7,FALSE)&amp;" "&amp;VLOOKUP(C167,PC!$A$1:$K$435,6,FALSE)),"")</x:f>
        <x:v>레드스톤 VITO RMS-565S1</x:v>
      </x:c>
      <x:c r="E167" s="40" t="str">
        <x:f>IFERROR(VLOOKUP(C167,PC!$A$1:$K$435,2,FALSE),"")</x:f>
        <x:v>20161017-0696</x:v>
      </x:c>
      <x:c r="F167" s="316"/>
      <x:c r="G167" s="11" t="str">
        <x:f t="shared" si="7"/>
        <x:v>10.54.38.102</x:v>
      </x:c>
    </x:row>
    <x:row r="168" spans="1:7" ht="15" customHeight="1">
      <x:c r="A168" s="51"/>
      <x:c r="B168" s="40">
        <x:v>103</x:v>
      </x:c>
      <x:c r="C168" s="40" t="s">
        <x:v>800</x:v>
      </x:c>
      <x:c r="D168" s="40" t="str">
        <x:f>IFERROR((VLOOKUP(C168,PC!$A$1:$K$435,7,FALSE)&amp;" "&amp;VLOOKUP(C168,PC!$A$1:$K$435,6,FALSE)),"")</x:f>
        <x:v>레드스톤 VITO RMS-565S1</x:v>
      </x:c>
      <x:c r="E168" s="40" t="str">
        <x:f>IFERROR(VLOOKUP(C168,PC!$A$1:$K$435,2,FALSE),"")</x:f>
        <x:v>20161017-0697</x:v>
      </x:c>
      <x:c r="F168" s="316"/>
      <x:c r="G168" s="11" t="str">
        <x:f t="shared" si="7"/>
        <x:v>10.54.38.103</x:v>
      </x:c>
    </x:row>
    <x:row r="169" spans="1:7" ht="15" customHeight="1">
      <x:c r="A169" s="51"/>
      <x:c r="B169" s="41">
        <x:v>104</x:v>
      </x:c>
      <x:c r="C169" s="41" t="s">
        <x:v>798</x:v>
      </x:c>
      <x:c r="D169" s="41" t="str">
        <x:f>IFERROR((VLOOKUP(C169,PC!$A$1:$K$435,7,FALSE)&amp;" "&amp;VLOOKUP(C169,PC!$A$1:$K$435,6,FALSE)),"")</x:f>
        <x:v>레드스톤 VITO RMS-565S1</x:v>
      </x:c>
      <x:c r="E169" s="41" t="str">
        <x:f>IFERROR(VLOOKUP(C169,PC!$A$1:$K$435,2,FALSE),"")</x:f>
        <x:v>20161017-0698</x:v>
      </x:c>
      <x:c r="F169" s="316"/>
      <x:c r="G169" s="11" t="str">
        <x:f t="shared" si="7"/>
        <x:v>10.54.38.104</x:v>
      </x:c>
    </x:row>
    <x:row r="170" spans="1:7" ht="15" customHeight="1">
      <x:c r="A170" s="51"/>
      <x:c r="B170" s="39">
        <x:v>105</x:v>
      </x:c>
      <x:c r="C170" s="39" t="s">
        <x:v>776</x:v>
      </x:c>
      <x:c r="D170" s="39" t="str">
        <x:f>IFERROR((VLOOKUP(C170,PC!$A$1:$K$435,7,FALSE)&amp;" "&amp;VLOOKUP(C170,PC!$A$1:$K$435,6,FALSE)),"")</x:f>
        <x:v>레드스톤 VITO RMS-565S1</x:v>
      </x:c>
      <x:c r="E170" s="39" t="str">
        <x:f>IFERROR(VLOOKUP(C170,PC!$A$1:$K$435,2,FALSE),"")</x:f>
        <x:v>20161017-0699</x:v>
      </x:c>
      <x:c r="F170" s="316"/>
      <x:c r="G170" s="11" t="str">
        <x:f t="shared" si="7"/>
        <x:v>10.54.38.105</x:v>
      </x:c>
    </x:row>
    <x:row r="171" spans="1:7" ht="15" customHeight="1">
      <x:c r="A171" s="51"/>
      <x:c r="B171" s="40">
        <x:v>106</x:v>
      </x:c>
      <x:c r="C171" s="40" t="s">
        <x:v>802</x:v>
      </x:c>
      <x:c r="D171" s="40" t="str">
        <x:f>IFERROR((VLOOKUP(C171,PC!$A$1:$K$435,7,FALSE)&amp;" "&amp;VLOOKUP(C171,PC!$A$1:$K$435,6,FALSE)),"")</x:f>
        <x:v>레드스톤 VITO RMS-565S1</x:v>
      </x:c>
      <x:c r="E171" s="40" t="str">
        <x:f>IFERROR(VLOOKUP(C171,PC!$A$1:$K$435,2,FALSE),"")</x:f>
        <x:v>20161017-0700</x:v>
      </x:c>
      <x:c r="F171" s="316"/>
      <x:c r="G171" s="11" t="str">
        <x:f t="shared" si="7"/>
        <x:v>10.54.38.106</x:v>
      </x:c>
    </x:row>
    <x:row r="172" spans="1:7" ht="15" customHeight="1">
      <x:c r="A172" s="51"/>
      <x:c r="B172" s="40">
        <x:v>107</x:v>
      </x:c>
      <x:c r="C172" s="40" t="s">
        <x:v>764</x:v>
      </x:c>
      <x:c r="D172" s="40" t="str">
        <x:f>IFERROR((VLOOKUP(C172,PC!$A$1:$K$435,7,FALSE)&amp;" "&amp;VLOOKUP(C172,PC!$A$1:$K$435,6,FALSE)),"")</x:f>
        <x:v>레드스톤 VITO RMS-565S1</x:v>
      </x:c>
      <x:c r="E172" s="40" t="str">
        <x:f>IFERROR(VLOOKUP(C172,PC!$A$1:$K$435,2,FALSE),"")</x:f>
        <x:v>20161017-0701</x:v>
      </x:c>
      <x:c r="F172" s="316"/>
      <x:c r="G172" s="11" t="str">
        <x:f t="shared" si="7"/>
        <x:v>10.54.38.107</x:v>
      </x:c>
    </x:row>
    <x:row r="173" spans="1:7" ht="15" customHeight="1">
      <x:c r="A173" s="51"/>
      <x:c r="B173" s="40">
        <x:v>108</x:v>
      </x:c>
      <x:c r="C173" s="40" t="s">
        <x:v>770</x:v>
      </x:c>
      <x:c r="D173" s="40" t="str">
        <x:f>IFERROR((VLOOKUP(C173,PC!$A$1:$K$435,7,FALSE)&amp;" "&amp;VLOOKUP(C173,PC!$A$1:$K$435,6,FALSE)),"")</x:f>
        <x:v>레드스톤 VITO RMS-565S1</x:v>
      </x:c>
      <x:c r="E173" s="40" t="str">
        <x:f>IFERROR(VLOOKUP(C173,PC!$A$1:$K$435,2,FALSE),"")</x:f>
        <x:v>20161017-0702</x:v>
      </x:c>
      <x:c r="F173" s="316"/>
      <x:c r="G173" s="11" t="str">
        <x:f t="shared" si="7"/>
        <x:v>10.54.38.108</x:v>
      </x:c>
    </x:row>
    <x:row r="174" spans="1:7" ht="15" customHeight="1">
      <x:c r="A174" s="51"/>
      <x:c r="B174" s="41">
        <x:v>109</x:v>
      </x:c>
      <x:c r="C174" s="41" t="s">
        <x:v>796</x:v>
      </x:c>
      <x:c r="D174" s="41" t="str">
        <x:f>IFERROR((VLOOKUP(C174,PC!$A$1:$K$435,7,FALSE)&amp;" "&amp;VLOOKUP(C174,PC!$A$1:$K$435,6,FALSE)),"")</x:f>
        <x:v>레드스톤 VITO RMS-565S1</x:v>
      </x:c>
      <x:c r="E174" s="41" t="str">
        <x:f>IFERROR(VLOOKUP(C174,PC!$A$1:$K$435,2,FALSE),"")</x:f>
        <x:v>20161017-0703</x:v>
      </x:c>
      <x:c r="F174" s="316"/>
      <x:c r="G174" s="11" t="str">
        <x:f t="shared" si="7"/>
        <x:v>10.54.38.109</x:v>
      </x:c>
    </x:row>
    <x:row r="175" spans="1:7" ht="15" customHeight="1">
      <x:c r="A175" s="51"/>
      <x:c r="B175" s="39">
        <x:v>110</x:v>
      </x:c>
      <x:c r="C175" s="39" t="s">
        <x:v>805</x:v>
      </x:c>
      <x:c r="D175" s="39" t="str">
        <x:f>IFERROR((VLOOKUP(C175,PC!$A$1:$K$435,7,FALSE)&amp;" "&amp;VLOOKUP(C175,PC!$A$1:$K$435,6,FALSE)),"")</x:f>
        <x:v>레드스톤 VITO RMS-565S1</x:v>
      </x:c>
      <x:c r="E175" s="39" t="str">
        <x:f>IFERROR(VLOOKUP(C175,PC!$A$1:$K$435,2,FALSE),"")</x:f>
        <x:v>20161017-0704</x:v>
      </x:c>
      <x:c r="F175" s="316"/>
      <x:c r="G175" s="11" t="str">
        <x:f t="shared" si="7"/>
        <x:v>10.54.38.110</x:v>
      </x:c>
    </x:row>
    <x:row r="176" spans="1:7" ht="15" customHeight="1">
      <x:c r="A176" s="51"/>
      <x:c r="B176" s="40">
        <x:v>111</x:v>
      </x:c>
      <x:c r="C176" s="40" t="s">
        <x:v>799</x:v>
      </x:c>
      <x:c r="D176" s="40" t="str">
        <x:f>IFERROR((VLOOKUP(C176,PC!$A$1:$K$435,7,FALSE)&amp;" "&amp;VLOOKUP(C176,PC!$A$1:$K$435,6,FALSE)),"")</x:f>
        <x:v>레드스톤 VITO RMS-565S1</x:v>
      </x:c>
      <x:c r="E176" s="40" t="str">
        <x:f>IFERROR(VLOOKUP(C176,PC!$A$1:$K$435,2,FALSE),"")</x:f>
        <x:v>20161017-0705</x:v>
      </x:c>
      <x:c r="F176" s="316"/>
      <x:c r="G176" s="11" t="str">
        <x:f t="shared" si="7"/>
        <x:v>10.54.38.111</x:v>
      </x:c>
    </x:row>
    <x:row r="177" spans="1:7" ht="15" customHeight="1">
      <x:c r="A177" s="51"/>
      <x:c r="B177" s="40">
        <x:v>112</x:v>
      </x:c>
      <x:c r="C177" s="40" t="s">
        <x:v>780</x:v>
      </x:c>
      <x:c r="D177" s="40" t="str">
        <x:f>IFERROR((VLOOKUP(C177,PC!$A$1:$K$435,7,FALSE)&amp;" "&amp;VLOOKUP(C177,PC!$A$1:$K$435,6,FALSE)),"")</x:f>
        <x:v>레드스톤 VITO RMS-565S1</x:v>
      </x:c>
      <x:c r="E177" s="40" t="str">
        <x:f>IFERROR(VLOOKUP(C177,PC!$A$1:$K$435,2,FALSE),"")</x:f>
        <x:v>20161017-0706</x:v>
      </x:c>
      <x:c r="F177" s="316"/>
      <x:c r="G177" s="11" t="str">
        <x:f t="shared" si="7"/>
        <x:v>10.54.38.112</x:v>
      </x:c>
    </x:row>
    <x:row r="178" spans="1:7" ht="15" customHeight="1">
      <x:c r="A178" s="51"/>
      <x:c r="B178" s="40">
        <x:v>113</x:v>
      </x:c>
      <x:c r="C178" s="40" t="s">
        <x:v>778</x:v>
      </x:c>
      <x:c r="D178" s="40" t="str">
        <x:f>IFERROR((VLOOKUP(C178,PC!$A$1:$K$435,7,FALSE)&amp;" "&amp;VLOOKUP(C178,PC!$A$1:$K$435,6,FALSE)),"")</x:f>
        <x:v>레드스톤 VITO RMS-565S1</x:v>
      </x:c>
      <x:c r="E178" s="40" t="str">
        <x:f>IFERROR(VLOOKUP(C178,PC!$A$1:$K$435,2,FALSE),"")</x:f>
        <x:v>20161017-0707</x:v>
      </x:c>
      <x:c r="F178" s="316"/>
      <x:c r="G178" s="11" t="str">
        <x:f t="shared" si="7"/>
        <x:v>10.54.38.113</x:v>
      </x:c>
    </x:row>
    <x:row r="179" spans="1:7" ht="15" customHeight="1">
      <x:c r="A179" s="51"/>
      <x:c r="B179" s="41">
        <x:v>114</x:v>
      </x:c>
      <x:c r="C179" s="41" t="s">
        <x:v>810</x:v>
      </x:c>
      <x:c r="D179" s="41" t="str">
        <x:f>IFERROR((VLOOKUP(C179,PC!$A$1:$K$435,7,FALSE)&amp;" "&amp;VLOOKUP(C179,PC!$A$1:$K$435,6,FALSE)),"")</x:f>
        <x:v>레드스톤 VITO RMS-565S1</x:v>
      </x:c>
      <x:c r="E179" s="41" t="str">
        <x:f>IFERROR(VLOOKUP(C179,PC!$A$1:$K$435,2,FALSE),"")</x:f>
        <x:v>20161017-0708</x:v>
      </x:c>
      <x:c r="F179" s="316"/>
      <x:c r="G179" s="11" t="str">
        <x:f t="shared" si="7"/>
        <x:v>10.54.38.114</x:v>
      </x:c>
    </x:row>
    <x:row r="180" spans="1:7" ht="15" customHeight="1">
      <x:c r="A180" s="51"/>
      <x:c r="B180" s="39">
        <x:v>115</x:v>
      </x:c>
      <x:c r="C180" s="39" t="s">
        <x:v>763</x:v>
      </x:c>
      <x:c r="D180" s="39" t="str">
        <x:f>IFERROR((VLOOKUP(C180,PC!$A$1:$K$435,7,FALSE)&amp;" "&amp;VLOOKUP(C180,PC!$A$1:$K$435,6,FALSE)),"")</x:f>
        <x:v>레드스톤 VITO RMS-565S1</x:v>
      </x:c>
      <x:c r="E180" s="39" t="str">
        <x:f>IFERROR(VLOOKUP(C180,PC!$A$1:$K$435,2,FALSE),"")</x:f>
        <x:v>20161017-0709</x:v>
      </x:c>
      <x:c r="F180" s="316"/>
      <x:c r="G180" s="11" t="str">
        <x:f t="shared" si="7"/>
        <x:v>10.54.38.115</x:v>
      </x:c>
    </x:row>
    <x:row r="181" spans="1:7" ht="15" customHeight="1">
      <x:c r="A181" s="51"/>
      <x:c r="B181" s="40">
        <x:v>116</x:v>
      </x:c>
      <x:c r="C181" s="40" t="s">
        <x:v>766</x:v>
      </x:c>
      <x:c r="D181" s="40" t="str">
        <x:f>IFERROR((VLOOKUP(C181,PC!$A$1:$K$435,7,FALSE)&amp;" "&amp;VLOOKUP(C181,PC!$A$1:$K$435,6,FALSE)),"")</x:f>
        <x:v>레드스톤 VITO RMS-565S1</x:v>
      </x:c>
      <x:c r="E181" s="40" t="str">
        <x:f>IFERROR(VLOOKUP(C181,PC!$A$1:$K$435,2,FALSE),"")</x:f>
        <x:v>20161017-0710</x:v>
      </x:c>
      <x:c r="F181" s="316"/>
      <x:c r="G181" s="11" t="str">
        <x:f t="shared" si="7"/>
        <x:v>10.54.38.116</x:v>
      </x:c>
    </x:row>
    <x:row r="182" spans="1:7" ht="15" customHeight="1">
      <x:c r="A182" s="51"/>
      <x:c r="B182" s="40">
        <x:v>117</x:v>
      </x:c>
      <x:c r="C182" s="40" t="s">
        <x:v>779</x:v>
      </x:c>
      <x:c r="D182" s="40" t="str">
        <x:f>IFERROR((VLOOKUP(C182,PC!$A$1:$K$435,7,FALSE)&amp;" "&amp;VLOOKUP(C182,PC!$A$1:$K$435,6,FALSE)),"")</x:f>
        <x:v>레드스톤 VITO RMS-565S1</x:v>
      </x:c>
      <x:c r="E182" s="40" t="str">
        <x:f>IFERROR(VLOOKUP(C182,PC!$A$1:$K$435,2,FALSE),"")</x:f>
        <x:v>20161017-0711</x:v>
      </x:c>
      <x:c r="F182" s="316"/>
      <x:c r="G182" s="11" t="str">
        <x:f t="shared" si="7"/>
        <x:v>10.54.38.117</x:v>
      </x:c>
    </x:row>
    <x:row r="183" spans="1:7" ht="15" customHeight="1">
      <x:c r="A183" s="51"/>
      <x:c r="B183" s="40">
        <x:v>118</x:v>
      </x:c>
      <x:c r="C183" s="40" t="s">
        <x:v>762</x:v>
      </x:c>
      <x:c r="D183" s="40" t="str">
        <x:f>IFERROR((VLOOKUP(C183,PC!$A$1:$K$435,7,FALSE)&amp;" "&amp;VLOOKUP(C183,PC!$A$1:$K$435,6,FALSE)),"")</x:f>
        <x:v>레드스톤 VITO RMS-565S1</x:v>
      </x:c>
      <x:c r="E183" s="40" t="str">
        <x:f>IFERROR(VLOOKUP(C183,PC!$A$1:$K$435,2,FALSE),"")</x:f>
        <x:v>20161017-0712</x:v>
      </x:c>
      <x:c r="F183" s="316"/>
      <x:c r="G183" s="11" t="str">
        <x:f t="shared" si="7"/>
        <x:v>10.54.38.118</x:v>
      </x:c>
    </x:row>
    <x:row r="184" spans="1:7" ht="15" customHeight="1">
      <x:c r="A184" s="51"/>
      <x:c r="B184" s="41">
        <x:v>119</x:v>
      </x:c>
      <x:c r="C184" s="41" t="s">
        <x:v>787</x:v>
      </x:c>
      <x:c r="D184" s="41" t="str">
        <x:f>IFERROR((VLOOKUP(C184,PC!$A$1:$K$435,7,FALSE)&amp;" "&amp;VLOOKUP(C184,PC!$A$1:$K$435,6,FALSE)),"")</x:f>
        <x:v>레드스톤 VITO RMS-565S1</x:v>
      </x:c>
      <x:c r="E184" s="41" t="str">
        <x:f>IFERROR(VLOOKUP(C184,PC!$A$1:$K$435,2,FALSE),"")</x:f>
        <x:v>20161017-0713</x:v>
      </x:c>
      <x:c r="F184" s="316"/>
      <x:c r="G184" s="11" t="str">
        <x:f t="shared" si="7"/>
        <x:v>10.54.38.119</x:v>
      </x:c>
    </x:row>
    <x:row r="185" spans="1:7" ht="15" customHeight="1">
      <x:c r="A185" s="51"/>
      <x:c r="B185" s="39">
        <x:v>120</x:v>
      </x:c>
      <x:c r="C185" s="39" t="s">
        <x:v>794</x:v>
      </x:c>
      <x:c r="D185" s="39" t="str">
        <x:f>IFERROR((VLOOKUP(C185,PC!$A$1:$K$435,7,FALSE)&amp;" "&amp;VLOOKUP(C185,PC!$A$1:$K$435,6,FALSE)),"")</x:f>
        <x:v>레드스톤 VITO RMS-565S1</x:v>
      </x:c>
      <x:c r="E185" s="39" t="str">
        <x:f>IFERROR(VLOOKUP(C185,PC!$A$1:$K$435,2,FALSE),"")</x:f>
        <x:v>20161017-0714</x:v>
      </x:c>
      <x:c r="F185" s="316"/>
      <x:c r="G185" s="11" t="str">
        <x:f t="shared" si="7"/>
        <x:v>10.54.38.120</x:v>
      </x:c>
    </x:row>
    <x:row r="186" spans="1:7" ht="15" customHeight="1">
      <x:c r="A186" s="51"/>
      <x:c r="B186" s="40">
        <x:v>121</x:v>
      </x:c>
      <x:c r="C186" s="40" t="s">
        <x:v>791</x:v>
      </x:c>
      <x:c r="D186" s="40" t="str">
        <x:f>IFERROR((VLOOKUP(C186,PC!$A$1:$K$435,7,FALSE)&amp;" "&amp;VLOOKUP(C186,PC!$A$1:$K$435,6,FALSE)),"")</x:f>
        <x:v>레드스톤 VITO RMS-565S1</x:v>
      </x:c>
      <x:c r="E186" s="40" t="str">
        <x:f>IFERROR(VLOOKUP(C186,PC!$A$1:$K$435,2,FALSE),"")</x:f>
        <x:v>20161017-0715</x:v>
      </x:c>
      <x:c r="F186" s="316"/>
      <x:c r="G186" s="11" t="str">
        <x:f t="shared" si="7"/>
        <x:v>10.54.38.121</x:v>
      </x:c>
    </x:row>
    <x:row r="187" spans="1:7" ht="15" customHeight="1">
      <x:c r="A187" s="51"/>
      <x:c r="B187" s="40">
        <x:v>122</x:v>
      </x:c>
      <x:c r="C187" s="40" t="s">
        <x:v>777</x:v>
      </x:c>
      <x:c r="D187" s="40" t="str">
        <x:f>IFERROR((VLOOKUP(C187,PC!$A$1:$K$435,7,FALSE)&amp;" "&amp;VLOOKUP(C187,PC!$A$1:$K$435,6,FALSE)),"")</x:f>
        <x:v>레드스톤 VITO RMS-565S1</x:v>
      </x:c>
      <x:c r="E187" s="40" t="str">
        <x:f>IFERROR(VLOOKUP(C187,PC!$A$1:$K$435,2,FALSE),"")</x:f>
        <x:v>20161017-0716</x:v>
      </x:c>
      <x:c r="F187" s="316"/>
      <x:c r="G187" s="11" t="str">
        <x:f t="shared" si="7"/>
        <x:v>10.54.38.122</x:v>
      </x:c>
    </x:row>
    <x:row r="188" spans="1:7" ht="15" customHeight="1">
      <x:c r="A188" s="51"/>
      <x:c r="B188" s="40">
        <x:v>123</x:v>
      </x:c>
      <x:c r="C188" s="40" t="s">
        <x:v>786</x:v>
      </x:c>
      <x:c r="D188" s="40" t="str">
        <x:f>IFERROR((VLOOKUP(C188,PC!$A$1:$K$435,7,FALSE)&amp;" "&amp;VLOOKUP(C188,PC!$A$1:$K$435,6,FALSE)),"")</x:f>
        <x:v>레드스톤 VITO RMS-565S1</x:v>
      </x:c>
      <x:c r="E188" s="40" t="str">
        <x:f>IFERROR(VLOOKUP(C188,PC!$A$1:$K$435,2,FALSE),"")</x:f>
        <x:v>20161017-0717</x:v>
      </x:c>
      <x:c r="F188" s="316"/>
      <x:c r="G188" s="11" t="str">
        <x:f t="shared" si="7"/>
        <x:v>10.54.38.123</x:v>
      </x:c>
    </x:row>
    <x:row r="189" spans="1:7" ht="15" customHeight="1">
      <x:c r="A189" s="51"/>
      <x:c r="B189" s="41">
        <x:v>124</x:v>
      </x:c>
      <x:c r="C189" s="41" t="s">
        <x:v>765</x:v>
      </x:c>
      <x:c r="D189" s="41" t="str">
        <x:f>IFERROR((VLOOKUP(C189,PC!$A$1:$K$435,7,FALSE)&amp;" "&amp;VLOOKUP(C189,PC!$A$1:$K$435,6,FALSE)),"")</x:f>
        <x:v>레드스톤 VITO RMS-565S1</x:v>
      </x:c>
      <x:c r="E189" s="41" t="str">
        <x:f>IFERROR(VLOOKUP(C189,PC!$A$1:$K$435,2,FALSE),"")</x:f>
        <x:v>20161017-0718</x:v>
      </x:c>
      <x:c r="F189" s="316"/>
      <x:c r="G189" s="11" t="str">
        <x:f t="shared" si="7"/>
        <x:v>10.54.38.124</x:v>
      </x:c>
    </x:row>
    <x:row r="190" spans="1:7" ht="15" customHeight="1">
      <x:c r="A190" s="51"/>
      <x:c r="B190" s="39">
        <x:v>125</x:v>
      </x:c>
      <x:c r="C190" s="39" t="s">
        <x:v>761</x:v>
      </x:c>
      <x:c r="D190" s="39" t="str">
        <x:f>IFERROR((VLOOKUP(C190,PC!$A$1:$K$435,7,FALSE)&amp;" "&amp;VLOOKUP(C190,PC!$A$1:$K$435,6,FALSE)),"")</x:f>
        <x:v>레드스톤 VITO RMS-565S1</x:v>
      </x:c>
      <x:c r="E190" s="39" t="str">
        <x:f>IFERROR(VLOOKUP(C190,PC!$A$1:$K$435,2,FALSE),"")</x:f>
        <x:v>20161017-0719</x:v>
      </x:c>
      <x:c r="F190" s="316"/>
      <x:c r="G190" s="11" t="str">
        <x:f t="shared" si="7"/>
        <x:v>10.54.38.125</x:v>
      </x:c>
    </x:row>
    <x:row r="191" spans="1:7" ht="15" customHeight="1">
      <x:c r="A191" s="51"/>
      <x:c r="B191" s="40">
        <x:v>126</x:v>
      </x:c>
      <x:c r="C191" s="40" t="s">
        <x:v>789</x:v>
      </x:c>
      <x:c r="D191" s="40" t="str">
        <x:f>IFERROR((VLOOKUP(C191,PC!$A$1:$K$435,7,FALSE)&amp;" "&amp;VLOOKUP(C191,PC!$A$1:$K$435,6,FALSE)),"")</x:f>
        <x:v>레드스톤 VITO RMS-565S1</x:v>
      </x:c>
      <x:c r="E191" s="40" t="str">
        <x:f>IFERROR(VLOOKUP(C191,PC!$A$1:$K$435,2,FALSE),"")</x:f>
        <x:v>20161017-0720</x:v>
      </x:c>
      <x:c r="F191" s="316"/>
      <x:c r="G191" s="11" t="str">
        <x:f t="shared" si="7"/>
        <x:v>10.54.38.126</x:v>
      </x:c>
    </x:row>
    <x:row r="192" spans="1:7" ht="15" customHeight="1">
      <x:c r="A192" s="51"/>
      <x:c r="B192" s="40">
        <x:v>127</x:v>
      </x:c>
      <x:c r="C192" s="40" t="s">
        <x:v>788</x:v>
      </x:c>
      <x:c r="D192" s="40" t="str">
        <x:f>IFERROR((VLOOKUP(C192,PC!$A$1:$K$435,7,FALSE)&amp;" "&amp;VLOOKUP(C192,PC!$A$1:$K$435,6,FALSE)),"")</x:f>
        <x:v>레드스톤 VITO RMS-565S1</x:v>
      </x:c>
      <x:c r="E192" s="40" t="str">
        <x:f>IFERROR(VLOOKUP(C192,PC!$A$1:$K$435,2,FALSE),"")</x:f>
        <x:v>20161017-0721</x:v>
      </x:c>
      <x:c r="F192" s="316"/>
      <x:c r="G192" s="11" t="str">
        <x:f t="shared" si="7"/>
        <x:v>10.54.38.127</x:v>
      </x:c>
    </x:row>
    <x:row r="193" spans="1:7" ht="15" customHeight="1">
      <x:c r="A193" s="51"/>
      <x:c r="B193" s="40">
        <x:v>128</x:v>
      </x:c>
      <x:c r="C193" s="40" t="s">
        <x:v>760</x:v>
      </x:c>
      <x:c r="D193" s="40" t="str">
        <x:f>IFERROR((VLOOKUP(C193,PC!$A$1:$K$435,7,FALSE)&amp;" "&amp;VLOOKUP(C193,PC!$A$1:$K$435,6,FALSE)),"")</x:f>
        <x:v>레드스톤 VITO RMS-565S1</x:v>
      </x:c>
      <x:c r="E193" s="40" t="str">
        <x:f>IFERROR(VLOOKUP(C193,PC!$A$1:$K$435,2,FALSE),"")</x:f>
        <x:v>20161017-0722</x:v>
      </x:c>
      <x:c r="F193" s="316"/>
      <x:c r="G193" s="11" t="str">
        <x:f t="shared" si="7"/>
        <x:v>10.54.38.128</x:v>
      </x:c>
    </x:row>
    <x:row r="194" spans="1:7" ht="15" customHeight="1">
      <x:c r="A194" s="51"/>
      <x:c r="B194" s="41">
        <x:v>129</x:v>
      </x:c>
      <x:c r="C194" s="41" t="s">
        <x:v>783</x:v>
      </x:c>
      <x:c r="D194" s="41" t="str">
        <x:f>IFERROR((VLOOKUP(C194,PC!$A$1:$K$435,7,FALSE)&amp;" "&amp;VLOOKUP(C194,PC!$A$1:$K$435,6,FALSE)),"")</x:f>
        <x:v>레드스톤 VITO RMS-565S1</x:v>
      </x:c>
      <x:c r="E194" s="41" t="str">
        <x:f>IFERROR(VLOOKUP(C194,PC!$A$1:$K$435,2,FALSE),"")</x:f>
        <x:v>20161017-0723</x:v>
      </x:c>
      <x:c r="F194" s="316"/>
      <x:c r="G194" s="11" t="str">
        <x:f t="shared" si="7"/>
        <x:v>10.54.38.129</x:v>
      </x:c>
    </x:row>
    <x:row r="195" spans="1:7" ht="15" customHeight="1">
      <x:c r="A195" s="51"/>
      <x:c r="B195" s="39">
        <x:v>130</x:v>
      </x:c>
      <x:c r="C195" s="39" t="s">
        <x:v>753</x:v>
      </x:c>
      <x:c r="D195" s="39" t="str">
        <x:f>IFERROR((VLOOKUP(C195,PC!$A$1:$K$435,7,FALSE)&amp;" "&amp;VLOOKUP(C195,PC!$A$1:$K$435,6,FALSE)),"")</x:f>
        <x:v>레드스톤 VITO RMS-565S1</x:v>
      </x:c>
      <x:c r="E195" s="39" t="str">
        <x:f>IFERROR(VLOOKUP(C195,PC!$A$1:$K$435,2,FALSE),"")</x:f>
        <x:v>20161017-0724</x:v>
      </x:c>
      <x:c r="F195" s="316"/>
      <x:c r="G195" s="11" t="str">
        <x:f t="shared" si="7"/>
        <x:v>10.54.38.130</x:v>
      </x:c>
    </x:row>
    <x:row r="196" spans="1:7" ht="15" customHeight="1">
      <x:c r="A196" s="51"/>
      <x:c r="B196" s="40">
        <x:v>131</x:v>
      </x:c>
      <x:c r="C196" s="40" t="s">
        <x:v>781</x:v>
      </x:c>
      <x:c r="D196" s="40" t="str">
        <x:f>IFERROR((VLOOKUP(C196,PC!$A$1:$K$435,7,FALSE)&amp;" "&amp;VLOOKUP(C196,PC!$A$1:$K$435,6,FALSE)),"")</x:f>
        <x:v>레드스톤 VITO RMS-565S1</x:v>
      </x:c>
      <x:c r="E196" s="40" t="str">
        <x:f>IFERROR(VLOOKUP(C196,PC!$A$1:$K$435,2,FALSE),"")</x:f>
        <x:v>20161017-0725</x:v>
      </x:c>
      <x:c r="F196" s="316"/>
      <x:c r="G196" s="11" t="str">
        <x:f t="shared" si="7"/>
        <x:v>10.54.38.131</x:v>
      </x:c>
    </x:row>
    <x:row r="197" spans="1:7" ht="15" customHeight="1">
      <x:c r="A197" s="51"/>
      <x:c r="B197" s="40">
        <x:v>132</x:v>
      </x:c>
      <x:c r="C197" s="40" t="s">
        <x:v>769</x:v>
      </x:c>
      <x:c r="D197" s="40" t="str">
        <x:f>IFERROR((VLOOKUP(C197,PC!$A$1:$K$435,7,FALSE)&amp;" "&amp;VLOOKUP(C197,PC!$A$1:$K$435,6,FALSE)),"")</x:f>
        <x:v>레드스톤 VITO RMS-565S1</x:v>
      </x:c>
      <x:c r="E197" s="40" t="str">
        <x:f>IFERROR(VLOOKUP(C197,PC!$A$1:$K$435,2,FALSE),"")</x:f>
        <x:v>20161017-0726</x:v>
      </x:c>
      <x:c r="F197" s="316"/>
      <x:c r="G197" s="11" t="str">
        <x:f t="shared" si="7"/>
        <x:v>10.54.38.132</x:v>
      </x:c>
    </x:row>
    <x:row r="198" spans="1:7" ht="15" customHeight="1">
      <x:c r="A198" s="51"/>
      <x:c r="B198" s="40">
        <x:v>133</x:v>
      </x:c>
      <x:c r="C198" s="40" t="s">
        <x:v>755</x:v>
      </x:c>
      <x:c r="D198" s="40" t="str">
        <x:f>IFERROR((VLOOKUP(C198,PC!$A$1:$K$435,7,FALSE)&amp;" "&amp;VLOOKUP(C198,PC!$A$1:$K$435,6,FALSE)),"")</x:f>
        <x:v>레드스톤 VITO RMS-565S1</x:v>
      </x:c>
      <x:c r="E198" s="40" t="str">
        <x:f>IFERROR(VLOOKUP(C198,PC!$A$1:$K$435,2,FALSE),"")</x:f>
        <x:v>20161017-0727</x:v>
      </x:c>
      <x:c r="F198" s="316"/>
      <x:c r="G198" s="11" t="str">
        <x:f t="shared" si="7"/>
        <x:v>10.54.38.133</x:v>
      </x:c>
    </x:row>
    <x:row r="199" spans="1:7" ht="15" customHeight="1">
      <x:c r="A199" s="51"/>
      <x:c r="B199" s="41">
        <x:v>134</x:v>
      </x:c>
      <x:c r="C199" s="41" t="s">
        <x:v>801</x:v>
      </x:c>
      <x:c r="D199" s="41" t="str">
        <x:f>IFERROR((VLOOKUP(C199,PC!$A$1:$K$435,7,FALSE)&amp;" "&amp;VLOOKUP(C199,PC!$A$1:$K$435,6,FALSE)),"")</x:f>
        <x:v>레드스톤 VITO RMS-565S1</x:v>
      </x:c>
      <x:c r="E199" s="41" t="str">
        <x:f>IFERROR(VLOOKUP(C199,PC!$A$1:$K$435,2,FALSE),"")</x:f>
        <x:v>20161017-0728</x:v>
      </x:c>
      <x:c r="F199" s="316"/>
      <x:c r="G199" s="11" t="str">
        <x:f t="shared" si="7"/>
        <x:v>10.54.38.134</x:v>
      </x:c>
    </x:row>
    <x:row r="200" spans="1:7" ht="15" customHeight="1">
      <x:c r="A200" s="51"/>
      <x:c r="B200" s="39">
        <x:v>135</x:v>
      </x:c>
      <x:c r="C200" s="39" t="s">
        <x:v>768</x:v>
      </x:c>
      <x:c r="D200" s="39" t="str">
        <x:f>IFERROR((VLOOKUP(C200,PC!$A$1:$K$435,7,FALSE)&amp;" "&amp;VLOOKUP(C200,PC!$A$1:$K$435,6,FALSE)),"")</x:f>
        <x:v>레드스톤 VITO RMS-565S1</x:v>
      </x:c>
      <x:c r="E200" s="39" t="str">
        <x:f>IFERROR(VLOOKUP(C200,PC!$A$1:$K$435,2,FALSE),"")</x:f>
        <x:v>20161017-0729</x:v>
      </x:c>
      <x:c r="F200" s="316"/>
      <x:c r="G200" s="11" t="str">
        <x:f t="shared" si="7"/>
        <x:v>10.54.38.135</x:v>
      </x:c>
    </x:row>
    <x:row r="201" spans="1:7" ht="15" customHeight="1">
      <x:c r="A201" s="51"/>
      <x:c r="B201" s="95">
        <x:v>136</x:v>
      </x:c>
      <x:c r="C201" s="95" t="s">
        <x:v>771</x:v>
      </x:c>
      <x:c r="D201" s="95" t="str">
        <x:f>IFERROR((VLOOKUP(C201,PC!$A$1:$K$435,7,FALSE)&amp;" "&amp;VLOOKUP(C201,PC!$A$1:$K$435,6,FALSE)),"")</x:f>
        <x:v>레드스톤 VITO RMS-565S1</x:v>
      </x:c>
      <x:c r="E201" s="95" t="str">
        <x:f>IFERROR(VLOOKUP(C201,PC!$A$1:$K$435,2,FALSE),"")</x:f>
        <x:v>20161017-0730</x:v>
      </x:c>
      <x:c r="F201" s="316"/>
      <x:c r="G201" s="11" t="str">
        <x:f t="shared" si="7"/>
        <x:v>10.54.38.136</x:v>
      </x:c>
    </x:row>
    <x:row r="202" spans="1:6" ht="15" customHeight="1">
      <x:c r="A202" s="51"/>
      <x:c r="B202" s="144"/>
      <x:c r="D202" s="144"/>
      <x:c r="E202" s="144"/>
      <x:c r="F202" s="79"/>
    </x:row>
    <x:row r="203" spans="1:6" ht="15" customHeight="1">
      <x:c r="A203" s="51"/>
      <x:c r="B203" s="144"/>
      <x:c r="D203" s="144"/>
      <x:c r="E203" s="144"/>
      <x:c r="F203" s="79"/>
    </x:row>
    <x:row r="204" spans="1:6" ht="15" customHeight="1">
      <x:c r="A204" s="51"/>
      <x:c r="B204" s="144"/>
      <x:c r="D204" s="144"/>
      <x:c r="E204" s="144"/>
      <x:c r="F204" s="79"/>
    </x:row>
    <x:row r="205" spans="1:6" ht="15" customHeight="1">
      <x:c r="A205" s="51"/>
      <x:c r="B205" s="144"/>
      <x:c r="D205" s="144"/>
      <x:c r="E205" s="144"/>
      <x:c r="F205" s="79"/>
    </x:row>
    <x:row r="206" spans="1:12" ht="15" customHeight="1">
      <x:c r="A206" s="96" t="s">
        <x:v>623</x:v>
      </x:c>
      <x:c r="B206" s="97">
        <x:v>99</x:v>
      </x:c>
      <x:c r="C206" s="98" t="s">
        <x:v>804</x:v>
      </x:c>
      <x:c r="D206" s="97" t="str">
        <x:f>IFERROR((VLOOKUP(C206,PC!$A$1:$K$435,7,FALSE)&amp;" "&amp;VLOOKUP(C206,PC!$A$1:$K$435,6,FALSE)),"")</x:f>
        <x:v>삼성 NT370E5J-K04G</x:v>
      </x:c>
      <x:c r="E206" s="45" t="str">
        <x:f>IFERROR(VLOOKUP(C206,PC!$A$1:$K$435,2,FALSE),"")</x:f>
        <x:v>20160323-0693</x:v>
      </x:c>
      <x:c r="F206" s="320" t="s">
        <x:v>1907</x:v>
      </x:c>
      <x:c r="G206" s="1"/>
      <x:c r="H206" s="1" t="s">
        <x:v>1470</x:v>
      </x:c>
      <x:c r="I206" s="1" t="s">
        <x:v>1391</x:v>
      </x:c>
      <x:c r="K206" s="1" t="s">
        <x:v>1470</x:v>
      </x:c>
      <x:c r="L206" s="1" t="s">
        <x:v>1391</x:v>
      </x:c>
    </x:row>
    <x:row r="207" spans="1:12" ht="15" customHeight="1">
      <x:c r="A207" s="51"/>
      <x:c r="B207" s="322">
        <x:v>100</x:v>
      </x:c>
      <x:c r="C207" s="322" t="s">
        <x:v>1433</x:v>
      </x:c>
      <x:c r="D207" s="46" t="s">
        <x:v>1918</x:v>
      </x:c>
      <x:c r="E207" s="47"/>
      <x:c r="F207" s="321"/>
      <x:c r="G207" s="1"/>
      <x:c r="H207" s="111" t="s">
        <x:v>1963</x:v>
      </x:c>
      <x:c r="I207" s="111" t="s">
        <x:v>1938</x:v>
      </x:c>
      <x:c r="J207" s="1" t="s">
        <x:v>2010</x:v>
      </x:c>
      <x:c r="K207" s="1" t="s">
        <x:v>1949</x:v>
      </x:c>
      <x:c r="L207" s="1" t="s">
        <x:v>641</x:v>
      </x:c>
    </x:row>
    <x:row r="208" spans="1:9" ht="15" customHeight="1">
      <x:c r="A208" s="51"/>
      <x:c r="B208" s="323"/>
      <x:c r="C208" s="323"/>
      <x:c r="D208" s="199" t="s">
        <x:v>672</x:v>
      </x:c>
      <x:c r="E208" s="40" t="s">
        <x:v>617</x:v>
      </x:c>
      <x:c r="F208" s="321"/>
      <x:c r="G208" s="9" t="s">
        <x:v>756</x:v>
      </x:c>
      <x:c r="H208" s="1" t="s">
        <x:v>1963</x:v>
      </x:c>
      <x:c r="I208" s="1" t="s">
        <x:v>658</x:v>
      </x:c>
    </x:row>
    <x:row r="209" spans="1:9" ht="15" customHeight="1">
      <x:c r="A209" s="51"/>
      <x:c r="B209" s="323"/>
      <x:c r="C209" s="323"/>
      <x:c r="D209" s="99" t="s">
        <x:v>660</x:v>
      </x:c>
      <x:c r="E209" s="40" t="s">
        <x:v>644</x:v>
      </x:c>
      <x:c r="F209" s="321"/>
      <x:c r="G209" s="1"/>
      <x:c r="H209" s="1" t="s">
        <x:v>1963</x:v>
      </x:c>
      <x:c r="I209" s="1" t="s">
        <x:v>658</x:v>
      </x:c>
    </x:row>
    <x:row r="210" spans="1:9" ht="15" customHeight="1">
      <x:c r="A210" s="30"/>
      <x:c r="B210" s="323"/>
      <x:c r="C210" s="323"/>
      <x:c r="D210" s="94" t="s">
        <x:v>659</x:v>
      </x:c>
      <x:c r="E210" s="95" t="s">
        <x:v>650</x:v>
      </x:c>
      <x:c r="F210" s="321"/>
      <x:c r="G210" s="1"/>
      <x:c r="H210" s="1" t="s">
        <x:v>1963</x:v>
      </x:c>
      <x:c r="I210" s="1" t="s">
        <x:v>658</x:v>
      </x:c>
    </x:row>
    <x:row r="211" spans="1:9" ht="15" customHeight="1">
      <x:c r="A211" s="30"/>
      <x:c r="B211" s="323"/>
      <x:c r="C211" s="323"/>
      <x:c r="D211" s="94" t="s">
        <x:v>2019</x:v>
      </x:c>
      <x:c r="E211" s="95" t="s">
        <x:v>633</x:v>
      </x:c>
      <x:c r="F211" s="321"/>
      <x:c r="G211" s="1"/>
      <x:c r="H211" s="1" t="s">
        <x:v>1963</x:v>
      </x:c>
      <x:c r="I211" s="1" t="s">
        <x:v>658</x:v>
      </x:c>
    </x:row>
    <x:row r="212" spans="1:9" ht="15" customHeight="1">
      <x:c r="A212" s="30"/>
      <x:c r="B212" s="323"/>
      <x:c r="C212" s="323"/>
      <x:c r="D212" s="94" t="s">
        <x:v>1933</x:v>
      </x:c>
      <x:c r="E212" s="95" t="s">
        <x:v>635</x:v>
      </x:c>
      <x:c r="F212" s="321"/>
      <x:c r="G212" s="1"/>
      <x:c r="H212" s="1" t="s">
        <x:v>1963</x:v>
      </x:c>
      <x:c r="I212" s="1" t="s">
        <x:v>658</x:v>
      </x:c>
    </x:row>
    <x:row r="213" spans="1:9" ht="15" customHeight="1">
      <x:c r="A213" s="30"/>
      <x:c r="B213" s="324"/>
      <x:c r="C213" s="324"/>
      <x:c r="D213" s="200" t="s">
        <x:v>2220</x:v>
      </x:c>
      <x:c r="E213" s="41" t="s">
        <x:v>637</x:v>
      </x:c>
      <x:c r="F213" s="321"/>
      <x:c r="G213" s="9" t="s">
        <x:v>2248</x:v>
      </x:c>
      <x:c r="H213" s="1" t="s">
        <x:v>1963</x:v>
      </x:c>
      <x:c r="I213" s="1" t="s">
        <x:v>658</x:v>
      </x:c>
    </x:row>
    <x:row r="214" spans="1:9" ht="15" customHeight="1">
      <x:c r="A214" s="30"/>
      <x:c r="B214" s="26">
        <x:v>101</x:v>
      </x:c>
      <x:c r="C214" s="26"/>
      <x:c r="D214" s="53"/>
      <x:c r="E214" s="54"/>
      <x:c r="F214" s="321"/>
      <x:c r="G214" s="1"/>
      <x:c r="H214" s="111" t="s">
        <x:v>1963</x:v>
      </x:c>
      <x:c r="I214" s="111" t="s">
        <x:v>1938</x:v>
      </x:c>
    </x:row>
    <x:row r="215" spans="1:9" ht="15" customHeight="1">
      <x:c r="A215" s="30"/>
      <x:c r="B215" s="2">
        <x:v>102</x:v>
      </x:c>
      <x:c r="C215" s="2" t="s">
        <x:v>1917</x:v>
      </x:c>
      <x:c r="D215" s="201" t="s">
        <x:v>934</x:v>
      </x:c>
      <x:c r="E215" s="112"/>
      <x:c r="F215" s="321"/>
      <x:c r="G215" s="9" t="s">
        <x:v>756</x:v>
      </x:c>
      <x:c r="H215" s="111" t="s">
        <x:v>1963</x:v>
      </x:c>
      <x:c r="I215" s="111" t="s">
        <x:v>1938</x:v>
      </x:c>
    </x:row>
    <x:row r="216" spans="1:9" ht="15" customHeight="1">
      <x:c r="A216" s="30"/>
      <x:c r="B216" s="2">
        <x:v>103</x:v>
      </x:c>
      <x:c r="C216" s="2" t="s">
        <x:v>1954</x:v>
      </x:c>
      <x:c r="D216" s="112" t="s">
        <x:v>916</x:v>
      </x:c>
      <x:c r="E216" s="112"/>
      <x:c r="F216" s="321"/>
      <x:c r="G216" s="1"/>
      <x:c r="H216" s="111" t="s">
        <x:v>1963</x:v>
      </x:c>
      <x:c r="I216" s="111" t="s">
        <x:v>1938</x:v>
      </x:c>
    </x:row>
    <x:row r="217" spans="1:9" ht="15" customHeight="1">
      <x:c r="A217" s="30"/>
      <x:c r="B217" s="2">
        <x:v>104</x:v>
      </x:c>
      <x:c r="C217" s="2" t="s">
        <x:v>2009</x:v>
      </x:c>
      <x:c r="D217" s="112" t="s">
        <x:v>3111</x:v>
      </x:c>
      <x:c r="E217" s="112"/>
      <x:c r="F217" s="321"/>
      <x:c r="G217" s="1"/>
      <x:c r="H217" s="111" t="s">
        <x:v>1963</x:v>
      </x:c>
      <x:c r="I217" s="111" t="s">
        <x:v>639</x:v>
      </x:c>
    </x:row>
    <x:row r="218" spans="1:9" customHeight="1">
      <x:c r="A218" s="31"/>
      <x:c r="B218" s="2">
        <x:v>105</x:v>
      </x:c>
      <x:c r="C218" s="2" t="s">
        <x:v>1403</x:v>
      </x:c>
      <x:c r="D218" s="112" t="s">
        <x:v>1466</x:v>
      </x:c>
      <x:c r="E218" s="112"/>
      <x:c r="F218" s="310"/>
      <x:c r="G218" s="1"/>
      <x:c r="H218" s="111" t="s">
        <x:v>1963</x:v>
      </x:c>
      <x:c r="I218" s="111" t="s">
        <x:v>1938</x:v>
      </x:c>
    </x:row>
  </x:sheetData>
  <x:sortState columnSort="0" caseSensitive="0" ref="B214:I218">
    <x:sortCondition descending="0" sortBy="value" ref="B214:B218"/>
  </x:sortState>
  <x:mergeCells count="10">
    <x:mergeCell ref="F11:F23"/>
    <x:mergeCell ref="F52:F55"/>
    <x:mergeCell ref="F72:F76"/>
    <x:mergeCell ref="F84:F85"/>
    <x:mergeCell ref="F123:F152"/>
    <x:mergeCell ref="F155:F160"/>
    <x:mergeCell ref="F165:F201"/>
    <x:mergeCell ref="F206:F218"/>
    <x:mergeCell ref="B207:B213"/>
    <x:mergeCell ref="C207:C213"/>
  </x:mergeCells>
  <x:printOptions horizontalCentered="1" verticalCentered="0" headings="0" gridLines="0" gridLinesSet="1"/>
  <x:pageMargins left="0.70861113071441650391" right="0.70861113071441650391" top="0.9448611140251159668" bottom="0.74750000238418579102" header="0.31486111879348754883" footer="0.31486111879348754883"/>
  <x:pageSetup paperSize="9" scale="100" firstPageNumber="1" fitToWidth="1" fitToHeight="1" orientation="landscape" usePrinterDefaults="1" blackAndWhite="0" draft="0" useFirstPageNumber="0" horizontalDpi="600" verticalDpi="600" copies="1"/>
  <x:headerFooter differentOddEven="0" differentFirst="0" scaleWithDoc="1" alignWithMargins="1">
    <x:oddHeader>&amp;C&amp;"HY견고딕,Regular"&amp;22IP관리대장(학생용)</x:oddHeader>
  </x:headerFooter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 filterMode="1"/>
  <x:dimension ref="A1:B134"/>
  <x:sheetViews>
    <x:sheetView topLeftCell="A52" zoomScaleNormal="100" zoomScaleSheetLayoutView="100" workbookViewId="0">
      <x:selection activeCell="N59" activeCellId="0" sqref="N59:N59"/>
    </x:sheetView>
  </x:sheetViews>
  <x:sheetFormatPr defaultColWidth="8.9140625" defaultRowHeight="16.39999999999999857891"/>
  <x:cols>
    <x:col min="1" max="1" width="19.4140625" style="1" bestFit="1" customWidth="1"/>
    <x:col min="2" max="2" width="13.33203125" style="1" bestFit="1" customWidth="1"/>
    <x:col min="3" max="3" width="16.33203125" style="1" bestFit="1" customWidth="1"/>
    <x:col min="4" max="16384" width="8.9140625" style="11"/>
  </x:cols>
  <x:sheetData>
    <x:row r="1" spans="1:2">
      <x:c r="A1" s="1" t="s">
        <x:v>3144</x:v>
      </x:c>
      <x:c r="B1" s="1" t="s">
        <x:v>1409</x:v>
      </x:c>
    </x:row>
    <x:row r="2" spans="1:2">
      <x:c r="A2" s="1" t="s">
        <x:v>1223</x:v>
      </x:c>
      <x:c r="B2" s="1" t="s">
        <x:v>1869</x:v>
      </x:c>
    </x:row>
    <x:row r="3" spans="1:2">
      <x:c r="A3" s="1" t="s">
        <x:v>1497</x:v>
      </x:c>
      <x:c r="B3" s="1" t="s">
        <x:v>1869</x:v>
      </x:c>
    </x:row>
    <x:row r="4" spans="1:2">
      <x:c r="A4" s="1" t="s">
        <x:v>1267</x:v>
      </x:c>
      <x:c r="B4" s="1" t="s">
        <x:v>1869</x:v>
      </x:c>
    </x:row>
    <x:row r="5" spans="1:2">
      <x:c r="A5" s="1" t="s">
        <x:v>1495</x:v>
      </x:c>
      <x:c r="B5" s="1" t="s">
        <x:v>1869</x:v>
      </x:c>
    </x:row>
    <x:row r="6" spans="1:2">
      <x:c r="A6" s="1" t="s">
        <x:v>1224</x:v>
      </x:c>
      <x:c r="B6" s="1" t="s">
        <x:v>1869</x:v>
      </x:c>
    </x:row>
    <x:row r="7" spans="1:2">
      <x:c r="A7" s="1" t="s">
        <x:v>1230</x:v>
      </x:c>
      <x:c r="B7" s="1" t="s">
        <x:v>1869</x:v>
      </x:c>
    </x:row>
    <x:row r="8" spans="1:2">
      <x:c r="A8" s="1" t="s">
        <x:v>1450</x:v>
      </x:c>
      <x:c r="B8" s="1" t="s">
        <x:v>1869</x:v>
      </x:c>
    </x:row>
    <x:row r="9" spans="1:2">
      <x:c r="A9" s="1" t="s">
        <x:v>1208</x:v>
      </x:c>
      <x:c r="B9" s="1" t="s">
        <x:v>1869</x:v>
      </x:c>
    </x:row>
    <x:row r="10" spans="1:2">
      <x:c r="A10" s="1" t="s">
        <x:v>1228</x:v>
      </x:c>
      <x:c r="B10" s="1" t="s">
        <x:v>1869</x:v>
      </x:c>
    </x:row>
    <x:row r="11" spans="1:2">
      <x:c r="A11" s="1" t="s">
        <x:v>1204</x:v>
      </x:c>
      <x:c r="B11" s="1" t="s">
        <x:v>1952</x:v>
      </x:c>
    </x:row>
    <x:row r="12" spans="1:2">
      <x:c r="A12" s="1" t="s">
        <x:v>1217</x:v>
      </x:c>
      <x:c r="B12" s="1" t="s">
        <x:v>1952</x:v>
      </x:c>
    </x:row>
    <x:row r="13" spans="1:2">
      <x:c r="A13" s="1" t="s">
        <x:v>1211</x:v>
      </x:c>
      <x:c r="B13" s="1" t="s">
        <x:v>1952</x:v>
      </x:c>
    </x:row>
    <x:row r="14" spans="1:2">
      <x:c r="A14" s="1" t="s">
        <x:v>1235</x:v>
      </x:c>
      <x:c r="B14" s="1" t="s">
        <x:v>1952</x:v>
      </x:c>
    </x:row>
    <x:row r="15" spans="1:2">
      <x:c r="A15" s="1" t="s">
        <x:v>1232</x:v>
      </x:c>
      <x:c r="B15" s="1" t="s">
        <x:v>1947</x:v>
      </x:c>
    </x:row>
    <x:row r="16" spans="1:2">
      <x:c r="A16" s="1" t="s">
        <x:v>1240</x:v>
      </x:c>
      <x:c r="B16" s="1" t="s">
        <x:v>1947</x:v>
      </x:c>
    </x:row>
    <x:row r="17" spans="1:2">
      <x:c r="A17" s="1" t="s">
        <x:v>1227</x:v>
      </x:c>
      <x:c r="B17" s="1" t="s">
        <x:v>1947</x:v>
      </x:c>
    </x:row>
    <x:row r="18" spans="1:2">
      <x:c r="A18" s="1" t="s">
        <x:v>1521</x:v>
      </x:c>
      <x:c r="B18" s="1" t="s">
        <x:v>1947</x:v>
      </x:c>
    </x:row>
    <x:row r="19" spans="1:2">
      <x:c r="A19" s="1" t="s">
        <x:v>1238</x:v>
      </x:c>
      <x:c r="B19" s="1" t="s">
        <x:v>1947</x:v>
      </x:c>
    </x:row>
    <x:row r="20" spans="1:2">
      <x:c r="A20" s="1" t="s">
        <x:v>1222</x:v>
      </x:c>
      <x:c r="B20" s="1" t="s">
        <x:v>1947</x:v>
      </x:c>
    </x:row>
    <x:row r="21" spans="1:2">
      <x:c r="A21" s="1" t="s">
        <x:v>1419</x:v>
      </x:c>
      <x:c r="B21" s="1" t="s">
        <x:v>1947</x:v>
      </x:c>
    </x:row>
    <x:row r="22" spans="1:2">
      <x:c r="A22" s="1" t="s">
        <x:v>1528</x:v>
      </x:c>
      <x:c r="B22" s="1" t="s">
        <x:v>1947</x:v>
      </x:c>
    </x:row>
    <x:row r="23" spans="1:2">
      <x:c r="A23" s="1" t="s">
        <x:v>1612</x:v>
      </x:c>
      <x:c r="B23" s="1" t="s">
        <x:v>1947</x:v>
      </x:c>
    </x:row>
    <x:row r="24" spans="1:2">
      <x:c r="A24" s="1" t="s">
        <x:v>1225</x:v>
      </x:c>
      <x:c r="B24" s="1" t="s">
        <x:v>1740</x:v>
      </x:c>
    </x:row>
    <x:row r="25" spans="1:2">
      <x:c r="A25" s="1" t="s">
        <x:v>1522</x:v>
      </x:c>
      <x:c r="B25" s="1" t="s">
        <x:v>1740</x:v>
      </x:c>
    </x:row>
    <x:row r="26" spans="1:2">
      <x:c r="A26" s="1" t="s">
        <x:v>1270</x:v>
      </x:c>
      <x:c r="B26" s="1" t="s">
        <x:v>1740</x:v>
      </x:c>
    </x:row>
    <x:row r="27" spans="1:2">
      <x:c r="A27" s="1" t="s">
        <x:v>1262</x:v>
      </x:c>
      <x:c r="B27" s="1" t="s">
        <x:v>1740</x:v>
      </x:c>
    </x:row>
    <x:row r="28" spans="1:2">
      <x:c r="A28" s="1" t="s">
        <x:v>1216</x:v>
      </x:c>
      <x:c r="B28" s="1" t="s">
        <x:v>1740</x:v>
      </x:c>
    </x:row>
    <x:row r="29" spans="1:2">
      <x:c r="A29" s="1" t="s">
        <x:v>1255</x:v>
      </x:c>
      <x:c r="B29" s="1" t="s">
        <x:v>1740</x:v>
      </x:c>
    </x:row>
    <x:row r="30" spans="1:2">
      <x:c r="A30" s="1" t="s">
        <x:v>1648</x:v>
      </x:c>
      <x:c r="B30" s="1" t="s">
        <x:v>1740</x:v>
      </x:c>
    </x:row>
    <x:row r="31" spans="1:2">
      <x:c r="A31" s="1" t="s">
        <x:v>1269</x:v>
      </x:c>
      <x:c r="B31" s="1" t="s">
        <x:v>1740</x:v>
      </x:c>
    </x:row>
    <x:row r="32" spans="1:2">
      <x:c r="A32" s="1" t="s">
        <x:v>1213</x:v>
      </x:c>
      <x:c r="B32" s="1" t="s">
        <x:v>1740</x:v>
      </x:c>
    </x:row>
    <x:row r="33" spans="1:2">
      <x:c r="A33" s="1" t="s">
        <x:v>751</x:v>
      </x:c>
      <x:c r="B33" s="1" t="s">
        <x:v>1740</x:v>
      </x:c>
    </x:row>
    <x:row r="34" spans="1:2">
      <x:c r="A34" s="1" t="s">
        <x:v>1515</x:v>
      </x:c>
      <x:c r="B34" s="1" t="s">
        <x:v>1740</x:v>
      </x:c>
    </x:row>
    <x:row r="35" spans="1:2">
      <x:c r="A35" s="1" t="s">
        <x:v>1229</x:v>
      </x:c>
      <x:c r="B35" s="1" t="s">
        <x:v>1740</x:v>
      </x:c>
    </x:row>
    <x:row r="36" spans="1:2">
      <x:c r="A36" s="1" t="s">
        <x:v>1268</x:v>
      </x:c>
      <x:c r="B36" s="1" t="s">
        <x:v>3143</x:v>
      </x:c>
    </x:row>
    <x:row r="37" spans="1:2">
      <x:c r="A37" s="1" t="s">
        <x:v>808</x:v>
      </x:c>
      <x:c r="B37" s="1" t="s">
        <x:v>3143</x:v>
      </x:c>
    </x:row>
    <x:row r="38" spans="1:2">
      <x:c r="A38" s="1" t="s">
        <x:v>1426</x:v>
      </x:c>
      <x:c r="B38" s="1" t="s">
        <x:v>1312</x:v>
      </x:c>
    </x:row>
    <x:row r="39" spans="1:2">
      <x:c r="A39" s="1" t="s">
        <x:v>1436</x:v>
      </x:c>
      <x:c r="B39" s="1" t="s">
        <x:v>1989</x:v>
      </x:c>
    </x:row>
    <x:row r="40" spans="1:2">
      <x:c r="A40" s="1" t="s">
        <x:v>1203</x:v>
      </x:c>
      <x:c r="B40" s="1" t="s">
        <x:v>1989</x:v>
      </x:c>
    </x:row>
    <x:row r="41" spans="1:2">
      <x:c r="A41" s="1" t="s">
        <x:v>1489</x:v>
      </x:c>
      <x:c r="B41" s="1" t="s">
        <x:v>1989</x:v>
      </x:c>
    </x:row>
    <x:row r="42" spans="1:2">
      <x:c r="A42" s="1" t="s">
        <x:v>1651</x:v>
      </x:c>
      <x:c r="B42" s="1" t="s">
        <x:v>1989</x:v>
      </x:c>
    </x:row>
    <x:row r="43" spans="1:2">
      <x:c r="A43" s="1" t="s">
        <x:v>1681</x:v>
      </x:c>
      <x:c r="B43" s="1" t="s">
        <x:v>1989</x:v>
      </x:c>
    </x:row>
    <x:row r="44" spans="1:2">
      <x:c r="A44" s="1" t="s">
        <x:v>1660</x:v>
      </x:c>
      <x:c r="B44" s="1" t="s">
        <x:v>1989</x:v>
      </x:c>
    </x:row>
    <x:row r="45" spans="1:2">
      <x:c r="A45" s="1" t="s">
        <x:v>1623</x:v>
      </x:c>
      <x:c r="B45" s="1" t="s">
        <x:v>1989</x:v>
      </x:c>
    </x:row>
    <x:row r="46" spans="1:2">
      <x:c r="A46" s="1" t="s">
        <x:v>1234</x:v>
      </x:c>
      <x:c r="B46" s="1" t="s">
        <x:v>1989</x:v>
      </x:c>
    </x:row>
    <x:row r="47" spans="1:2">
      <x:c r="A47" s="1" t="s">
        <x:v>1215</x:v>
      </x:c>
      <x:c r="B47" s="1" t="s">
        <x:v>1913</x:v>
      </x:c>
    </x:row>
    <x:row r="48" spans="1:2">
      <x:c r="A48" s="1" t="s">
        <x:v>1212</x:v>
      </x:c>
      <x:c r="B48" s="1" t="s">
        <x:v>1913</x:v>
      </x:c>
    </x:row>
    <x:row r="49" spans="1:2">
      <x:c r="A49" s="1" t="s">
        <x:v>1239</x:v>
      </x:c>
      <x:c r="B49" s="1" t="s">
        <x:v>1913</x:v>
      </x:c>
    </x:row>
    <x:row r="50" spans="1:2">
      <x:c r="A50" s="1" t="s">
        <x:v>2025</x:v>
      </x:c>
      <x:c r="B50" s="1" t="s">
        <x:v>1913</x:v>
      </x:c>
    </x:row>
    <x:row r="51" spans="1:2">
      <x:c r="A51" s="1" t="s">
        <x:v>2078</x:v>
      </x:c>
      <x:c r="B51" s="1" t="s">
        <x:v>1913</x:v>
      </x:c>
    </x:row>
    <x:row r="52" spans="1:2">
      <x:c r="A52" s="1" t="s">
        <x:v>1512</x:v>
      </x:c>
      <x:c r="B52" s="1" t="s">
        <x:v>1950</x:v>
      </x:c>
    </x:row>
    <x:row r="53" spans="1:2">
      <x:c r="A53" s="1" t="s">
        <x:v>1968</x:v>
      </x:c>
      <x:c r="B53" s="1" t="s">
        <x:v>1950</x:v>
      </x:c>
    </x:row>
    <x:row r="54" spans="1:2">
      <x:c r="A54" s="1" t="s">
        <x:v>1480</x:v>
      </x:c>
      <x:c r="B54" s="1" t="s">
        <x:v>1950</x:v>
      </x:c>
    </x:row>
    <x:row r="55" spans="1:2">
      <x:c r="A55" s="1" t="s">
        <x:v>1502</x:v>
      </x:c>
      <x:c r="B55" s="1" t="s">
        <x:v>1950</x:v>
      </x:c>
    </x:row>
    <x:row r="56" spans="1:2">
      <x:c r="A56" s="1" t="s">
        <x:v>1463</x:v>
      </x:c>
      <x:c r="B56" s="1" t="s">
        <x:v>1950</x:v>
      </x:c>
    </x:row>
    <x:row r="57" spans="1:2">
      <x:c r="A57" s="1" t="s">
        <x:v>1493</x:v>
      </x:c>
      <x:c r="B57" s="1" t="s">
        <x:v>1950</x:v>
      </x:c>
    </x:row>
    <x:row r="58" spans="1:2">
      <x:c r="A58" s="1" t="s">
        <x:v>1392</x:v>
      </x:c>
      <x:c r="B58" s="1" t="s">
        <x:v>1950</x:v>
      </x:c>
    </x:row>
    <x:row r="59" spans="1:2">
      <x:c r="A59" s="1" t="s">
        <x:v>1226</x:v>
      </x:c>
      <x:c r="B59" s="1" t="s">
        <x:v>1424</x:v>
      </x:c>
    </x:row>
    <x:row r="60" spans="1:2">
      <x:c r="A60" s="1" t="s">
        <x:v>1994</x:v>
      </x:c>
      <x:c r="B60" s="1" t="s">
        <x:v>1424</x:v>
      </x:c>
    </x:row>
    <x:row r="61" spans="1:2">
      <x:c r="A61" s="1" t="s">
        <x:v>1202</x:v>
      </x:c>
      <x:c r="B61" s="1" t="s">
        <x:v>1420</x:v>
      </x:c>
    </x:row>
    <x:row r="62" spans="1:2">
      <x:c r="A62" s="1" t="s">
        <x:v>1488</x:v>
      </x:c>
      <x:c r="B62" s="1" t="s">
        <x:v>1420</x:v>
      </x:c>
    </x:row>
    <x:row r="63" spans="1:2">
      <x:c r="A63" s="1" t="s">
        <x:v>1664</x:v>
      </x:c>
      <x:c r="B63" s="1" t="s">
        <x:v>1420</x:v>
      </x:c>
    </x:row>
    <x:row r="64" spans="1:2">
      <x:c r="A64" s="1" t="s">
        <x:v>1652</x:v>
      </x:c>
      <x:c r="B64" s="1" t="s">
        <x:v>1420</x:v>
      </x:c>
    </x:row>
    <x:row r="65" spans="1:2">
      <x:c r="A65" s="1" t="s">
        <x:v>2015</x:v>
      </x:c>
      <x:c r="B65" s="1" t="s">
        <x:v>1403</x:v>
      </x:c>
    </x:row>
    <x:row r="66" spans="1:2">
      <x:c r="A66" s="1" t="s">
        <x:v>2007</x:v>
      </x:c>
      <x:c r="B66" s="1" t="s">
        <x:v>1403</x:v>
      </x:c>
    </x:row>
    <x:row r="67" spans="1:2">
      <x:c r="A67" s="1" t="s">
        <x:v>2104</x:v>
      </x:c>
      <x:c r="B67" s="1" t="s">
        <x:v>1403</x:v>
      </x:c>
    </x:row>
    <x:row r="68" spans="1:2">
      <x:c r="A68" s="1" t="s">
        <x:v>1671</x:v>
      </x:c>
      <x:c r="B68" s="1" t="s">
        <x:v>1403</x:v>
      </x:c>
    </x:row>
    <x:row r="69" spans="1:2">
      <x:c r="A69" s="1" t="s">
        <x:v>1620</x:v>
      </x:c>
      <x:c r="B69" s="1" t="s">
        <x:v>1403</x:v>
      </x:c>
    </x:row>
    <x:row r="70" spans="1:2">
      <x:c r="A70" s="1" t="s">
        <x:v>2032</x:v>
      </x:c>
      <x:c r="B70" s="1" t="s">
        <x:v>1403</x:v>
      </x:c>
    </x:row>
    <x:row r="71" spans="1:2">
      <x:c r="A71" s="1" t="s">
        <x:v>735</x:v>
      </x:c>
      <x:c r="B71" s="1" t="s">
        <x:v>1944</x:v>
      </x:c>
    </x:row>
    <x:row r="72" spans="1:2">
      <x:c r="A72" s="1" t="s">
        <x:v>1692</x:v>
      </x:c>
      <x:c r="B72" s="1" t="s">
        <x:v>1477</x:v>
      </x:c>
    </x:row>
    <x:row r="73" spans="1:2">
      <x:c r="A73" s="1" t="s">
        <x:v>1641</x:v>
      </x:c>
      <x:c r="B73" s="1" t="s">
        <x:v>1477</x:v>
      </x:c>
    </x:row>
    <x:row r="74" spans="1:2">
      <x:c r="A74" s="91" t="s">
        <x:v>2077</x:v>
      </x:c>
      <x:c r="B74" s="1" t="s">
        <x:v>1477</x:v>
      </x:c>
    </x:row>
    <x:row r="75" spans="1:2">
      <x:c r="A75" s="1" t="s">
        <x:v>716</x:v>
      </x:c>
      <x:c r="B75" s="1" t="s">
        <x:v>1991</x:v>
      </x:c>
    </x:row>
    <x:row r="76" spans="1:2">
      <x:c r="A76" s="1" t="s">
        <x:v>2051</x:v>
      </x:c>
      <x:c r="B76" s="1" t="s">
        <x:v>1491</x:v>
      </x:c>
    </x:row>
    <x:row r="77" spans="1:2">
      <x:c r="A77" s="1" t="s">
        <x:v>1264</x:v>
      </x:c>
      <x:c r="B77" s="1" t="s">
        <x:v>1917</x:v>
      </x:c>
    </x:row>
    <x:row r="78" spans="1:2">
      <x:c r="A78" s="1" t="s">
        <x:v>1518</x:v>
      </x:c>
      <x:c r="B78" s="1" t="s">
        <x:v>1917</x:v>
      </x:c>
    </x:row>
    <x:row r="79" spans="1:2">
      <x:c r="A79" s="1" t="s">
        <x:v>1209</x:v>
      </x:c>
      <x:c r="B79" s="1" t="s">
        <x:v>1917</x:v>
      </x:c>
    </x:row>
    <x:row r="80" spans="1:2">
      <x:c r="A80" s="1" t="s">
        <x:v>1207</x:v>
      </x:c>
      <x:c r="B80" s="1" t="s">
        <x:v>1917</x:v>
      </x:c>
    </x:row>
    <x:row r="81" spans="1:2">
      <x:c r="A81" s="1" t="s">
        <x:v>1634</x:v>
      </x:c>
      <x:c r="B81" s="1" t="s">
        <x:v>1917</x:v>
      </x:c>
    </x:row>
    <x:row r="82" spans="1:2">
      <x:c r="A82" s="1" t="s">
        <x:v>1700</x:v>
      </x:c>
      <x:c r="B82" s="1" t="s">
        <x:v>1917</x:v>
      </x:c>
    </x:row>
    <x:row r="83" spans="1:2">
      <x:c r="A83" s="1" t="s">
        <x:v>1670</x:v>
      </x:c>
      <x:c r="B83" s="1" t="s">
        <x:v>1917</x:v>
      </x:c>
    </x:row>
    <x:row r="84" spans="1:2">
      <x:c r="A84" s="1" t="s">
        <x:v>1676</x:v>
      </x:c>
      <x:c r="B84" s="1" t="s">
        <x:v>1917</x:v>
      </x:c>
    </x:row>
    <x:row r="85" spans="1:2">
      <x:c r="A85" s="1" t="s">
        <x:v>1636</x:v>
      </x:c>
      <x:c r="B85" s="1" t="s">
        <x:v>1917</x:v>
      </x:c>
    </x:row>
    <x:row r="86" spans="1:2">
      <x:c r="A86" s="1" t="s">
        <x:v>1627</x:v>
      </x:c>
      <x:c r="B86" s="1" t="s">
        <x:v>1917</x:v>
      </x:c>
    </x:row>
    <x:row r="87" spans="1:2">
      <x:c r="A87" s="1" t="s">
        <x:v>1668</x:v>
      </x:c>
      <x:c r="B87" s="1" t="s">
        <x:v>1917</x:v>
      </x:c>
    </x:row>
    <x:row r="88" spans="1:2">
      <x:c r="A88" s="1" t="s">
        <x:v>1657</x:v>
      </x:c>
      <x:c r="B88" s="1" t="s">
        <x:v>1917</x:v>
      </x:c>
    </x:row>
    <x:row r="89" spans="1:2">
      <x:c r="A89" s="1" t="s">
        <x:v>1939</x:v>
      </x:c>
      <x:c r="B89" s="1" t="s">
        <x:v>1939</x:v>
      </x:c>
    </x:row>
    <x:row r="90" spans="1:2">
      <x:c r="A90" s="1" t="s">
        <x:v>1475</x:v>
      </x:c>
      <x:c r="B90" s="1" t="s">
        <x:v>1936</x:v>
      </x:c>
    </x:row>
    <x:row r="91" spans="1:2">
      <x:c r="A91" s="1" t="s">
        <x:v>1573</x:v>
      </x:c>
      <x:c r="B91" s="1" t="s">
        <x:v>1961</x:v>
      </x:c>
    </x:row>
    <x:row r="92" spans="1:2">
      <x:c r="A92" s="1" t="s">
        <x:v>1484</x:v>
      </x:c>
      <x:c r="B92" s="1" t="s">
        <x:v>1961</x:v>
      </x:c>
    </x:row>
    <x:row r="93" spans="1:2">
      <x:c r="A93" s="1" t="s">
        <x:v>1569</x:v>
      </x:c>
      <x:c r="B93" s="1" t="s">
        <x:v>1961</x:v>
      </x:c>
    </x:row>
    <x:row r="94" spans="1:2">
      <x:c r="A94" s="1" t="s">
        <x:v>1569</x:v>
      </x:c>
      <x:c r="B94" s="1" t="s">
        <x:v>1961</x:v>
      </x:c>
    </x:row>
    <x:row r="95" spans="1:2">
      <x:c r="A95" s="1" t="s">
        <x:v>1566</x:v>
      </x:c>
      <x:c r="B95" s="1" t="s">
        <x:v>1961</x:v>
      </x:c>
    </x:row>
    <x:row r="96" spans="1:2">
      <x:c r="A96" s="1" t="s">
        <x:v>1474</x:v>
      </x:c>
      <x:c r="B96" s="1" t="s">
        <x:v>1474</x:v>
      </x:c>
    </x:row>
    <x:row r="97" spans="1:2">
      <x:c r="A97" s="1" t="s">
        <x:v>1210</x:v>
      </x:c>
      <x:c r="B97" s="1" t="s">
        <x:v>1927</x:v>
      </x:c>
    </x:row>
    <x:row r="98" spans="1:2">
      <x:c r="A98" s="1" t="s">
        <x:v>1219</x:v>
      </x:c>
      <x:c r="B98" s="1" t="s">
        <x:v>1927</x:v>
      </x:c>
    </x:row>
    <x:row r="99" spans="1:2">
      <x:c r="A99" s="1" t="s">
        <x:v>772</x:v>
      </x:c>
      <x:c r="B99" s="1" t="s">
        <x:v>1985</x:v>
      </x:c>
    </x:row>
    <x:row r="100" spans="1:2">
      <x:c r="A100" s="1" t="s">
        <x:v>689</x:v>
      </x:c>
      <x:c r="B100" s="1" t="s">
        <x:v>1985</x:v>
      </x:c>
    </x:row>
    <x:row r="101" spans="1:2">
      <x:c r="A101" s="1" t="s">
        <x:v>669</x:v>
      </x:c>
      <x:c r="B101" s="1" t="s">
        <x:v>1985</x:v>
      </x:c>
    </x:row>
    <x:row r="102" spans="1:2">
      <x:c r="A102" s="1" t="s">
        <x:v>663</x:v>
      </x:c>
      <x:c r="B102" s="1" t="s">
        <x:v>1985</x:v>
      </x:c>
    </x:row>
    <x:row r="103" spans="1:2">
      <x:c r="A103" s="1" t="s">
        <x:v>694</x:v>
      </x:c>
      <x:c r="B103" s="1" t="s">
        <x:v>1985</x:v>
      </x:c>
    </x:row>
    <x:row r="104" spans="1:2">
      <x:c r="A104" s="1" t="s">
        <x:v>732</x:v>
      </x:c>
      <x:c r="B104" s="1" t="s">
        <x:v>1985</x:v>
      </x:c>
    </x:row>
    <x:row r="105" spans="1:2">
      <x:c r="A105" s="1" t="s">
        <x:v>744</x:v>
      </x:c>
      <x:c r="B105" s="1" t="s">
        <x:v>1985</x:v>
      </x:c>
    </x:row>
    <x:row r="106" spans="1:2">
      <x:c r="A106" s="1" t="s">
        <x:v>743</x:v>
      </x:c>
      <x:c r="B106" s="1" t="s">
        <x:v>1985</x:v>
      </x:c>
    </x:row>
    <x:row r="107" spans="1:2">
      <x:c r="A107" s="1" t="s">
        <x:v>759</x:v>
      </x:c>
      <x:c r="B107" s="1" t="s">
        <x:v>1985</x:v>
      </x:c>
    </x:row>
    <x:row r="108" spans="1:2">
      <x:c r="A108" s="1" t="s">
        <x:v>1206</x:v>
      </x:c>
      <x:c r="B108" s="1" t="s">
        <x:v>2065</x:v>
      </x:c>
    </x:row>
    <x:row r="109" spans="1:2">
      <x:c r="A109" s="1" t="s">
        <x:v>804</x:v>
      </x:c>
      <x:c r="B109" s="1" t="s">
        <x:v>2065</x:v>
      </x:c>
    </x:row>
    <x:row r="110" spans="1:2">
      <x:c r="A110" s="1" t="s">
        <x:v>1683</x:v>
      </x:c>
      <x:c r="B110" s="1" t="s">
        <x:v>2065</x:v>
      </x:c>
    </x:row>
    <x:row r="111" spans="1:2">
      <x:c r="A111" s="1" t="s">
        <x:v>1617</x:v>
      </x:c>
      <x:c r="B111" s="1" t="s">
        <x:v>2065</x:v>
      </x:c>
    </x:row>
    <x:row r="112" spans="1:2">
      <x:c r="A112" s="1" t="s">
        <x:v>1645</x:v>
      </x:c>
      <x:c r="B112" s="1" t="s">
        <x:v>2065</x:v>
      </x:c>
    </x:row>
    <x:row r="113" spans="1:2">
      <x:c r="A113" s="1" t="s">
        <x:v>1562</x:v>
      </x:c>
      <x:c r="B113" s="1" t="s">
        <x:v>2065</x:v>
      </x:c>
    </x:row>
    <x:row r="114" spans="1:2">
      <x:c r="A114" s="1" t="s">
        <x:v>718</x:v>
      </x:c>
      <x:c r="B114" s="1" t="s">
        <x:v>1986</x:v>
      </x:c>
    </x:row>
    <x:row r="115" spans="1:2">
      <x:c r="A115" s="1" t="s">
        <x:v>1201</x:v>
      </x:c>
      <x:c r="B115" s="1" t="s">
        <x:v>1925</x:v>
      </x:c>
    </x:row>
    <x:row r="116" spans="1:2">
      <x:c r="A116" s="1" t="s">
        <x:v>1642</x:v>
      </x:c>
      <x:c r="B116" s="1" t="s">
        <x:v>1925</x:v>
      </x:c>
    </x:row>
    <x:row r="117" spans="1:2">
      <x:c r="A117" s="1" t="s">
        <x:v>1231</x:v>
      </x:c>
      <x:c r="B117" s="1" t="s">
        <x:v>1942</x:v>
      </x:c>
    </x:row>
    <x:row r="118" spans="1:2">
      <x:c r="A118" s="1" t="s">
        <x:v>1496</x:v>
      </x:c>
      <x:c r="B118" s="1" t="s">
        <x:v>1942</x:v>
      </x:c>
    </x:row>
    <x:row r="119" spans="1:2">
      <x:c r="A119" s="1" t="s">
        <x:v>1236</x:v>
      </x:c>
      <x:c r="B119" s="1" t="s">
        <x:v>1942</x:v>
      </x:c>
    </x:row>
    <x:row r="120" spans="1:2">
      <x:c r="A120" s="1" t="s">
        <x:v>1546</x:v>
      </x:c>
      <x:c r="B120" s="1" t="s">
        <x:v>2020</x:v>
      </x:c>
    </x:row>
    <x:row r="121" spans="1:2">
      <x:c r="A121" s="1" t="s">
        <x:v>1214</x:v>
      </x:c>
      <x:c r="B121" s="1" t="s">
        <x:v>2020</x:v>
      </x:c>
    </x:row>
    <x:row r="122" spans="1:2">
      <x:c r="A122" s="1" t="s">
        <x:v>1205</x:v>
      </x:c>
      <x:c r="B122" s="1" t="s">
        <x:v>2020</x:v>
      </x:c>
    </x:row>
    <x:row r="123" spans="1:2">
      <x:c r="A123" s="1" t="s">
        <x:v>1233</x:v>
      </x:c>
      <x:c r="B123" s="1" t="s">
        <x:v>2020</x:v>
      </x:c>
    </x:row>
    <x:row r="124" spans="1:2">
      <x:c r="A124" s="1" t="s">
        <x:v>748</x:v>
      </x:c>
      <x:c r="B124" s="1" t="s">
        <x:v>2020</x:v>
      </x:c>
    </x:row>
    <x:row r="125" spans="1:2">
      <x:c r="A125" s="1" t="s">
        <x:v>758</x:v>
      </x:c>
      <x:c r="B125" s="1" t="s">
        <x:v>2020</x:v>
      </x:c>
    </x:row>
    <x:row r="126" spans="1:2">
      <x:c r="A126" s="1" t="s">
        <x:v>754</x:v>
      </x:c>
      <x:c r="B126" s="1" t="s">
        <x:v>2020</x:v>
      </x:c>
    </x:row>
    <x:row r="127" spans="1:2">
      <x:c r="A127" s="1" t="s">
        <x:v>729</x:v>
      </x:c>
      <x:c r="B127" s="1" t="s">
        <x:v>2020</x:v>
      </x:c>
    </x:row>
    <x:row r="128" spans="1:2">
      <x:c r="A128" s="1" t="s">
        <x:v>747</x:v>
      </x:c>
      <x:c r="B128" s="1" t="s">
        <x:v>2020</x:v>
      </x:c>
    </x:row>
    <x:row r="129" spans="1:2">
      <x:c r="A129" s="209" t="s">
        <x:v>1242</x:v>
      </x:c>
      <x:c r="B129" s="1" t="s">
        <x:v>2020</x:v>
      </x:c>
    </x:row>
    <x:row r="130" spans="1:2">
      <x:c r="A130" s="1" t="s">
        <x:v>1265</x:v>
      </x:c>
      <x:c r="B130" s="1" t="s">
        <x:v>1941</x:v>
      </x:c>
    </x:row>
    <x:row r="131" spans="1:2">
      <x:c r="A131" s="1" t="s">
        <x:v>1220</x:v>
      </x:c>
      <x:c r="B131" s="1" t="s">
        <x:v>1941</x:v>
      </x:c>
    </x:row>
    <x:row r="132" spans="1:2">
      <x:c r="A132" s="1" t="s">
        <x:v>1574</x:v>
      </x:c>
      <x:c r="B132" s="1" t="s">
        <x:v>2053</x:v>
      </x:c>
    </x:row>
    <x:row r="133" spans="1:2">
      <x:c r="A133" s="1" t="s">
        <x:v>1221</x:v>
      </x:c>
      <x:c r="B133" s="1" t="s">
        <x:v>2053</x:v>
      </x:c>
    </x:row>
    <x:row r="134" spans="1:2">
      <x:c r="A134" s="1" t="s">
        <x:v>679</x:v>
      </x:c>
      <x:c r="B134" s="1" t="s">
        <x:v>1908</x:v>
      </x:c>
    </x:row>
  </x:sheetData>
  <x:autoFilter ref="A1:B133">
    <x:sortState columnSort="0" caseSensitive="0" ref="A2:B135">
      <x:sortCondition descending="0" sortBy="value" ref="B1:B134"/>
    </x:sortState>
  </x:autoFilter>
  <x:sortState columnSort="0" caseSensitive="0" ref="A2:B91">
    <x:sortCondition descending="0" sortBy="value" ref="A2:A91"/>
  </x:sortState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2:E28"/>
  <x:sheetViews>
    <x:sheetView topLeftCell="A1" zoomScaleNormal="100" zoomScaleSheetLayoutView="100" workbookViewId="0">
      <x:selection activeCell="D25" activeCellId="0" sqref="D25:D25"/>
    </x:sheetView>
  </x:sheetViews>
  <x:sheetFormatPr defaultColWidth="8.9140625" defaultRowHeight="16.5" customHeight="1"/>
  <x:cols>
    <x:col min="1" max="1" width="29.5" style="11" customWidth="1"/>
    <x:col min="2" max="2" width="35.9140625" style="11" bestFit="1" customWidth="1"/>
    <x:col min="3" max="3" width="22.6640625" style="11" bestFit="1" customWidth="1"/>
    <x:col min="4" max="4" width="12.4140625" style="11" bestFit="1" customWidth="1"/>
    <x:col min="5" max="5" width="35.33203125" style="11" bestFit="1" customWidth="1"/>
    <x:col min="6" max="16384" width="8.9140625" style="11"/>
  </x:cols>
  <x:sheetData>
    <x:row r="2" spans="2:5" customHeight="1">
      <x:c r="B2" s="1" t="s">
        <x:v>1456</x:v>
      </x:c>
      <x:c r="C2" s="11" t="s">
        <x:v>1470</x:v>
      </x:c>
      <x:c r="D2" s="1" t="s">
        <x:v>1391</x:v>
      </x:c>
      <x:c r="E2" s="1"/>
    </x:row>
    <x:row r="3" spans="1:4" customHeight="1">
      <x:c r="A3" s="11" t="s">
        <x:v>3277</x:v>
      </x:c>
      <x:c r="B3" s="217" t="s">
        <x:v>3174</x:v>
      </x:c>
      <x:c r="C3" s="11" t="s">
        <x:v>667</x:v>
      </x:c>
      <x:c r="D3" s="11" t="s">
        <x:v>651</x:v>
      </x:c>
    </x:row>
    <x:row r="4" spans="1:4" customHeight="1">
      <x:c r="A4" s="11" t="s">
        <x:v>2240</x:v>
      </x:c>
      <x:c r="B4" s="217" t="s">
        <x:v>3089</x:v>
      </x:c>
      <x:c r="C4" s="11" t="s">
        <x:v>1963</x:v>
      </x:c>
      <x:c r="D4" s="11" t="s">
        <x:v>2283</x:v>
      </x:c>
    </x:row>
    <x:row r="5" spans="1:4" customHeight="1">
      <x:c r="A5" s="11" t="s">
        <x:v>2212</x:v>
      </x:c>
      <x:c r="B5" s="11" t="s">
        <x:v>912</x:v>
      </x:c>
      <x:c r="C5" s="11" t="s">
        <x:v>649</x:v>
      </x:c>
      <x:c r="D5" s="11" t="s">
        <x:v>2250</x:v>
      </x:c>
    </x:row>
    <x:row r="6" spans="1:5" customHeight="1">
      <x:c r="A6" s="11" t="s">
        <x:v>634</x:v>
      </x:c>
      <x:c r="B6" s="11" t="s">
        <x:v>445</x:v>
      </x:c>
      <x:c r="C6" s="11" t="s">
        <x:v>822</x:v>
      </x:c>
      <x:c r="D6" s="11" t="s">
        <x:v>682</x:v>
      </x:c>
      <x:c r="E6" s="11" t="s">
        <x:v>2265</x:v>
      </x:c>
    </x:row>
    <x:row r="7" spans="1:4" customHeight="1">
      <x:c r="A7" s="325" t="s">
        <x:v>3248</x:v>
      </x:c>
      <x:c r="B7" s="11" t="s">
        <x:v>894</x:v>
      </x:c>
      <x:c r="C7" s="11" t="s">
        <x:v>647</x:v>
      </x:c>
      <x:c r="D7" s="11" t="s">
        <x:v>651</x:v>
      </x:c>
    </x:row>
    <x:row r="8" spans="1:4" customHeight="1">
      <x:c r="A8" s="325"/>
      <x:c r="C8" s="11" t="s">
        <x:v>1530</x:v>
      </x:c>
      <x:c r="D8" s="11" t="s">
        <x:v>651</x:v>
      </x:c>
    </x:row>
    <x:row r="9" spans="1:4" customHeight="1">
      <x:c r="A9" s="11" t="s">
        <x:v>661</x:v>
      </x:c>
      <x:c r="B9" s="11" t="s">
        <x:v>3104</x:v>
      </x:c>
      <x:c r="C9" s="11" t="s">
        <x:v>685</x:v>
      </x:c>
      <x:c r="D9" s="11" t="s">
        <x:v>671</x:v>
      </x:c>
    </x:row>
    <x:row r="10" spans="1:4" customHeight="1">
      <x:c r="A10" s="11" t="s">
        <x:v>3175</x:v>
      </x:c>
      <x:c r="B10" s="11" t="s">
        <x:v>3168</x:v>
      </x:c>
      <x:c r="C10" s="11" t="s">
        <x:v>2194</x:v>
      </x:c>
      <x:c r="D10" s="11" t="s">
        <x:v>652</x:v>
      </x:c>
    </x:row>
    <x:row r="11" spans="1:4" customHeight="1">
      <x:c r="A11" s="11" t="s">
        <x:v>895</x:v>
      </x:c>
      <x:c r="B11" s="11" t="s">
        <x:v>887</x:v>
      </x:c>
      <x:c r="C11" s="11" t="s">
        <x:v>2175</x:v>
      </x:c>
      <x:c r="D11" s="11" t="s">
        <x:v>652</x:v>
      </x:c>
    </x:row>
    <x:row r="12" spans="1:4" customHeight="1">
      <x:c r="A12" s="11" t="s">
        <x:v>3280</x:v>
      </x:c>
      <x:c r="C12" s="11" t="s">
        <x:v>3100</x:v>
      </x:c>
      <x:c r="D12" s="11" t="s">
        <x:v>675</x:v>
      </x:c>
    </x:row>
    <x:row r="13" spans="1:4" customHeight="1">
      <x:c r="A13" s="284" t="s">
        <x:v>853</x:v>
      </x:c>
      <x:c r="B13" s="284" t="s">
        <x:v>3167</x:v>
      </x:c>
      <x:c r="C13" s="284" t="s">
        <x:v>3350</x:v>
      </x:c>
      <x:c r="D13" s="284" t="s">
        <x:v>651</x:v>
      </x:c>
    </x:row>
    <x:row r="14" spans="1:4" customHeight="1">
      <x:c r="A14" s="11" t="s">
        <x:v>3266</x:v>
      </x:c>
      <x:c r="C14" s="11" t="s">
        <x:v>899</x:v>
      </x:c>
      <x:c r="D14" s="11" t="s">
        <x:v>652</x:v>
      </x:c>
    </x:row>
    <x:row r="15" spans="1:4" customHeight="1">
      <x:c r="A15" s="11" t="s">
        <x:v>665</x:v>
      </x:c>
      <x:c r="C15" s="11" t="s">
        <x:v>3213</x:v>
      </x:c>
      <x:c r="D15" s="11" t="s">
        <x:v>656</x:v>
      </x:c>
    </x:row>
    <x:row r="16" spans="1:5" customHeight="1">
      <x:c r="A16" s="11" t="s">
        <x:v>1592</x:v>
      </x:c>
      <x:c r="C16" s="11" t="s">
        <x:v>3213</x:v>
      </x:c>
      <x:c r="D16" s="11" t="s">
        <x:v>657</x:v>
      </x:c>
      <x:c r="E16" s="11" t="s">
        <x:v>3095</x:v>
      </x:c>
    </x:row>
    <x:row r="17" spans="1:5" customHeight="1">
      <x:c r="A17" s="11" t="s">
        <x:v>668</x:v>
      </x:c>
      <x:c r="C17" s="11" t="s">
        <x:v>677</x:v>
      </x:c>
      <x:c r="D17" s="11" t="s">
        <x:v>1958</x:v>
      </x:c>
      <x:c r="E17" s="11" t="s">
        <x:v>3118</x:v>
      </x:c>
    </x:row>
    <x:row r="18" spans="1:4" customHeight="1">
      <x:c r="A18" s="11" t="s">
        <x:v>655</x:v>
      </x:c>
      <x:c r="C18" s="11" t="s">
        <x:v>914</x:v>
      </x:c>
      <x:c r="D18" s="11" t="s">
        <x:v>652</x:v>
      </x:c>
    </x:row>
    <x:row r="19" spans="1:4" customHeight="1">
      <x:c r="A19" s="11" t="s">
        <x:v>2182</x:v>
      </x:c>
      <x:c r="B19" s="217" t="s">
        <x:v>3090</x:v>
      </x:c>
      <x:c r="C19" s="11" t="s">
        <x:v>2096</x:v>
      </x:c>
      <x:c r="D19" s="11" t="s">
        <x:v>651</x:v>
      </x:c>
    </x:row>
    <x:row r="20" spans="1:4" customHeight="1">
      <x:c r="A20" s="11" t="s">
        <x:v>3313</x:v>
      </x:c>
      <x:c r="B20" s="217" t="s">
        <x:v>3131</x:v>
      </x:c>
      <x:c r="C20" s="11" t="s">
        <x:v>2096</x:v>
      </x:c>
      <x:c r="D20" s="11" t="s">
        <x:v>651</x:v>
      </x:c>
    </x:row>
    <x:row r="21" spans="2:4" customHeight="1">
      <x:c r="B21" s="11" t="s">
        <x:v>1610</x:v>
      </x:c>
      <x:c r="C21" s="11" t="s">
        <x:v>2096</x:v>
      </x:c>
      <x:c r="D21" s="11" t="s">
        <x:v>704</x:v>
      </x:c>
    </x:row>
    <x:row r="22" spans="1:4" customHeight="1">
      <x:c r="A22" s="11" t="s">
        <x:v>3251</x:v>
      </x:c>
      <x:c r="B22" s="217" t="s">
        <x:v>3164</x:v>
      </x:c>
      <x:c r="C22" s="11" t="s">
        <x:v>695</x:v>
      </x:c>
      <x:c r="D22" s="11" t="s">
        <x:v>651</x:v>
      </x:c>
    </x:row>
    <x:row r="23" spans="1:5" customHeight="1">
      <x:c r="A23" s="11" t="s">
        <x:v>3185</x:v>
      </x:c>
      <x:c r="B23" s="217" t="s">
        <x:v>3352</x:v>
      </x:c>
      <x:c r="E23" s="11" t="s">
        <x:v>447</x:v>
      </x:c>
    </x:row>
    <x:row r="24" spans="1:2" customHeight="1">
      <x:c r="A24" s="11" t="s">
        <x:v>3218</x:v>
      </x:c>
      <x:c r="B24" s="217" t="s">
        <x:v>926</x:v>
      </x:c>
    </x:row>
    <x:row r="25" spans="2:2" customHeight="1">
      <x:c r="B25" s="217"/>
    </x:row>
    <x:row r="26" spans="1:5" customHeight="1">
      <x:c r="A26" s="285" t="s">
        <x:v>842</x:v>
      </x:c>
      <x:c r="B26" s="286"/>
      <x:c r="C26" s="286"/>
      <x:c r="D26" s="286"/>
      <x:c r="E26" s="287" t="s">
        <x:v>702</x:v>
      </x:c>
    </x:row>
    <x:row r="27" spans="1:5" customHeight="1">
      <x:c r="A27" s="136" t="s">
        <x:v>2088</x:v>
      </x:c>
      <x:c r="B27" s="11" t="s">
        <x:v>905</x:v>
      </x:c>
      <x:c r="E27" s="139" t="s">
        <x:v>3354</x:v>
      </x:c>
    </x:row>
    <x:row r="28" spans="1:5" customHeight="1">
      <x:c r="A28" s="74"/>
      <x:c r="B28" s="75"/>
      <x:c r="C28" s="75"/>
      <x:c r="D28" s="75"/>
      <x:c r="E28" s="76" t="s">
        <x:v>3171</x:v>
      </x:c>
    </x:row>
  </x:sheetData>
  <x:mergeCells count="1">
    <x:mergeCell ref="A7:A8"/>
  </x:mergeCells>
  <x:hyperlinks>
    <x:hyperlink ref="B4:B4" r:id="rId1"/>
    <x:hyperlink ref="B3:B3" r:id="rId2"/>
    <x:hyperlink ref="B20:B20" r:id="rId3"/>
    <x:hyperlink ref="B22:B22" r:id="rId4"/>
    <x:hyperlink ref="B19:B19" r:id="rId5"/>
    <x:hyperlink ref="B23:B23" r:id="rId6"/>
    <x:hyperlink ref="B24:B24" r:id="rId7"/>
  </x:hyperlink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 filterMode="1"/>
  <x:dimension ref="A1:J63"/>
  <x:sheetViews>
    <x:sheetView topLeftCell="A1" zoomScaleNormal="100" zoomScaleSheetLayoutView="100" workbookViewId="0">
      <x:selection activeCell="D9" activeCellId="0" sqref="D9:D9"/>
    </x:sheetView>
  </x:sheetViews>
  <x:sheetFormatPr defaultColWidth="8.9140625" defaultRowHeight="13.5" customHeight="1"/>
  <x:cols>
    <x:col min="1" max="1" width="10.4140625" style="1" customWidth="1"/>
    <x:col min="2" max="2" width="7.4140625" style="1" customWidth="1"/>
    <x:col min="3" max="3" width="13.6640625" style="1" bestFit="1" customWidth="1"/>
    <x:col min="4" max="4" width="8.9140625" style="1"/>
    <x:col min="5" max="5" width="27.83203125" style="1" bestFit="1" customWidth="1"/>
    <x:col min="6" max="7" width="14.33203125" style="1" customWidth="1"/>
    <x:col min="8" max="8" width="32.6640625" style="1" customWidth="1"/>
    <x:col min="9" max="9" width="9.4140625" style="1" bestFit="1" customWidth="1"/>
    <x:col min="10" max="10" width="25.83203125" style="1" bestFit="1" customWidth="1"/>
    <x:col min="11" max="11" width="16.9140625" style="1" bestFit="1" customWidth="1"/>
    <x:col min="12" max="12" width="9.08203125" style="1" bestFit="1" customWidth="1"/>
    <x:col min="13" max="13" width="14.58203125" style="1" bestFit="1" customWidth="1"/>
    <x:col min="14" max="16384" width="8.9140625" style="1"/>
  </x:cols>
  <x:sheetData>
    <x:row r="1" spans="2:9" customHeight="1">
      <x:c r="B1" s="326" t="s">
        <x:v>1290</x:v>
      </x:c>
      <x:c r="C1" s="326" t="s">
        <x:v>1409</x:v>
      </x:c>
      <x:c r="D1" s="326" t="s">
        <x:v>1442</x:v>
      </x:c>
      <x:c r="E1" s="326" t="s">
        <x:v>1576</x:v>
      </x:c>
      <x:c r="F1" s="326" t="s">
        <x:v>1871</x:v>
      </x:c>
      <x:c r="G1" s="326"/>
      <x:c r="H1" s="326" t="s">
        <x:v>1987</x:v>
      </x:c>
      <x:c r="I1" s="326" t="s">
        <x:v>2061</x:v>
      </x:c>
    </x:row>
    <x:row r="2" spans="1:9" customHeight="1">
      <x:c r="A2" s="178" t="s">
        <x:v>1461</x:v>
      </x:c>
      <x:c r="B2" s="326"/>
      <x:c r="C2" s="326"/>
      <x:c r="D2" s="326"/>
      <x:c r="E2" s="326"/>
      <x:c r="F2" s="2" t="s">
        <x:v>1470</x:v>
      </x:c>
      <x:c r="G2" s="2" t="s">
        <x:v>1391</x:v>
      </x:c>
      <x:c r="H2" s="326"/>
      <x:c r="I2" s="326"/>
    </x:row>
    <x:row r="3" spans="1:5" customHeight="1">
      <x:c r="A3" s="30" t="s">
        <x:v>645</x:v>
      </x:c>
      <x:c r="B3" s="110">
        <x:v>18</x:v>
      </x:c>
      <x:c r="C3" s="141"/>
      <x:c r="D3" s="110"/>
      <x:c r="E3" s="142" t="s">
        <x:v>1920</x:v>
      </x:c>
    </x:row>
    <x:row r="4" spans="1:5" customHeight="1">
      <x:c r="A4" s="30"/>
      <x:c r="B4" s="110">
        <x:v>19</x:v>
      </x:c>
      <x:c r="C4" s="141"/>
      <x:c r="D4" s="110"/>
      <x:c r="E4" s="142" t="s">
        <x:v>1951</x:v>
      </x:c>
    </x:row>
    <x:row r="5" spans="1:5" customHeight="1">
      <x:c r="A5" s="30"/>
      <x:c r="B5" s="110">
        <x:v>20</x:v>
      </x:c>
      <x:c r="C5" s="141"/>
      <x:c r="D5" s="110"/>
      <x:c r="E5" s="142" t="s">
        <x:v>1975</x:v>
      </x:c>
    </x:row>
    <x:row r="6" spans="1:5" customHeight="1">
      <x:c r="A6" s="30"/>
      <x:c r="B6" s="110">
        <x:v>21</x:v>
      </x:c>
      <x:c r="C6" s="141"/>
      <x:c r="D6" s="110"/>
      <x:c r="E6" s="142"/>
    </x:row>
    <x:row r="7" spans="1:5" customHeight="1">
      <x:c r="A7" s="30"/>
      <x:c r="B7" s="5">
        <x:v>22</x:v>
      </x:c>
      <x:c r="C7" s="6"/>
      <x:c r="D7" s="5"/>
      <x:c r="E7" s="37" t="s">
        <x:v>901</x:v>
      </x:c>
    </x:row>
    <x:row r="8" spans="1:9" customHeight="1">
      <x:c r="A8" s="30"/>
      <x:c r="B8" s="5">
        <x:v>23</x:v>
      </x:c>
      <x:c r="C8" s="6" t="s">
        <x:v>1989</x:v>
      </x:c>
      <x:c r="D8" s="5" t="s">
        <x:v>1509</x:v>
      </x:c>
      <x:c r="E8" s="37" t="s">
        <x:v>897</x:v>
      </x:c>
      <x:c r="F8" s="1" t="s">
        <x:v>1922</x:v>
      </x:c>
      <x:c r="G8" s="1" t="s">
        <x:v>1922</x:v>
      </x:c>
      <x:c r="H8" s="71" t="s">
        <x:v>3323</x:v>
      </x:c>
      <x:c r="I8" s="71" t="s">
        <x:v>1597</x:v>
      </x:c>
    </x:row>
    <x:row r="9" spans="1:9" customHeight="1">
      <x:c r="A9" s="30"/>
      <x:c r="B9" s="5">
        <x:v>24</x:v>
      </x:c>
      <x:c r="C9" s="6" t="s">
        <x:v>1348</x:v>
      </x:c>
      <x:c r="D9" s="5" t="s">
        <x:v>1446</x:v>
      </x:c>
      <x:c r="E9" s="37" t="s">
        <x:v>3103</x:v>
      </x:c>
      <x:c r="H9" s="71" t="s">
        <x:v>3276</x:v>
      </x:c>
      <x:c r="I9" s="71" t="s">
        <x:v>1596</x:v>
      </x:c>
    </x:row>
    <x:row r="10" spans="1:9" customHeight="1">
      <x:c r="A10" s="30"/>
      <x:c r="B10" s="7">
        <x:v>25</x:v>
      </x:c>
      <x:c r="C10" s="8" t="s">
        <x:v>1348</x:v>
      </x:c>
      <x:c r="D10" s="7" t="s">
        <x:v>1446</x:v>
      </x:c>
      <x:c r="E10" s="38" t="s">
        <x:v>909</x:v>
      </x:c>
      <x:c r="F10" s="1" t="s">
        <x:v>1922</x:v>
      </x:c>
      <x:c r="G10" s="1" t="s">
        <x:v>1922</x:v>
      </x:c>
      <x:c r="H10" s="71"/>
      <x:c r="I10" s="71"/>
    </x:row>
    <x:row r="11" spans="1:9" customHeight="1">
      <x:c r="A11" s="30"/>
      <x:c r="B11" s="4">
        <x:v>26</x:v>
      </x:c>
      <x:c r="C11" s="3" t="s">
        <x:v>1348</x:v>
      </x:c>
      <x:c r="D11" s="4" t="s">
        <x:v>1446</x:v>
      </x:c>
      <x:c r="E11" s="68" t="s">
        <x:v>3325</x:v>
      </x:c>
      <x:c r="F11" s="173"/>
      <x:c r="G11" s="173"/>
      <x:c r="H11" s="71" t="s">
        <x:v>3302</x:v>
      </x:c>
      <x:c r="I11" s="71" t="s">
        <x:v>1588</x:v>
      </x:c>
    </x:row>
    <x:row r="12" spans="1:5" customHeight="1">
      <x:c r="A12" s="30"/>
      <x:c r="B12" s="5">
        <x:v>27</x:v>
      </x:c>
      <x:c r="C12" s="6" t="s">
        <x:v>1989</x:v>
      </x:c>
      <x:c r="D12" s="5" t="s">
        <x:v>1509</x:v>
      </x:c>
      <x:c r="E12" s="37" t="s">
        <x:v>917</x:v>
      </x:c>
    </x:row>
    <x:row r="13" spans="1:9" customHeight="1">
      <x:c r="A13" s="30"/>
      <x:c r="B13" s="101">
        <x:v>28</x:v>
      </x:c>
      <x:c r="C13" s="6" t="s">
        <x:v>1936</x:v>
      </x:c>
      <x:c r="D13" s="5" t="s">
        <x:v>1446</x:v>
      </x:c>
      <x:c r="E13" s="37" t="s">
        <x:v>3289</x:v>
      </x:c>
      <x:c r="F13" s="1" t="s">
        <x:v>1922</x:v>
      </x:c>
      <x:c r="G13" s="1" t="s">
        <x:v>1922</x:v>
      </x:c>
      <x:c r="I13" s="1" t="s">
        <x:v>676</x:v>
      </x:c>
    </x:row>
    <x:row r="14" spans="1:5" customHeight="1">
      <x:c r="A14" s="30"/>
      <x:c r="B14" s="5">
        <x:v>29</x:v>
      </x:c>
      <x:c r="C14" s="6"/>
      <x:c r="D14" s="5"/>
      <x:c r="E14" s="37"/>
    </x:row>
    <x:row r="15" spans="1:5" customHeight="1">
      <x:c r="A15" s="30"/>
      <x:c r="B15" s="7">
        <x:v>30</x:v>
      </x:c>
      <x:c r="C15" s="8"/>
      <x:c r="D15" s="7"/>
      <x:c r="E15" s="38"/>
    </x:row>
    <x:row r="16" spans="1:9" customHeight="1">
      <x:c r="A16" s="30"/>
      <x:c r="B16" s="4">
        <x:v>31</x:v>
      </x:c>
      <x:c r="C16" s="3" t="s">
        <x:v>1960</x:v>
      </x:c>
      <x:c r="D16" s="4" t="s">
        <x:v>1446</x:v>
      </x:c>
      <x:c r="E16" s="36" t="s">
        <x:v>3288</x:v>
      </x:c>
      <x:c r="H16" s="1" t="s">
        <x:v>3291</x:v>
      </x:c>
      <x:c r="I16" s="1" t="s">
        <x:v>1593</x:v>
      </x:c>
    </x:row>
    <x:row r="17" spans="1:5" customHeight="1">
      <x:c r="A17" s="30"/>
      <x:c r="B17" s="101">
        <x:v>32</x:v>
      </x:c>
      <x:c r="C17" s="6" t="s">
        <x:v>1942</x:v>
      </x:c>
      <x:c r="D17" s="5" t="s">
        <x:v>1509</x:v>
      </x:c>
      <x:c r="E17" s="37" t="s">
        <x:v>3264</x:v>
      </x:c>
    </x:row>
    <x:row r="18" spans="1:5" customHeight="1">
      <x:c r="A18" s="30"/>
      <x:c r="B18" s="5">
        <x:v>33</x:v>
      </x:c>
      <x:c r="C18" s="6"/>
      <x:c r="D18" s="5"/>
      <x:c r="E18" s="37"/>
    </x:row>
    <x:row r="19" spans="1:7" customHeight="1">
      <x:c r="A19" s="30"/>
      <x:c r="B19" s="5">
        <x:v>34</x:v>
      </x:c>
      <x:c r="C19" s="6" t="s">
        <x:v>1942</x:v>
      </x:c>
      <x:c r="D19" s="5" t="s">
        <x:v>1446</x:v>
      </x:c>
      <x:c r="E19" s="37" t="s">
        <x:v>909</x:v>
      </x:c>
      <x:c r="F19" s="1" t="s">
        <x:v>1922</x:v>
      </x:c>
      <x:c r="G19" s="1" t="s">
        <x:v>1922</x:v>
      </x:c>
    </x:row>
    <x:row r="20" spans="1:9" customHeight="1">
      <x:c r="A20" s="30"/>
      <x:c r="B20" s="7">
        <x:v>35</x:v>
      </x:c>
      <x:c r="C20" s="8" t="s">
        <x:v>1934</x:v>
      </x:c>
      <x:c r="D20" s="7" t="s">
        <x:v>1509</x:v>
      </x:c>
      <x:c r="E20" s="38" t="s">
        <x:v>911</x:v>
      </x:c>
      <x:c r="F20" s="1">
        <x:v>7654321</x:v>
      </x:c>
      <x:c r="G20" s="1">
        <x:v>7654321</x:v>
      </x:c>
      <x:c r="I20" s="1" t="s">
        <x:v>1600</x:v>
      </x:c>
    </x:row>
    <x:row r="21" spans="1:9" customHeight="1">
      <x:c r="A21" s="30"/>
      <x:c r="B21" s="4">
        <x:v>36</x:v>
      </x:c>
      <x:c r="C21" s="3" t="s">
        <x:v>1934</x:v>
      </x:c>
      <x:c r="D21" s="4" t="s">
        <x:v>1253</x:v>
      </x:c>
      <x:c r="E21" s="36" t="s">
        <x:v>3165</x:v>
      </x:c>
      <x:c r="H21" s="1" t="s">
        <x:v>3279</x:v>
      </x:c>
      <x:c r="I21" s="1" t="s">
        <x:v>1589</x:v>
      </x:c>
    </x:row>
    <x:row r="22" spans="1:7" ht="13.25" customHeight="1">
      <x:c r="A22" s="30"/>
      <x:c r="B22" s="5">
        <x:v>37</x:v>
      </x:c>
      <x:c r="C22" s="6" t="s">
        <x:v>1453</x:v>
      </x:c>
      <x:c r="D22" s="5" t="s">
        <x:v>1446</x:v>
      </x:c>
      <x:c r="E22" s="57" t="s">
        <x:v>2210</x:v>
      </x:c>
      <x:c r="F22" s="1" t="s">
        <x:v>1922</x:v>
      </x:c>
      <x:c r="G22" s="1" t="s">
        <x:v>1922</x:v>
      </x:c>
    </x:row>
    <x:row r="23" spans="1:9" customHeight="1">
      <x:c r="A23" s="30"/>
      <x:c r="B23" s="5">
        <x:v>38</x:v>
      </x:c>
      <x:c r="C23" s="255" t="s">
        <x:v>1453</x:v>
      </x:c>
      <x:c r="D23" s="256" t="s">
        <x:v>1446</x:v>
      </x:c>
      <x:c r="E23" s="257" t="s">
        <x:v>865</x:v>
      </x:c>
      <x:c r="F23" s="258"/>
      <x:c r="G23" s="258"/>
      <x:c r="H23" s="258"/>
      <x:c r="I23" s="258" t="s">
        <x:v>847</x:v>
      </x:c>
    </x:row>
    <x:row r="24" spans="1:5" customHeight="1">
      <x:c r="A24" s="30"/>
      <x:c r="B24" s="5">
        <x:v>39</x:v>
      </x:c>
      <x:c r="C24" s="6"/>
      <x:c r="D24" s="5"/>
      <x:c r="E24" s="37"/>
    </x:row>
    <x:row r="25" spans="1:7" customHeight="1">
      <x:c r="A25" s="30"/>
      <x:c r="B25" s="7">
        <x:v>40</x:v>
      </x:c>
      <x:c r="C25" s="8" t="s">
        <x:v>1934</x:v>
      </x:c>
      <x:c r="D25" s="7" t="s">
        <x:v>1446</x:v>
      </x:c>
      <x:c r="E25" s="170" t="s">
        <x:v>903</x:v>
      </x:c>
      <x:c r="F25" s="27"/>
      <x:c r="G25" s="27"/>
    </x:row>
    <x:row r="26" spans="1:9" customHeight="1">
      <x:c r="A26" s="30"/>
      <x:c r="B26" s="221">
        <x:v>41</x:v>
      </x:c>
      <x:c r="C26" s="222" t="s">
        <x:v>1403</x:v>
      </x:c>
      <x:c r="D26" s="221" t="s">
        <x:v>1446</x:v>
      </x:c>
      <x:c r="E26" s="223" t="s">
        <x:v>3268</x:v>
      </x:c>
      <x:c r="F26" s="224"/>
      <x:c r="G26" s="224"/>
      <x:c r="H26" s="224"/>
      <x:c r="I26" s="224">
        <x:v>20240524</x:v>
      </x:c>
    </x:row>
    <x:row r="27" spans="1:5" customHeight="1">
      <x:c r="A27" s="30"/>
      <x:c r="B27" s="5">
        <x:v>42</x:v>
      </x:c>
      <x:c r="C27" s="6"/>
      <x:c r="D27" s="5"/>
      <x:c r="E27" s="37"/>
    </x:row>
    <x:row r="28" spans="1:9" customHeight="1">
      <x:c r="A28" s="30"/>
      <x:c r="B28" s="5">
        <x:v>43</x:v>
      </x:c>
      <x:c r="C28" s="6" t="s">
        <x:v>1403</x:v>
      </x:c>
      <x:c r="D28" s="5" t="s">
        <x:v>1509</x:v>
      </x:c>
      <x:c r="E28" s="65" t="s">
        <x:v>3170</x:v>
      </x:c>
      <x:c r="F28" s="175"/>
      <x:c r="G28" s="175"/>
      <x:c r="H28" s="1" t="s">
        <x:v>3275</x:v>
      </x:c>
      <x:c r="I28" s="1" t="s">
        <x:v>11</x:v>
      </x:c>
    </x:row>
    <x:row r="29" spans="1:9" customHeight="1">
      <x:c r="A29" s="30"/>
      <x:c r="B29" s="5">
        <x:v>44</x:v>
      </x:c>
      <x:c r="C29" s="6" t="s">
        <x:v>1927</x:v>
      </x:c>
      <x:c r="D29" s="5" t="s">
        <x:v>1446</x:v>
      </x:c>
      <x:c r="E29" s="37" t="s">
        <x:v>2282</x:v>
      </x:c>
      <x:c r="I29" s="1" t="s">
        <x:v>662</x:v>
      </x:c>
    </x:row>
    <x:row r="30" spans="1:9" customHeight="1">
      <x:c r="A30" s="30"/>
      <x:c r="B30" s="7">
        <x:v>45</x:v>
      </x:c>
      <x:c r="C30" s="8" t="s">
        <x:v>1927</x:v>
      </x:c>
      <x:c r="D30" s="7" t="s">
        <x:v>1446</x:v>
      </x:c>
      <x:c r="E30" s="38" t="s">
        <x:v>908</x:v>
      </x:c>
      <x:c r="F30" s="1" t="s">
        <x:v>1922</x:v>
      </x:c>
      <x:c r="G30" s="1" t="s">
        <x:v>1922</x:v>
      </x:c>
      <x:c r="H30" s="1" t="s">
        <x:v>3278</x:v>
      </x:c>
      <x:c r="I30" s="1" t="s">
        <x:v>1607</x:v>
      </x:c>
    </x:row>
    <x:row r="31" spans="1:9" customHeight="1">
      <x:c r="A31" s="30"/>
      <x:c r="B31" s="102">
        <x:v>46</x:v>
      </x:c>
      <x:c r="C31" s="3" t="s">
        <x:v>1486</x:v>
      </x:c>
      <x:c r="D31" s="4" t="s">
        <x:v>1446</x:v>
      </x:c>
      <x:c r="E31" s="36" t="s">
        <x:v>2157</x:v>
      </x:c>
      <x:c r="H31" s="1" t="s">
        <x:v>3250</x:v>
      </x:c>
      <x:c r="I31" s="1" t="s">
        <x:v>7</x:v>
      </x:c>
    </x:row>
    <x:row r="32" spans="1:10" customHeight="1">
      <x:c r="A32" s="30"/>
      <x:c r="B32" s="218">
        <x:v>47</x:v>
      </x:c>
      <x:c r="C32" s="219" t="s">
        <x:v>1917</x:v>
      </x:c>
      <x:c r="D32" s="218" t="s">
        <x:v>1446</x:v>
      </x:c>
      <x:c r="E32" s="220" t="s">
        <x:v>920</x:v>
      </x:c>
      <x:c r="F32" s="224" t="s">
        <x:v>1882</x:v>
      </x:c>
      <x:c r="G32" s="224" t="s">
        <x:v>1882</x:v>
      </x:c>
      <x:c r="H32" s="224" t="s">
        <x:v>3267</x:v>
      </x:c>
      <x:c r="I32" s="224">
        <x:v>20220225</x:v>
      </x:c>
      <x:c r="J32" s="224" t="s">
        <x:v>1849</x:v>
      </x:c>
    </x:row>
    <x:row r="33" spans="1:10" customHeight="1">
      <x:c r="A33" s="30"/>
      <x:c r="B33" s="218">
        <x:v>48</x:v>
      </x:c>
      <x:c r="C33" s="219" t="s">
        <x:v>1917</x:v>
      </x:c>
      <x:c r="D33" s="218" t="s">
        <x:v>1509</x:v>
      </x:c>
      <x:c r="E33" s="220" t="s">
        <x:v>923</x:v>
      </x:c>
      <x:c r="F33" s="224"/>
      <x:c r="G33" s="224"/>
      <x:c r="H33" s="224" t="s">
        <x:v>3249</x:v>
      </x:c>
      <x:c r="I33" s="224">
        <x:v>20210127</x:v>
      </x:c>
      <x:c r="J33" s="224" t="s">
        <x:v>1849</x:v>
      </x:c>
    </x:row>
    <x:row r="34" spans="1:9" customHeight="1">
      <x:c r="A34" s="30"/>
      <x:c r="B34" s="5">
        <x:v>49</x:v>
      </x:c>
      <x:c r="C34" s="6" t="s">
        <x:v>1931</x:v>
      </x:c>
      <x:c r="D34" s="5" t="s">
        <x:v>1446</x:v>
      </x:c>
      <x:c r="E34" s="64" t="s">
        <x:v>2216</x:v>
      </x:c>
      <x:c r="F34" s="177"/>
      <x:c r="G34" s="177"/>
      <x:c r="H34" s="1" t="s">
        <x:v>3253</x:v>
      </x:c>
      <x:c r="I34" s="1" t="s">
        <x:v>12</x:v>
      </x:c>
    </x:row>
    <x:row r="35" spans="1:9" customHeight="1">
      <x:c r="A35" s="30"/>
      <x:c r="B35" s="7">
        <x:v>50</x:v>
      </x:c>
      <x:c r="C35" s="8"/>
      <x:c r="D35" s="7"/>
      <x:c r="E35" s="38"/>
      <x:c r="H35" s="71"/>
      <x:c r="I35" s="71"/>
    </x:row>
    <x:row r="36" spans="1:9" customHeight="1">
      <x:c r="A36" s="30"/>
      <x:c r="B36" s="4">
        <x:v>51</x:v>
      </x:c>
      <x:c r="C36" s="3" t="s">
        <x:v>1931</x:v>
      </x:c>
      <x:c r="D36" s="4" t="s">
        <x:v>1509</x:v>
      </x:c>
      <x:c r="E36" s="36" t="s">
        <x:v>3304</x:v>
      </x:c>
      <x:c r="H36" s="1" t="s">
        <x:v>3334</x:v>
      </x:c>
      <x:c r="I36" s="115" t="s">
        <x:v>1594</x:v>
      </x:c>
    </x:row>
    <x:row r="37" spans="1:5" customHeight="1">
      <x:c r="A37" s="30"/>
      <x:c r="B37" s="5">
        <x:v>52</x:v>
      </x:c>
      <x:c r="C37" s="6" t="s">
        <x:v>1929</x:v>
      </x:c>
      <x:c r="D37" s="5"/>
      <x:c r="E37" s="37"/>
    </x:row>
    <x:row r="38" spans="1:5" customHeight="1">
      <x:c r="A38" s="30"/>
      <x:c r="B38" s="5">
        <x:v>53</x:v>
      </x:c>
      <x:c r="C38" s="6"/>
      <x:c r="D38" s="5"/>
      <x:c r="E38" s="37"/>
    </x:row>
    <x:row r="39" spans="1:9" customHeight="1">
      <x:c r="A39" s="30"/>
      <x:c r="B39" s="5">
        <x:v>54</x:v>
      </x:c>
      <x:c r="C39" s="6" t="s">
        <x:v>1933</x:v>
      </x:c>
      <x:c r="D39" s="5" t="s">
        <x:v>1446</x:v>
      </x:c>
      <x:c r="E39" s="37" t="s">
        <x:v>2191</x:v>
      </x:c>
      <x:c r="H39" s="1" t="s">
        <x:v>3308</x:v>
      </x:c>
      <x:c r="I39" s="1" t="s">
        <x:v>1602</x:v>
      </x:c>
    </x:row>
    <x:row r="40" spans="1:10" customHeight="1">
      <x:c r="A40" s="30"/>
      <x:c r="B40" s="250">
        <x:v>55</x:v>
      </x:c>
      <x:c r="C40" s="251" t="s">
        <x:v>2085</x:v>
      </x:c>
      <x:c r="D40" s="252" t="s">
        <x:v>1500</x:v>
      </x:c>
      <x:c r="E40" s="253" t="s">
        <x:v>3199</x:v>
      </x:c>
      <x:c r="F40" s="254"/>
      <x:c r="G40" s="254"/>
      <x:c r="H40" s="224" t="s">
        <x:v>686</x:v>
      </x:c>
      <x:c r="I40" s="254" t="s">
        <x:v>1829</x:v>
      </x:c>
      <x:c r="J40" s="254"/>
    </x:row>
    <x:row r="41" spans="1:10" customHeight="1">
      <x:c r="A41" s="30"/>
      <x:c r="B41" s="4">
        <x:v>56</x:v>
      </x:c>
      <x:c r="C41" s="3" t="s">
        <x:v>16</x:v>
      </x:c>
      <x:c r="D41" s="4" t="s">
        <x:v>1446</x:v>
      </x:c>
      <x:c r="E41" s="36" t="s">
        <x:v>3265</x:v>
      </x:c>
      <x:c r="H41" s="1" t="s">
        <x:v>3246</x:v>
      </x:c>
      <x:c r="I41" s="1" t="s">
        <x:v>0</x:v>
      </x:c>
      <x:c r="J41" s="1" t="s">
        <x:v>3272</x:v>
      </x:c>
    </x:row>
    <x:row r="42" spans="1:9" customHeight="1">
      <x:c r="A42" s="30"/>
      <x:c r="B42" s="5">
        <x:v>57</x:v>
      </x:c>
      <x:c r="C42" s="6" t="s">
        <x:v>1590</x:v>
      </x:c>
      <x:c r="D42" s="5" t="s">
        <x:v>1509</x:v>
      </x:c>
      <x:c r="E42" s="57" t="s">
        <x:v>915</x:v>
      </x:c>
      <x:c r="F42" s="174"/>
      <x:c r="G42" s="174"/>
      <x:c r="H42" s="1" t="s">
        <x:v>3238</x:v>
      </x:c>
      <x:c r="I42" s="1" t="s">
        <x:v>1604</x:v>
      </x:c>
    </x:row>
    <x:row r="43" spans="1:5" customHeight="1">
      <x:c r="A43" s="30"/>
      <x:c r="B43" s="5">
        <x:v>58</x:v>
      </x:c>
      <x:c r="C43" s="6" t="s">
        <x:v>8</x:v>
      </x:c>
      <x:c r="D43" s="5" t="s">
        <x:v>1446</x:v>
      </x:c>
      <x:c r="E43" s="37" t="s">
        <x:v>3312</x:v>
      </x:c>
    </x:row>
    <x:row r="44" spans="1:10" customHeight="1">
      <x:c r="A44" s="30"/>
      <x:c r="B44" s="5">
        <x:v>59</x:v>
      </x:c>
      <x:c r="C44" s="6" t="s">
        <x:v>3146</x:v>
      </x:c>
      <x:c r="D44" s="5" t="s">
        <x:v>1446</x:v>
      </x:c>
      <x:c r="E44" s="37" t="s">
        <x:v>2236</x:v>
      </x:c>
      <x:c r="F44" s="1" t="s">
        <x:v>1922</x:v>
      </x:c>
      <x:c r="G44" s="1" t="s">
        <x:v>1922</x:v>
      </x:c>
      <x:c r="I44" s="1">
        <x:v>2019</x:v>
      </x:c>
      <x:c r="J44" s="1" t="s">
        <x:v>1481</x:v>
      </x:c>
    </x:row>
    <x:row r="45" spans="1:7" customHeight="1">
      <x:c r="A45" s="30"/>
      <x:c r="B45" s="7">
        <x:v>60</x:v>
      </x:c>
      <x:c r="C45" s="8" t="s">
        <x:v>3146</x:v>
      </x:c>
      <x:c r="D45" s="7" t="s">
        <x:v>1509</x:v>
      </x:c>
      <x:c r="E45" s="59" t="s">
        <x:v>929</x:v>
      </x:c>
      <x:c r="F45" s="1" t="s">
        <x:v>1922</x:v>
      </x:c>
      <x:c r="G45" s="1" t="s">
        <x:v>1922</x:v>
      </x:c>
    </x:row>
    <x:row r="46" spans="1:5" customHeight="1">
      <x:c r="A46" s="30"/>
      <x:c r="B46" s="4">
        <x:v>61</x:v>
      </x:c>
      <x:c r="C46" s="3"/>
      <x:c r="D46" s="4"/>
      <x:c r="E46" s="36"/>
    </x:row>
    <x:row r="47" spans="1:9" customHeight="1">
      <x:c r="A47" s="30"/>
      <x:c r="B47" s="5">
        <x:v>62</x:v>
      </x:c>
      <x:c r="C47" s="6" t="s">
        <x:v>3148</x:v>
      </x:c>
      <x:c r="D47" s="5" t="s">
        <x:v>1509</x:v>
      </x:c>
      <x:c r="E47" s="58" t="s">
        <x:v>929</x:v>
      </x:c>
      <x:c r="F47" s="1" t="s">
        <x:v>1922</x:v>
      </x:c>
      <x:c r="G47" s="1" t="s">
        <x:v>1922</x:v>
      </x:c>
      <x:c r="H47" s="1" t="s">
        <x:v>3239</x:v>
      </x:c>
      <x:c r="I47" s="1" t="s">
        <x:v>2116</x:v>
      </x:c>
    </x:row>
    <x:row r="48" spans="1:9" customHeight="1">
      <x:c r="A48" s="30"/>
      <x:c r="B48" s="5">
        <x:v>63</x:v>
      </x:c>
      <x:c r="C48" s="6" t="s">
        <x:v>1931</x:v>
      </x:c>
      <x:c r="D48" s="5" t="s">
        <x:v>1446</x:v>
      </x:c>
      <x:c r="E48" s="69" t="s">
        <x:v>3325</x:v>
      </x:c>
      <x:c r="F48" s="173"/>
      <x:c r="G48" s="173"/>
      <x:c r="H48" s="71" t="s">
        <x:v>3302</x:v>
      </x:c>
      <x:c r="I48" s="71" t="s">
        <x:v>9</x:v>
      </x:c>
    </x:row>
    <x:row r="49" spans="1:10" customHeight="1">
      <x:c r="A49" s="30"/>
      <x:c r="B49" s="218">
        <x:v>64</x:v>
      </x:c>
      <x:c r="C49" s="219" t="s">
        <x:v>1740</x:v>
      </x:c>
      <x:c r="D49" s="218" t="s">
        <x:v>1509</x:v>
      </x:c>
      <x:c r="E49" s="223" t="s">
        <x:v>936</x:v>
      </x:c>
      <x:c r="F49" s="224"/>
      <x:c r="G49" s="224"/>
      <x:c r="H49" s="224" t="s">
        <x:v>686</x:v>
      </x:c>
      <x:c r="I49" s="224"/>
      <x:c r="J49" s="224" t="s">
        <x:v>1849</x:v>
      </x:c>
    </x:row>
    <x:row r="50" spans="1:5" customHeight="1">
      <x:c r="A50" s="30"/>
      <x:c r="B50" s="7">
        <x:v>65</x:v>
      </x:c>
      <x:c r="C50" s="8"/>
      <x:c r="D50" s="7"/>
      <x:c r="E50" s="38"/>
    </x:row>
    <x:row r="51" spans="1:10" customHeight="1">
      <x:c r="A51" s="30"/>
      <x:c r="B51" s="221">
        <x:v>66</x:v>
      </x:c>
      <x:c r="C51" s="222" t="s">
        <x:v>1740</x:v>
      </x:c>
      <x:c r="D51" s="221" t="s">
        <x:v>1509</x:v>
      </x:c>
      <x:c r="E51" s="223" t="s">
        <x:v>919</x:v>
      </x:c>
      <x:c r="F51" s="224" t="s">
        <x:v>1882</x:v>
      </x:c>
      <x:c r="G51" s="224" t="s">
        <x:v>1882</x:v>
      </x:c>
      <x:c r="H51" s="224" t="s">
        <x:v>3245</x:v>
      </x:c>
      <x:c r="I51" s="224">
        <x:v>20181101</x:v>
      </x:c>
      <x:c r="J51" s="224" t="s">
        <x:v>1849</x:v>
      </x:c>
    </x:row>
    <x:row r="52" spans="1:5" customHeight="1">
      <x:c r="A52" s="30"/>
      <x:c r="B52" s="5">
        <x:v>67</x:v>
      </x:c>
      <x:c r="C52" s="6"/>
      <x:c r="D52" s="5"/>
      <x:c r="E52" s="37"/>
    </x:row>
    <x:row r="53" spans="1:5" customHeight="1">
      <x:c r="A53" s="30"/>
      <x:c r="B53" s="5">
        <x:v>68</x:v>
      </x:c>
      <x:c r="C53" s="6"/>
      <x:c r="D53" s="5"/>
      <x:c r="E53" s="37"/>
    </x:row>
    <x:row r="54" spans="1:9" customHeight="1">
      <x:c r="A54" s="30"/>
      <x:c r="B54" s="5">
        <x:v>69</x:v>
      </x:c>
      <x:c r="C54" s="6" t="s">
        <x:v>3148</x:v>
      </x:c>
      <x:c r="D54" s="5" t="s">
        <x:v>1446</x:v>
      </x:c>
      <x:c r="E54" s="69" t="s">
        <x:v>3325</x:v>
      </x:c>
      <x:c r="F54" s="173"/>
      <x:c r="G54" s="173"/>
      <x:c r="H54" s="71" t="s">
        <x:v>3302</x:v>
      </x:c>
      <x:c r="I54" s="71" t="s">
        <x:v>9</x:v>
      </x:c>
    </x:row>
    <x:row r="55" spans="1:9" customHeight="1">
      <x:c r="A55" s="31"/>
      <x:c r="B55" s="7">
        <x:v>70</x:v>
      </x:c>
      <x:c r="C55" s="8" t="s">
        <x:v>1501</x:v>
      </x:c>
      <x:c r="D55" s="7" t="s">
        <x:v>1446</x:v>
      </x:c>
      <x:c r="E55" s="67" t="s">
        <x:v>3293</x:v>
      </x:c>
      <x:c r="F55" s="177"/>
      <x:c r="G55" s="177"/>
      <x:c r="I55" s="1" t="s">
        <x:v>687</x:v>
      </x:c>
    </x:row>
    <x:row r="56" spans="2:4" customHeight="1">
      <x:c r="B56" s="1" t="s">
        <x:v>1494</x:v>
      </x:c>
      <x:c r="D56" s="1" t="s">
        <x:v>1494</x:v>
      </x:c>
    </x:row>
    <x:row r="57" spans="2:4" customHeight="1">
      <x:c r="B57" s="1" t="s">
        <x:v>1494</x:v>
      </x:c>
      <x:c r="D57" s="1" t="s">
        <x:v>1494</x:v>
      </x:c>
    </x:row>
    <x:row r="58" spans="2:4" customHeight="1">
      <x:c r="B58" s="1" t="s">
        <x:v>1494</x:v>
      </x:c>
      <x:c r="D58" s="1" t="s">
        <x:v>1494</x:v>
      </x:c>
    </x:row>
    <x:row r="59" spans="2:4" customHeight="1">
      <x:c r="B59" s="1" t="s">
        <x:v>1494</x:v>
      </x:c>
      <x:c r="D59" s="1" t="s">
        <x:v>1494</x:v>
      </x:c>
    </x:row>
    <x:row r="60" spans="1:10" customHeight="1">
      <x:c r="A60" s="30"/>
      <x:c r="B60" s="5">
        <x:v>59</x:v>
      </x:c>
      <x:c r="C60" s="6" t="s">
        <x:v>3146</x:v>
      </x:c>
      <x:c r="D60" s="5" t="s">
        <x:v>1446</x:v>
      </x:c>
      <x:c r="E60" s="66" t="s">
        <x:v>2195</x:v>
      </x:c>
      <x:c r="F60" s="176"/>
      <x:c r="G60" s="176"/>
      <x:c r="H60" s="1" t="s">
        <x:v>3283</x:v>
      </x:c>
      <x:c r="I60" s="1" t="s">
        <x:v>2</x:v>
      </x:c>
      <x:c r="J60" s="9" t="s">
        <x:v>904</x:v>
      </x:c>
    </x:row>
    <x:row r="61" spans="2:4" customHeight="1">
      <x:c r="B61" s="1" t="s">
        <x:v>1494</x:v>
      </x:c>
      <x:c r="D61" s="1" t="s">
        <x:v>1494</x:v>
      </x:c>
    </x:row>
    <x:row r="62" spans="2:4" customHeight="1">
      <x:c r="B62" s="1" t="s">
        <x:v>1494</x:v>
      </x:c>
      <x:c r="D62" s="1" t="s">
        <x:v>1494</x:v>
      </x:c>
    </x:row>
    <x:row r="63" spans="3:10" customHeight="1">
      <x:c r="C63" s="6" t="s">
        <x:v>1453</x:v>
      </x:c>
      <x:c r="D63" s="5" t="s">
        <x:v>1446</x:v>
      </x:c>
      <x:c r="E63" s="37" t="s">
        <x:v>3322</x:v>
      </x:c>
      <x:c r="H63" s="1" t="s">
        <x:v>3284</x:v>
      </x:c>
      <x:c r="I63" s="1" t="s">
        <x:v>1599</x:v>
      </x:c>
      <x:c r="J63" s="1" t="s">
        <x:v>3200</x:v>
      </x:c>
    </x:row>
  </x:sheetData>
  <x:autoFilter ref="A2:I62"/>
  <x:sortState columnSort="0" caseSensitive="0" ref="A3:E59">
    <x:sortCondition descending="0" sortBy="value" ref="B3:B59"/>
  </x:sortState>
  <x:mergeCells count="7">
    <x:mergeCell ref="B1:B2"/>
    <x:mergeCell ref="C1:C2"/>
    <x:mergeCell ref="D1:D2"/>
    <x:mergeCell ref="E1:E2"/>
    <x:mergeCell ref="F1:G1"/>
    <x:mergeCell ref="H1:H2"/>
    <x:mergeCell ref="I1:I2"/>
  </x:mergeCells>
  <x:printOptions horizontalCentered="1" verticalCentered="0" headings="0" gridLines="0" gridLinesSet="1"/>
  <x:pageMargins left="0.70861113071441650391" right="0.70861113071441650391" top="0.9448611140251159668" bottom="0.74750000238418579102" header="0.31486111879348754883" footer="0.31486111879348754883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>
    <x:oddHeader>&amp;C&amp;"HY견고딕,Regular"&amp;22IP관리대장(프린터)</x:oddHeader>
  </x:headerFooter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I35"/>
  <x:sheetViews>
    <x:sheetView topLeftCell="A1" zoomScaleNormal="100" zoomScaleSheetLayoutView="100" workbookViewId="0">
      <x:selection activeCell="C18" activeCellId="0" sqref="C18:C18"/>
    </x:sheetView>
  </x:sheetViews>
  <x:sheetFormatPr defaultColWidth="8.9140625" defaultRowHeight="13.19999999999999928946"/>
  <x:cols>
    <x:col min="1" max="1" width="21" style="179" bestFit="1" customWidth="1"/>
    <x:col min="2" max="2" width="14.6640625" style="179" bestFit="1" customWidth="1"/>
    <x:col min="3" max="3" width="9.9140625" style="179" bestFit="1" customWidth="1"/>
    <x:col min="4" max="4" width="7" style="179" bestFit="1" customWidth="1"/>
    <x:col min="5" max="5" width="8.9140625" style="179"/>
    <x:col min="6" max="6" width="12.83203125" style="179" bestFit="1" customWidth="1"/>
    <x:col min="7" max="7" width="15.9140625" style="179" customWidth="1"/>
    <x:col min="8" max="16384" width="8.9140625" style="179"/>
  </x:cols>
  <x:sheetData>
    <x:row r="1" spans="1:6" ht="19.25" customHeight="1">
      <x:c r="A1" s="186" t="s">
        <x:v>1883</x:v>
      </x:c>
      <x:c r="B1" s="186" t="s">
        <x:v>1911</x:v>
      </x:c>
      <x:c r="C1" s="186" t="s">
        <x:v>1891</x:v>
      </x:c>
      <x:c r="D1" s="186" t="s">
        <x:v>1897</x:v>
      </x:c>
      <x:c r="E1" s="185" t="s">
        <x:v>1866</x:v>
      </x:c>
      <x:c r="F1" s="185" t="s">
        <x:v>1901</x:v>
      </x:c>
    </x:row>
    <x:row r="2" spans="1:6">
      <x:c r="A2" s="183" t="s">
        <x:v>3087</x:v>
      </x:c>
      <x:c r="B2" s="183" t="s">
        <x:v>3285</x:v>
      </x:c>
      <x:c r="C2" s="183" t="s">
        <x:v>2238</x:v>
      </x:c>
      <x:c r="D2" s="182">
        <x:v>97343</x:v>
      </x:c>
      <x:c r="E2" s="181" t="s">
        <x:v>1423</x:v>
      </x:c>
      <x:c r="F2" s="180" t="s">
        <x:v>1590</x:v>
      </x:c>
    </x:row>
    <x:row r="3" spans="1:6">
      <x:c r="A3" s="183" t="s">
        <x:v>3079</x:v>
      </x:c>
      <x:c r="B3" s="183" t="s">
        <x:v>3262</x:v>
      </x:c>
      <x:c r="C3" s="183" t="s">
        <x:v>2198</x:v>
      </x:c>
      <x:c r="D3" s="182">
        <x:v>97344</x:v>
      </x:c>
      <x:c r="E3" s="181" t="s">
        <x:v>1423</x:v>
      </x:c>
      <x:c r="F3" s="180" t="s">
        <x:v>8</x:v>
      </x:c>
    </x:row>
    <x:row r="4" spans="1:6">
      <x:c r="A4" s="183" t="s">
        <x:v>3117</x:v>
      </x:c>
      <x:c r="B4" s="183" t="s">
        <x:v>3229</x:v>
      </x:c>
      <x:c r="C4" s="183" t="s">
        <x:v>2183</x:v>
      </x:c>
      <x:c r="D4" s="182">
        <x:v>97345</x:v>
      </x:c>
      <x:c r="E4" s="181" t="s">
        <x:v>1559</x:v>
      </x:c>
      <x:c r="F4" s="180" t="s">
        <x:v>1162</x:v>
      </x:c>
    </x:row>
    <x:row r="5" spans="1:6">
      <x:c r="A5" s="183" t="s">
        <x:v>3108</x:v>
      </x:c>
      <x:c r="B5" s="183" t="s">
        <x:v>3321</x:v>
      </x:c>
      <x:c r="C5" s="183" t="s">
        <x:v>2260</x:v>
      </x:c>
      <x:c r="D5" s="182">
        <x:v>97346</x:v>
      </x:c>
      <x:c r="E5" s="181" t="s">
        <x:v>1559</x:v>
      </x:c>
      <x:c r="F5" s="180" t="s">
        <x:v>1504</x:v>
      </x:c>
    </x:row>
    <x:row r="6" spans="1:6">
      <x:c r="A6" s="183" t="s">
        <x:v>3082</x:v>
      </x:c>
      <x:c r="B6" s="183" t="s">
        <x:v>3214</x:v>
      </x:c>
      <x:c r="C6" s="183" t="s">
        <x:v>2196</x:v>
      </x:c>
      <x:c r="D6" s="182">
        <x:v>97347</x:v>
      </x:c>
      <x:c r="E6" s="181" t="s">
        <x:v>1559</x:v>
      </x:c>
      <x:c r="F6" s="180" t="s">
        <x:v>1492</x:v>
      </x:c>
    </x:row>
    <x:row r="7" spans="1:6">
      <x:c r="A7" s="183" t="s">
        <x:v>3121</x:v>
      </x:c>
      <x:c r="B7" s="183" t="s">
        <x:v>3242</x:v>
      </x:c>
      <x:c r="C7" s="183" t="s">
        <x:v>2208</x:v>
      </x:c>
      <x:c r="D7" s="182">
        <x:v>97348</x:v>
      </x:c>
      <x:c r="E7" s="181" t="s">
        <x:v>1559</x:v>
      </x:c>
      <x:c r="F7" s="180" t="s">
        <x:v>1434</x:v>
      </x:c>
    </x:row>
    <x:row r="8" spans="1:7">
      <x:c r="A8" s="183" t="s">
        <x:v>3092</x:v>
      </x:c>
      <x:c r="B8" s="183" t="s">
        <x:v>3178</x:v>
      </x:c>
      <x:c r="C8" s="183" t="s">
        <x:v>2254</x:v>
      </x:c>
      <x:c r="D8" s="182">
        <x:v>97349</x:v>
      </x:c>
      <x:c r="E8" s="241" t="s">
        <x:v>939</x:v>
      </x:c>
      <x:c r="F8" s="242" t="s">
        <x:v>1524</x:v>
      </x:c>
      <x:c r="G8" s="240" t="s">
        <x:v>1835</x:v>
      </x:c>
    </x:row>
    <x:row r="9" spans="1:6">
      <x:c r="A9" s="183" t="s">
        <x:v>3088</x:v>
      </x:c>
      <x:c r="B9" s="183" t="s">
        <x:v>3240</x:v>
      </x:c>
      <x:c r="C9" s="183" t="s">
        <x:v>2221</x:v>
      </x:c>
      <x:c r="D9" s="182">
        <x:v>97350</x:v>
      </x:c>
      <x:c r="E9" s="181" t="s">
        <x:v>1418</x:v>
      </x:c>
      <x:c r="F9" s="184" t="s">
        <x:v>1462</x:v>
      </x:c>
    </x:row>
    <x:row r="10" spans="1:6">
      <x:c r="A10" s="183" t="s">
        <x:v>3102</x:v>
      </x:c>
      <x:c r="B10" s="183" t="s">
        <x:v>3206</x:v>
      </x:c>
      <x:c r="C10" s="183" t="s">
        <x:v>2190</x:v>
      </x:c>
      <x:c r="D10" s="182">
        <x:v>97351</x:v>
      </x:c>
      <x:c r="E10" s="181" t="s">
        <x:v>1418</x:v>
      </x:c>
      <x:c r="F10" s="180" t="s">
        <x:v>1503</x:v>
      </x:c>
    </x:row>
    <x:row r="11" spans="1:6">
      <x:c r="A11" s="183" t="s">
        <x:v>3094</x:v>
      </x:c>
      <x:c r="B11" s="183" t="s">
        <x:v>3236</x:v>
      </x:c>
      <x:c r="C11" s="183" t="s">
        <x:v>2239</x:v>
      </x:c>
      <x:c r="D11" s="182">
        <x:v>97352</x:v>
      </x:c>
      <x:c r="E11" s="181" t="s">
        <x:v>1418</x:v>
      </x:c>
      <x:c r="F11" s="180" t="s">
        <x:v>1437</x:v>
      </x:c>
    </x:row>
    <x:row r="12" spans="1:6">
      <x:c r="A12" s="183" t="s">
        <x:v>3091</x:v>
      </x:c>
      <x:c r="B12" s="183" t="s">
        <x:v>3305</x:v>
      </x:c>
      <x:c r="C12" s="183" t="s">
        <x:v>2257</x:v>
      </x:c>
      <x:c r="D12" s="182">
        <x:v>97353</x:v>
      </x:c>
      <x:c r="E12" s="181" t="s">
        <x:v>1418</x:v>
      </x:c>
      <x:c r="F12" s="180" t="s">
        <x:v>13</x:v>
      </x:c>
    </x:row>
    <x:row r="13" spans="1:7">
      <x:c r="A13" s="183" t="s">
        <x:v>3109</x:v>
      </x:c>
      <x:c r="B13" s="183" t="s">
        <x:v>3301</x:v>
      </x:c>
      <x:c r="C13" s="183" t="s">
        <x:v>2244</x:v>
      </x:c>
      <x:c r="D13" s="182">
        <x:v>97354</x:v>
      </x:c>
      <x:c r="E13" s="241" t="s">
        <x:v>940</x:v>
      </x:c>
      <x:c r="F13" s="243" t="s">
        <x:v>1847</x:v>
      </x:c>
      <x:c r="G13" s="240" t="s">
        <x:v>837</x:v>
      </x:c>
    </x:row>
    <x:row r="14" spans="1:6">
      <x:c r="A14" s="183" t="s">
        <x:v>3113</x:v>
      </x:c>
      <x:c r="B14" s="183" t="s">
        <x:v>3241</x:v>
      </x:c>
      <x:c r="C14" s="183" t="s">
        <x:v>2197</x:v>
      </x:c>
      <x:c r="D14" s="182">
        <x:v>97355</x:v>
      </x:c>
      <x:c r="E14" s="181" t="s">
        <x:v>1418</x:v>
      </x:c>
      <x:c r="F14" s="180" t="s">
        <x:v>1458</x:v>
      </x:c>
    </x:row>
    <x:row r="15" spans="1:6">
      <x:c r="A15" s="183" t="s">
        <x:v>3085</x:v>
      </x:c>
      <x:c r="B15" s="183" t="s">
        <x:v>3324</x:v>
      </x:c>
      <x:c r="C15" s="183" t="s">
        <x:v>2186</x:v>
      </x:c>
      <x:c r="D15" s="182">
        <x:v>97356</x:v>
      </x:c>
      <x:c r="E15" s="181" t="s">
        <x:v>1418</x:v>
      </x:c>
      <x:c r="F15" s="180" t="s">
        <x:v>1555</x:v>
      </x:c>
    </x:row>
    <x:row r="16" spans="1:6">
      <x:c r="A16" s="183" t="s">
        <x:v>3122</x:v>
      </x:c>
      <x:c r="B16" s="183" t="s">
        <x:v>3299</x:v>
      </x:c>
      <x:c r="C16" s="183" t="s">
        <x:v>2258</x:v>
      </x:c>
      <x:c r="D16" s="182">
        <x:v>97357</x:v>
      </x:c>
      <x:c r="E16" s="181" t="s">
        <x:v>1418</x:v>
      </x:c>
      <x:c r="F16" s="180" t="s">
        <x:v>1586</x:v>
      </x:c>
    </x:row>
    <x:row r="17" spans="1:6">
      <x:c r="A17" s="183" t="s">
        <x:v>3127</x:v>
      </x:c>
      <x:c r="B17" s="183" t="s">
        <x:v>3215</x:v>
      </x:c>
      <x:c r="C17" s="183" t="s">
        <x:v>2200</x:v>
      </x:c>
      <x:c r="D17" s="182">
        <x:v>97358</x:v>
      </x:c>
      <x:c r="E17" s="181" t="s">
        <x:v>1418</x:v>
      </x:c>
      <x:c r="F17" s="180" t="s">
        <x:v>1578</x:v>
      </x:c>
    </x:row>
    <x:row r="18" spans="1:6">
      <x:c r="A18" s="183" t="s">
        <x:v>3098</x:v>
      </x:c>
      <x:c r="B18" s="183" t="s">
        <x:v>3327</x:v>
      </x:c>
      <x:c r="C18" s="183" t="s">
        <x:v>2224</x:v>
      </x:c>
      <x:c r="D18" s="182">
        <x:v>97359</x:v>
      </x:c>
      <x:c r="E18" s="181" t="s">
        <x:v>1418</x:v>
      </x:c>
      <x:c r="F18" s="180" t="s">
        <x:v>1567</x:v>
      </x:c>
    </x:row>
    <x:row r="19" spans="1:6">
      <x:c r="A19" s="183" t="s">
        <x:v>3114</x:v>
      </x:c>
      <x:c r="B19" s="183" t="s">
        <x:v>3189</x:v>
      </x:c>
      <x:c r="C19" s="183" t="s">
        <x:v>2188</x:v>
      </x:c>
      <x:c r="D19" s="182">
        <x:v>97360</x:v>
      </x:c>
      <x:c r="E19" s="181" t="s">
        <x:v>1585</x:v>
      </x:c>
      <x:c r="F19" s="180" t="s">
        <x:v>1548</x:v>
      </x:c>
    </x:row>
    <x:row r="20" spans="1:6">
      <x:c r="A20" s="183" t="s">
        <x:v>3112</x:v>
      </x:c>
      <x:c r="B20" s="183" t="s">
        <x:v>3332</x:v>
      </x:c>
      <x:c r="C20" s="183" t="s">
        <x:v>2211</x:v>
      </x:c>
      <x:c r="D20" s="182">
        <x:v>97361</x:v>
      </x:c>
      <x:c r="E20" s="181" t="s">
        <x:v>1585</x:v>
      </x:c>
      <x:c r="F20" s="180" t="s">
        <x:v>1584</x:v>
      </x:c>
    </x:row>
    <x:row r="21" spans="1:6">
      <x:c r="A21" s="183" t="s">
        <x:v>3132</x:v>
      </x:c>
      <x:c r="B21" s="183" t="s">
        <x:v>3333</x:v>
      </x:c>
      <x:c r="C21" s="183" t="s">
        <x:v>2199</x:v>
      </x:c>
      <x:c r="D21" s="182">
        <x:v>97362</x:v>
      </x:c>
      <x:c r="E21" s="181" t="s">
        <x:v>1585</x:v>
      </x:c>
      <x:c r="F21" s="180" t="s">
        <x:v>1563</x:v>
      </x:c>
    </x:row>
    <x:row r="22" spans="1:6">
      <x:c r="A22" s="183" t="s">
        <x:v>3086</x:v>
      </x:c>
      <x:c r="B22" s="183" t="s">
        <x:v>3231</x:v>
      </x:c>
      <x:c r="C22" s="183" t="s">
        <x:v>2222</x:v>
      </x:c>
      <x:c r="D22" s="182">
        <x:v>97363</x:v>
      </x:c>
      <x:c r="E22" s="181" t="s">
        <x:v>1585</x:v>
      </x:c>
      <x:c r="F22" s="180" t="s">
        <x:v>1520</x:v>
      </x:c>
    </x:row>
    <x:row r="23" spans="1:6">
      <x:c r="A23" s="183" t="s">
        <x:v>3128</x:v>
      </x:c>
      <x:c r="B23" s="183" t="s">
        <x:v>3195</x:v>
      </x:c>
      <x:c r="C23" s="183" t="s">
        <x:v>2273</x:v>
      </x:c>
      <x:c r="D23" s="182">
        <x:v>97364</x:v>
      </x:c>
      <x:c r="E23" s="181" t="s">
        <x:v>1585</x:v>
      </x:c>
      <x:c r="F23" s="180" t="s">
        <x:v>1275</x:v>
      </x:c>
    </x:row>
    <x:row r="24" spans="1:6">
      <x:c r="A24" s="183" t="s">
        <x:v>3130</x:v>
      </x:c>
      <x:c r="B24" s="183" t="s">
        <x:v>3310</x:v>
      </x:c>
      <x:c r="C24" s="183" t="s">
        <x:v>2233</x:v>
      </x:c>
      <x:c r="D24" s="182">
        <x:v>97365</x:v>
      </x:c>
      <x:c r="E24" s="181" t="s">
        <x:v>1585</x:v>
      </x:c>
      <x:c r="F24" s="180" t="s">
        <x:v>1516</x:v>
      </x:c>
    </x:row>
    <x:row r="25" spans="1:6">
      <x:c r="A25" s="183" t="s">
        <x:v>3116</x:v>
      </x:c>
      <x:c r="B25" s="183" t="s">
        <x:v>3303</x:v>
      </x:c>
      <x:c r="C25" s="183" t="s">
        <x:v>2247</x:v>
      </x:c>
      <x:c r="D25" s="182">
        <x:v>97366</x:v>
      </x:c>
      <x:c r="E25" s="181" t="s">
        <x:v>1585</x:v>
      </x:c>
      <x:c r="F25" s="180" t="s">
        <x:v>1551</x:v>
      </x:c>
    </x:row>
    <x:row r="26" spans="1:6">
      <x:c r="A26" s="183" t="s">
        <x:v>3101</x:v>
      </x:c>
      <x:c r="B26" s="183" t="s">
        <x:v>3183</x:v>
      </x:c>
      <x:c r="C26" s="183" t="s">
        <x:v>2251</x:v>
      </x:c>
      <x:c r="D26" s="182">
        <x:v>97367</x:v>
      </x:c>
      <x:c r="E26" s="181" t="s">
        <x:v>1585</x:v>
      </x:c>
      <x:c r="F26" s="180" t="s">
        <x:v>1524</x:v>
      </x:c>
    </x:row>
    <x:row r="27" spans="1:6">
      <x:c r="A27" s="183" t="s">
        <x:v>3125</x:v>
      </x:c>
      <x:c r="B27" s="183" t="s">
        <x:v>3202</x:v>
      </x:c>
      <x:c r="C27" s="183" t="s">
        <x:v>2226</x:v>
      </x:c>
      <x:c r="D27" s="182">
        <x:v>97368</x:v>
      </x:c>
      <x:c r="E27" s="181" t="s">
        <x:v>1577</x:v>
      </x:c>
      <x:c r="F27" s="180" t="s">
        <x:v>1553</x:v>
      </x:c>
    </x:row>
    <x:row r="28" spans="1:6">
      <x:c r="A28" s="183" t="s">
        <x:v>3099</x:v>
      </x:c>
      <x:c r="B28" s="183" t="s">
        <x:v>3186</x:v>
      </x:c>
      <x:c r="C28" s="183" t="s">
        <x:v>2189</x:v>
      </x:c>
      <x:c r="D28" s="182">
        <x:v>97369</x:v>
      </x:c>
      <x:c r="E28" s="181" t="s">
        <x:v>1577</x:v>
      </x:c>
      <x:c r="F28" s="180" t="s">
        <x:v>1554</x:v>
      </x:c>
    </x:row>
    <x:row r="29" spans="1:6">
      <x:c r="A29" s="183" t="s">
        <x:v>3105</x:v>
      </x:c>
      <x:c r="B29" s="183" t="s">
        <x:v>3192</x:v>
      </x:c>
      <x:c r="C29" s="183" t="s">
        <x:v>2202</x:v>
      </x:c>
      <x:c r="D29" s="182">
        <x:v>97370</x:v>
      </x:c>
      <x:c r="E29" s="181" t="s">
        <x:v>1577</x:v>
      </x:c>
      <x:c r="F29" s="180" t="s">
        <x:v>1550</x:v>
      </x:c>
    </x:row>
    <x:row r="30" spans="1:6">
      <x:c r="A30" s="183" t="s">
        <x:v>3119</x:v>
      </x:c>
      <x:c r="B30" s="183" t="s">
        <x:v>3180</x:v>
      </x:c>
      <x:c r="C30" s="183" t="s">
        <x:v>2253</x:v>
      </x:c>
      <x:c r="D30" s="182">
        <x:v>97371</x:v>
      </x:c>
      <x:c r="E30" s="181" t="s">
        <x:v>1577</x:v>
      </x:c>
      <x:c r="F30" s="180" t="s">
        <x:v>1556</x:v>
      </x:c>
    </x:row>
    <x:row r="31" spans="1:6">
      <x:c r="A31" s="183" t="s">
        <x:v>3097</x:v>
      </x:c>
      <x:c r="B31" s="183" t="s">
        <x:v>3182</x:v>
      </x:c>
      <x:c r="C31" s="183" t="s">
        <x:v>2209</x:v>
      </x:c>
      <x:c r="D31" s="182">
        <x:v>97372</x:v>
      </x:c>
      <x:c r="E31" s="181" t="s">
        <x:v>1577</x:v>
      </x:c>
      <x:c r="F31" s="180" t="s">
        <x:v>1292</x:v>
      </x:c>
    </x:row>
    <x:row r="32" spans="1:6">
      <x:c r="A32" s="183" t="s">
        <x:v>3084</x:v>
      </x:c>
      <x:c r="B32" s="183" t="s">
        <x:v>3177</x:v>
      </x:c>
      <x:c r="C32" s="183" t="s">
        <x:v>2231</x:v>
      </x:c>
      <x:c r="D32" s="182">
        <x:v>97373</x:v>
      </x:c>
      <x:c r="E32" s="181" t="s">
        <x:v>1577</x:v>
      </x:c>
      <x:c r="F32" s="180" t="s">
        <x:v>1570</x:v>
      </x:c>
    </x:row>
    <x:row r="33" spans="1:6">
      <x:c r="A33" s="183" t="s">
        <x:v>3107</x:v>
      </x:c>
      <x:c r="B33" s="183" t="s">
        <x:v>3217</x:v>
      </x:c>
      <x:c r="C33" s="183" t="s">
        <x:v>2259</x:v>
      </x:c>
      <x:c r="D33" s="182">
        <x:v>97374</x:v>
      </x:c>
      <x:c r="E33" s="181" t="s">
        <x:v>1577</x:v>
      </x:c>
      <x:c r="F33" s="180" t="s">
        <x:v>705</x:v>
      </x:c>
    </x:row>
    <x:row r="34" spans="1:6">
      <x:c r="A34" s="183" t="s">
        <x:v>3126</x:v>
      </x:c>
      <x:c r="B34" s="183" t="s">
        <x:v>3296</x:v>
      </x:c>
      <x:c r="C34" s="183" t="s">
        <x:v>2243</x:v>
      </x:c>
      <x:c r="D34" s="182">
        <x:v>97375</x:v>
      </x:c>
      <x:c r="E34" s="181" t="s">
        <x:v>1585</x:v>
      </x:c>
      <x:c r="F34" s="180" t="s">
        <x:v>1474</x:v>
      </x:c>
    </x:row>
    <x:row r="35" spans="5:9">
      <x:c r="E35" s="244" t="s">
        <x:v>940</x:v>
      </x:c>
      <x:c r="F35" s="245" t="s">
        <x:v>1847</x:v>
      </x:c>
      <x:c r="G35" s="179" t="s">
        <x:v>1123</x:v>
      </x:c>
      <x:c r="I35" s="240" t="s">
        <x:v>1816</x:v>
      </x:c>
    </x:row>
  </x:sheetData>
  <x:pageMargins left="0.75" right="0.75" top="1" bottom="1" header="0.5" footer="0.5"/>
  <x:pageSetup paperSize="1" scale="100" firstPageNumber="1" fitToWidth="1" fitToHeight="1" orientation="portrait" usePrinterDefaults="1" blackAndWhite="0" draft="0" useFirstPageNumber="0" horizontalDpi="300" verticalDpi="300" copies="1"/>
  <x:headerFooter differentOddEven="0" differentFirst="0" scaleWithDoc="1" alignWithMargin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C12"/>
  <x:sheetViews>
    <x:sheetView topLeftCell="A1" zoomScaleNormal="100" zoomScaleSheetLayoutView="100" workbookViewId="0">
      <x:selection activeCell="B5" activeCellId="0" sqref="B5:B5"/>
    </x:sheetView>
  </x:sheetViews>
  <x:sheetFormatPr defaultColWidth="8.83203125" defaultRowHeight="13.55000000000000071054"/>
  <x:cols>
    <x:col min="2" max="2" width="24" customWidth="1"/>
  </x:cols>
  <x:sheetData>
    <x:row r="1" spans="1:3">
      <x:c r="A1" s="327" t="s">
        <x:v>3287</x:v>
      </x:c>
      <x:c r="B1" s="327"/>
      <x:c r="C1" s="327"/>
    </x:row>
    <x:row r="3" spans="1:3">
      <x:c r="A3" t="s">
        <x:v>1485</x:v>
      </x:c>
      <x:c r="B3" t="s">
        <x:v>1252</x:v>
      </x:c>
      <x:c r="C3" t="s">
        <x:v>1457</x:v>
      </x:c>
    </x:row>
    <x:row r="4" spans="1:3">
      <x:c r="A4" t="s">
        <x:v>1471</x:v>
      </x:c>
      <x:c r="B4" t="s">
        <x:v>2084</x:v>
      </x:c>
      <x:c r="C4" t="s">
        <x:v>1457</x:v>
      </x:c>
    </x:row>
    <x:row r="5" spans="2:3">
      <x:c r="B5" t="s">
        <x:v>1881</x:v>
      </x:c>
      <x:c r="C5" t="s">
        <x:v>1457</x:v>
      </x:c>
    </x:row>
    <x:row r="6" spans="2:3">
      <x:c r="B6" t="s">
        <x:v>1459</x:v>
      </x:c>
      <x:c r="C6" t="s">
        <x:v>1457</x:v>
      </x:c>
    </x:row>
    <x:row r="7" spans="2:3">
      <x:c r="B7" t="s">
        <x:v>1823</x:v>
      </x:c>
      <x:c r="C7" t="s">
        <x:v>1457</x:v>
      </x:c>
    </x:row>
    <x:row r="8" spans="1:3">
      <x:c r="A8" t="s">
        <x:v>1472</x:v>
      </x:c>
      <x:c r="B8" t="s">
        <x:v>1985</x:v>
      </x:c>
      <x:c r="C8" t="s">
        <x:v>1457</x:v>
      </x:c>
    </x:row>
    <x:row r="9" spans="2:3">
      <x:c r="B9" t="s">
        <x:v>1986</x:v>
      </x:c>
      <x:c r="C9" t="s">
        <x:v>1457</x:v>
      </x:c>
    </x:row>
    <x:row r="10" spans="2:3">
      <x:c r="B10" t="s">
        <x:v>1467</x:v>
      </x:c>
      <x:c r="C10" t="s">
        <x:v>1457</x:v>
      </x:c>
    </x:row>
    <x:row r="11" spans="1:3">
      <x:c r="A11" t="s">
        <x:v>1510</x:v>
      </x:c>
      <x:c r="B11" t="s">
        <x:v>1825</x:v>
      </x:c>
      <x:c r="C11" t="s">
        <x:v>1457</x:v>
      </x:c>
    </x:row>
    <x:row r="12" spans="1:3">
      <x:c r="A12" t="s">
        <x:v>1505</x:v>
      </x:c>
      <x:c r="B12" t="s">
        <x:v>1847</x:v>
      </x:c>
      <x:c r="C12" t="s">
        <x:v>1487</x:v>
      </x:c>
    </x:row>
  </x:sheetData>
  <x:mergeCells count="1">
    <x:mergeCell ref="A1:C1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A1:D26"/>
  <x:sheetViews>
    <x:sheetView topLeftCell="A13" zoomScaleNormal="100" zoomScaleSheetLayoutView="100" workbookViewId="0">
      <x:selection activeCell="B6" activeCellId="0" sqref="B6:B6"/>
    </x:sheetView>
  </x:sheetViews>
  <x:sheetFormatPr defaultColWidth="8.83203125" defaultRowHeight="13.55000000000000071054"/>
  <x:cols>
    <x:col min="1" max="1" width="12.6640625" customWidth="1"/>
    <x:col min="2" max="2" width="31.4140625" customWidth="1"/>
    <x:col min="3" max="3" width="26.58203125" customWidth="1"/>
    <x:col min="4" max="4" width="11.33203125" customWidth="1"/>
  </x:cols>
  <x:sheetData>
    <x:row r="1" spans="1:4" ht="24.64999999999999857891" customHeight="1">
      <x:c r="A1" s="267" t="s">
        <x:v>1498</x:v>
      </x:c>
      <x:c r="B1" s="268" t="s">
        <x:v>1499</x:v>
      </x:c>
      <x:c r="C1" s="268" t="s">
        <x:v>1970</x:v>
      </x:c>
      <x:c r="D1" s="268" t="s">
        <x:v>1857</x:v>
      </x:c>
    </x:row>
    <x:row r="2" spans="1:4" ht="24.64999999999999857891" customHeight="1">
      <x:c r="A2" s="269" t="s">
        <x:v>1865</x:v>
      </x:c>
      <x:c r="B2" s="270" t="s">
        <x:v>3198</x:v>
      </x:c>
      <x:c r="C2" s="270" t="s">
        <x:v>921</x:v>
      </x:c>
      <x:c r="D2" s="270" t="s">
        <x:v>1613</x:v>
      </x:c>
    </x:row>
    <x:row r="3" spans="1:4" ht="24.64999999999999857891" customHeight="1">
      <x:c r="A3" s="269" t="s">
        <x:v>1859</x:v>
      </x:c>
      <x:c r="B3" s="270" t="s">
        <x:v>3198</x:v>
      </x:c>
      <x:c r="C3" s="270" t="s">
        <x:v>922</x:v>
      </x:c>
      <x:c r="D3" s="270" t="s">
        <x:v>1613</x:v>
      </x:c>
    </x:row>
    <x:row r="4" spans="1:4" ht="24.64999999999999857891" customHeight="1">
      <x:c r="A4" s="269" t="s">
        <x:v>1635</x:v>
      </x:c>
      <x:c r="B4" s="270" t="s">
        <x:v>3198</x:v>
      </x:c>
      <x:c r="C4" s="270" t="s">
        <x:v>924</x:v>
      </x:c>
      <x:c r="D4" s="270" t="s">
        <x:v>1613</x:v>
      </x:c>
    </x:row>
    <x:row r="5" spans="1:4" ht="24.64999999999999857891" customHeight="1">
      <x:c r="A5" s="269" t="s">
        <x:v>1863</x:v>
      </x:c>
      <x:c r="B5" s="270" t="s">
        <x:v>3198</x:v>
      </x:c>
      <x:c r="C5" s="270" t="s">
        <x:v>931</x:v>
      </x:c>
      <x:c r="D5" s="270" t="s">
        <x:v>1613</x:v>
      </x:c>
    </x:row>
    <x:row r="6" spans="1:4" ht="24.64999999999999857891" customHeight="1">
      <x:c r="A6" s="269" t="s">
        <x:v>1858</x:v>
      </x:c>
      <x:c r="B6" s="270" t="s">
        <x:v>3198</x:v>
      </x:c>
      <x:c r="C6" s="270" t="s">
        <x:v>927</x:v>
      </x:c>
      <x:c r="D6" s="270" t="s">
        <x:v>1613</x:v>
      </x:c>
    </x:row>
    <x:row r="7" spans="1:4" ht="24.64999999999999857891" customHeight="1">
      <x:c r="A7" s="269" t="s">
        <x:v>1851</x:v>
      </x:c>
      <x:c r="B7" s="270" t="s">
        <x:v>3198</x:v>
      </x:c>
      <x:c r="C7" s="270" t="s">
        <x:v>928</x:v>
      </x:c>
      <x:c r="D7" s="270" t="s">
        <x:v>1613</x:v>
      </x:c>
    </x:row>
    <x:row r="8" spans="1:4" ht="24.64999999999999857891" customHeight="1">
      <x:c r="A8" s="269" t="s">
        <x:v>1889</x:v>
      </x:c>
      <x:c r="B8" s="270" t="s">
        <x:v>3198</x:v>
      </x:c>
      <x:c r="C8" s="270" t="s">
        <x:v>937</x:v>
      </x:c>
      <x:c r="D8" s="270" t="s">
        <x:v>1613</x:v>
      </x:c>
    </x:row>
    <x:row r="9" spans="1:4" ht="24.64999999999999857891" customHeight="1">
      <x:c r="A9" s="269" t="s">
        <x:v>1853</x:v>
      </x:c>
      <x:c r="B9" s="270" t="s">
        <x:v>3198</x:v>
      </x:c>
      <x:c r="C9" s="270" t="s">
        <x:v>910</x:v>
      </x:c>
      <x:c r="D9" s="270" t="s">
        <x:v>1613</x:v>
      </x:c>
    </x:row>
    <x:row r="10" spans="1:4" ht="24.64999999999999857891" customHeight="1">
      <x:c r="A10" s="269" t="s">
        <x:v>1850</x:v>
      </x:c>
      <x:c r="B10" s="270" t="s">
        <x:v>2272</x:v>
      </x:c>
      <x:c r="C10" s="270" t="s">
        <x:v>898</x:v>
      </x:c>
      <x:c r="D10" s="270" t="s">
        <x:v>1613</x:v>
      </x:c>
    </x:row>
    <x:row r="11" spans="1:4" ht="24.64999999999999857891" customHeight="1">
      <x:c r="A11" s="269" t="s">
        <x:v>1862</x:v>
      </x:c>
      <x:c r="B11" s="270" t="s">
        <x:v>2272</x:v>
      </x:c>
      <x:c r="C11" s="270" t="s">
        <x:v>907</x:v>
      </x:c>
      <x:c r="D11" s="270" t="s">
        <x:v>1613</x:v>
      </x:c>
    </x:row>
    <x:row r="12" spans="1:4" ht="24.64999999999999857891" customHeight="1">
      <x:c r="A12" s="269" t="s">
        <x:v>1819</x:v>
      </x:c>
      <x:c r="B12" s="270" t="s">
        <x:v>2266</x:v>
      </x:c>
      <x:c r="C12" s="270" t="s">
        <x:v>933</x:v>
      </x:c>
      <x:c r="D12" s="270" t="s">
        <x:v>1613</x:v>
      </x:c>
    </x:row>
    <x:row r="13" spans="1:4" ht="24.64999999999999857891" customHeight="1">
      <x:c r="A13" s="269" t="s">
        <x:v>1844</x:v>
      </x:c>
      <x:c r="B13" s="270" t="s">
        <x:v>2272</x:v>
      </x:c>
      <x:c r="C13" s="270" t="s">
        <x:v>913</x:v>
      </x:c>
      <x:c r="D13" s="270" t="s">
        <x:v>1613</x:v>
      </x:c>
    </x:row>
    <x:row r="14" spans="1:4" ht="24.64999999999999857891" customHeight="1">
      <x:c r="A14" s="269" t="s">
        <x:v>1822</x:v>
      </x:c>
      <x:c r="B14" s="270" t="s">
        <x:v>2266</x:v>
      </x:c>
      <x:c r="C14" s="270" t="s">
        <x:v>938</x:v>
      </x:c>
      <x:c r="D14" s="270" t="s">
        <x:v>1613</x:v>
      </x:c>
    </x:row>
    <x:row r="15" spans="1:4" ht="24.64999999999999857891" customHeight="1">
      <x:c r="A15" s="269" t="s">
        <x:v>1848</x:v>
      </x:c>
      <x:c r="B15" s="270" t="s">
        <x:v>2266</x:v>
      </x:c>
      <x:c r="C15" s="270" t="s">
        <x:v>906</x:v>
      </x:c>
      <x:c r="D15" s="270" t="s">
        <x:v>1613</x:v>
      </x:c>
    </x:row>
    <x:row r="16" spans="1:4" ht="24.64999999999999857891" customHeight="1">
      <x:c r="A16" s="269" t="s">
        <x:v>1856</x:v>
      </x:c>
      <x:c r="B16" s="270" t="s">
        <x:v>2272</x:v>
      </x:c>
      <x:c r="C16" s="270" t="s">
        <x:v>932</x:v>
      </x:c>
      <x:c r="D16" s="270" t="s">
        <x:v>1613</x:v>
      </x:c>
    </x:row>
    <x:row r="17" spans="1:4" ht="24.64999999999999857891" customHeight="1">
      <x:c r="A17" s="269" t="s">
        <x:v>1860</x:v>
      </x:c>
      <x:c r="B17" s="270" t="s">
        <x:v>2266</x:v>
      </x:c>
      <x:c r="C17" s="270" t="s">
        <x:v>935</x:v>
      </x:c>
      <x:c r="D17" s="270" t="s">
        <x:v>1613</x:v>
      </x:c>
    </x:row>
    <x:row r="18" spans="1:4" ht="24.64999999999999857891" customHeight="1">
      <x:c r="A18" s="269" t="s">
        <x:v>1626</x:v>
      </x:c>
      <x:c r="B18" s="270" t="s">
        <x:v>3205</x:v>
      </x:c>
      <x:c r="C18" s="271"/>
      <x:c r="D18" s="270" t="s">
        <x:v>1614</x:v>
      </x:c>
    </x:row>
    <x:row r="19" spans="1:4" ht="24.64999999999999857891" customHeight="1">
      <x:c r="A19" s="269" t="s">
        <x:v>1817</x:v>
      </x:c>
      <x:c r="B19" s="270" t="s">
        <x:v>3205</x:v>
      </x:c>
      <x:c r="C19" s="271"/>
      <x:c r="D19" s="270" t="s">
        <x:v>1614</x:v>
      </x:c>
    </x:row>
    <x:row r="20" spans="1:4" ht="24.64999999999999857891" customHeight="1">
      <x:c r="A20" s="269" t="s">
        <x:v>1821</x:v>
      </x:c>
      <x:c r="B20" s="270" t="s">
        <x:v>3205</x:v>
      </x:c>
      <x:c r="C20" s="271"/>
      <x:c r="D20" s="270" t="s">
        <x:v>1614</x:v>
      </x:c>
    </x:row>
    <x:row r="21" spans="1:4" ht="24.64999999999999857891" customHeight="1">
      <x:c r="A21" s="269" t="s">
        <x:v>1832</x:v>
      </x:c>
      <x:c r="B21" s="270" t="s">
        <x:v>3205</x:v>
      </x:c>
      <x:c r="C21" s="271"/>
      <x:c r="D21" s="270" t="s">
        <x:v>1614</x:v>
      </x:c>
    </x:row>
    <x:row r="22" spans="1:4" ht="24.64999999999999857891" customHeight="1">
      <x:c r="A22" s="269" t="s">
        <x:v>1855</x:v>
      </x:c>
      <x:c r="B22" s="270" t="s">
        <x:v>3205</x:v>
      </x:c>
      <x:c r="C22" s="271"/>
      <x:c r="D22" s="270" t="s">
        <x:v>1614</x:v>
      </x:c>
    </x:row>
    <x:row r="23" spans="1:4" ht="24.64999999999999857891" customHeight="1">
      <x:c r="A23" s="269" t="s">
        <x:v>1818</x:v>
      </x:c>
      <x:c r="B23" s="270" t="s">
        <x:v>3205</x:v>
      </x:c>
      <x:c r="C23" s="271"/>
      <x:c r="D23" s="270" t="s">
        <x:v>1614</x:v>
      </x:c>
    </x:row>
    <x:row r="24" spans="1:4" ht="24.64999999999999857891" customHeight="1">
      <x:c r="A24" s="269" t="s">
        <x:v>1831</x:v>
      </x:c>
      <x:c r="B24" s="270" t="s">
        <x:v>3205</x:v>
      </x:c>
      <x:c r="C24" s="271"/>
      <x:c r="D24" s="270" t="s">
        <x:v>1614</x:v>
      </x:c>
    </x:row>
    <x:row r="25" spans="1:4" ht="24.64999999999999857891" customHeight="1">
      <x:c r="A25" s="269" t="s">
        <x:v>1830</x:v>
      </x:c>
      <x:c r="B25" s="270" t="s">
        <x:v>3205</x:v>
      </x:c>
      <x:c r="C25" s="271"/>
      <x:c r="D25" s="270" t="s">
        <x:v>1614</x:v>
      </x:c>
    </x:row>
    <x:row r="26" spans="1:4" ht="24.64999999999999857891" customHeight="1">
      <x:c r="A26" s="269" t="s">
        <x:v>1845</x:v>
      </x:c>
      <x:c r="B26" s="270" t="s">
        <x:v>2272</x:v>
      </x:c>
      <x:c r="C26" s="270" t="s">
        <x:v>902</x:v>
      </x:c>
      <x:c r="D26" s="270" t="s">
        <x:v>1613</x:v>
      </x:c>
    </x:row>
  </x:sheetData>
  <x:pageMargins left="0.51138889789581298828" right="0.31486111879348754883" top="0.74750000238418579102" bottom="0.55097222328186035156" header="0.31486111879348754883" footer="0.31486111879348754883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BH92"/>
  <x:sheetViews>
    <x:sheetView topLeftCell="A1" zoomScaleNormal="100" zoomScaleSheetLayoutView="100" workbookViewId="0">
      <x:selection activeCell="J37" activeCellId="0" sqref="J37:J37"/>
    </x:sheetView>
  </x:sheetViews>
  <x:sheetFormatPr defaultColWidth="8.9140625" defaultRowHeight="16.39999999999999857891"/>
  <x:cols>
    <x:col min="1" max="1" width="9.83203125" style="11" bestFit="1" customWidth="1"/>
    <x:col min="2" max="2" width="4.6640625" style="11" bestFit="1" customWidth="1"/>
    <x:col min="3" max="3" width="9.83203125" style="11" bestFit="1" customWidth="1"/>
    <x:col min="4" max="4" width="10.1640625" style="11" bestFit="1" customWidth="1"/>
    <x:col min="5" max="6" width="4.6640625" style="11" bestFit="1" customWidth="1"/>
    <x:col min="7" max="7" width="20.83203125" style="11" bestFit="1" customWidth="1"/>
    <x:col min="8" max="8" width="4.6640625" style="11" customWidth="1"/>
    <x:col min="9" max="9" width="9.83203125" style="11" bestFit="1" customWidth="1"/>
    <x:col min="10" max="10" width="7.1640625" style="11" bestFit="1" customWidth="1"/>
    <x:col min="11" max="12" width="4.6640625" style="11" customWidth="1"/>
    <x:col min="13" max="13" width="16.4140625" style="11" bestFit="1" customWidth="1"/>
    <x:col min="14" max="14" width="4.6640625" style="11" bestFit="1" customWidth="1"/>
    <x:col min="15" max="15" width="9.83203125" style="11" bestFit="1" customWidth="1"/>
    <x:col min="16" max="16" width="7.1640625" style="11" bestFit="1" customWidth="1"/>
    <x:col min="17" max="18" width="4.6640625" style="11" bestFit="1" customWidth="1"/>
    <x:col min="19" max="19" width="16.4140625" style="11" bestFit="1" customWidth="1"/>
    <x:col min="20" max="20" width="4.6640625" style="11" bestFit="1" customWidth="1"/>
    <x:col min="21" max="21" width="9.83203125" style="11" bestFit="1" customWidth="1"/>
    <x:col min="22" max="22" width="7.1640625" style="11" bestFit="1" customWidth="1"/>
    <x:col min="23" max="24" width="4.6640625" style="11" bestFit="1" customWidth="1"/>
    <x:col min="25" max="25" width="15.83203125" style="11" bestFit="1" customWidth="1"/>
    <x:col min="26" max="26" width="4.6640625" style="11" bestFit="1" customWidth="1"/>
    <x:col min="27" max="27" width="9.83203125" style="11" bestFit="1" customWidth="1"/>
    <x:col min="28" max="28" width="7.1640625" style="11" bestFit="1" customWidth="1"/>
    <x:col min="29" max="29" width="4.6640625" style="11" customWidth="1"/>
    <x:col min="30" max="30" width="4.6640625" style="11" bestFit="1" customWidth="1"/>
    <x:col min="31" max="31" width="14.6640625" style="11" bestFit="1" customWidth="1"/>
    <x:col min="32" max="32" width="4.6640625" style="11" bestFit="1" customWidth="1"/>
    <x:col min="33" max="33" width="9.83203125" style="11" bestFit="1" customWidth="1"/>
    <x:col min="34" max="34" width="6.33203125" style="11" bestFit="1" customWidth="1"/>
    <x:col min="35" max="35" width="4.6640625" style="11" customWidth="1"/>
    <x:col min="36" max="36" width="4.6640625" style="11" bestFit="1" customWidth="1"/>
    <x:col min="37" max="37" width="9.83203125" style="11" bestFit="1" customWidth="1"/>
    <x:col min="38" max="38" width="4.6640625" style="11" bestFit="1" customWidth="1"/>
    <x:col min="39" max="39" width="9.83203125" style="11" bestFit="1" customWidth="1"/>
    <x:col min="40" max="40" width="4.6640625" style="11" bestFit="1" customWidth="1"/>
    <x:col min="41" max="41" width="4.6640625" style="11" customWidth="1"/>
    <x:col min="42" max="42" width="4.6640625" style="11" bestFit="1" customWidth="1"/>
    <x:col min="43" max="43" width="9.83203125" style="11" bestFit="1" customWidth="1"/>
    <x:col min="44" max="44" width="4.6640625" style="11" bestFit="1" customWidth="1"/>
    <x:col min="45" max="45" width="9.83203125" style="11" bestFit="1" customWidth="1"/>
    <x:col min="46" max="46" width="4.6640625" style="11" bestFit="1" customWidth="1"/>
    <x:col min="47" max="47" width="4.6640625" style="11" customWidth="1"/>
    <x:col min="48" max="48" width="4.6640625" style="11" bestFit="1" customWidth="1"/>
    <x:col min="49" max="49" width="9.83203125" style="11" bestFit="1" customWidth="1"/>
    <x:col min="50" max="50" width="4.6640625" style="11" bestFit="1" customWidth="1"/>
    <x:col min="51" max="51" width="9.83203125" style="11" bestFit="1" customWidth="1"/>
    <x:col min="52" max="52" width="4.6640625" style="11" bestFit="1" customWidth="1"/>
    <x:col min="53" max="53" width="4.6640625" style="11" customWidth="1"/>
    <x:col min="54" max="54" width="4.6640625" style="11" bestFit="1" customWidth="1"/>
    <x:col min="55" max="55" width="9.83203125" style="11" bestFit="1" customWidth="1"/>
    <x:col min="56" max="56" width="4.6640625" style="11" bestFit="1" customWidth="1"/>
    <x:col min="57" max="57" width="9.83203125" style="11" bestFit="1" customWidth="1"/>
    <x:col min="58" max="58" width="4.6640625" style="11" bestFit="1" customWidth="1"/>
    <x:col min="59" max="59" width="4.6640625" style="11" customWidth="1"/>
    <x:col min="60" max="60" width="4.6640625" style="11" bestFit="1" customWidth="1"/>
    <x:col min="61" max="16384" width="8.9140625" style="11"/>
  </x:cols>
  <x:sheetData>
    <x:row r="1" spans="1:18" s="83" customFormat="1" ht="16.75">
      <x:c r="A1" s="328" t="s">
        <x:v>3115</x:v>
      </x:c>
      <x:c r="B1" s="329"/>
      <x:c r="C1" s="329"/>
      <x:c r="D1" s="329"/>
      <x:c r="E1" s="329"/>
      <x:c r="F1" s="330"/>
      <x:c r="G1" s="331" t="s">
        <x:v>3142</x:v>
      </x:c>
      <x:c r="H1" s="332"/>
      <x:c r="I1" s="332"/>
      <x:c r="J1" s="332"/>
      <x:c r="K1" s="332"/>
      <x:c r="L1" s="333"/>
      <x:c r="M1" s="331" t="s">
        <x:v>908</x:v>
      </x:c>
      <x:c r="N1" s="332"/>
      <x:c r="O1" s="332"/>
      <x:c r="P1" s="332"/>
      <x:c r="Q1" s="332"/>
      <x:c r="R1" s="333"/>
    </x:row>
    <x:row r="2" spans="1:18" s="83" customFormat="1">
      <x:c r="A2" s="334" t="s">
        <x:v>1869</x:v>
      </x:c>
      <x:c r="B2" s="335"/>
      <x:c r="C2" s="335"/>
      <x:c r="D2" s="335"/>
      <x:c r="E2" s="335"/>
      <x:c r="F2" s="336"/>
      <x:c r="G2" s="337" t="s">
        <x:v>3136</x:v>
      </x:c>
      <x:c r="H2" s="338"/>
      <x:c r="I2" s="338"/>
      <x:c r="J2" s="338"/>
      <x:c r="K2" s="338"/>
      <x:c r="L2" s="339"/>
      <x:c r="M2" s="337" t="s">
        <x:v>1927</x:v>
      </x:c>
      <x:c r="N2" s="338"/>
      <x:c r="O2" s="338"/>
      <x:c r="P2" s="338"/>
      <x:c r="Q2" s="338"/>
      <x:c r="R2" s="339"/>
    </x:row>
    <x:row r="3" spans="1:18" ht="17.14999999999999857891">
      <x:c r="A3" s="340" t="s">
        <x:v>2230</x:v>
      </x:c>
      <x:c r="B3" s="341"/>
      <x:c r="C3" s="341"/>
      <x:c r="D3" s="341"/>
      <x:c r="E3" s="341"/>
      <x:c r="F3" s="342"/>
      <x:c r="G3" s="340" t="s">
        <x:v>701</x:v>
      </x:c>
      <x:c r="H3" s="341"/>
      <x:c r="I3" s="341"/>
      <x:c r="J3" s="341"/>
      <x:c r="K3" s="341"/>
      <x:c r="L3" s="342"/>
      <x:c r="M3" s="340" t="s">
        <x:v>2213</x:v>
      </x:c>
      <x:c r="N3" s="341"/>
      <x:c r="O3" s="341"/>
      <x:c r="P3" s="341"/>
      <x:c r="Q3" s="341"/>
      <x:c r="R3" s="342"/>
    </x:row>
    <x:row r="4" spans="1:18">
      <x:c r="A4" s="343" t="s">
        <x:v>1246</x:v>
      </x:c>
      <x:c r="B4" s="310"/>
      <x:c r="C4" s="344" t="s">
        <x:v>1260</x:v>
      </x:c>
      <x:c r="D4" s="345"/>
      <x:c r="E4" s="310"/>
      <x:c r="F4" s="346" t="s">
        <x:v>1583</x:v>
      </x:c>
      <x:c r="G4" s="343" t="s">
        <x:v>1246</x:v>
      </x:c>
      <x:c r="H4" s="310"/>
      <x:c r="I4" s="344" t="s">
        <x:v>1260</x:v>
      </x:c>
      <x:c r="J4" s="345"/>
      <x:c r="K4" s="310"/>
      <x:c r="L4" s="346" t="s">
        <x:v>1583</x:v>
      </x:c>
      <x:c r="M4" s="343" t="s">
        <x:v>1246</x:v>
      </x:c>
      <x:c r="N4" s="310"/>
      <x:c r="O4" s="344" t="s">
        <x:v>1260</x:v>
      </x:c>
      <x:c r="P4" s="345"/>
      <x:c r="Q4" s="310"/>
      <x:c r="R4" s="346" t="s">
        <x:v>1583</x:v>
      </x:c>
    </x:row>
    <x:row r="5" spans="1:18" s="1" customFormat="1">
      <x:c r="A5" s="80" t="s">
        <x:v>2061</x:v>
      </x:c>
      <x:c r="B5" s="78" t="s">
        <x:v>1560</x:v>
      </x:c>
      <x:c r="C5" s="31" t="s">
        <x:v>1903</x:v>
      </x:c>
      <x:c r="D5" s="77" t="s">
        <x:v>1409</x:v>
      </x:c>
      <x:c r="E5" s="78" t="s">
        <x:v>1560</x:v>
      </x:c>
      <x:c r="F5" s="347" t="s">
        <x:v>1583</x:v>
      </x:c>
      <x:c r="G5" s="80" t="s">
        <x:v>2061</x:v>
      </x:c>
      <x:c r="H5" s="78" t="s">
        <x:v>1560</x:v>
      </x:c>
      <x:c r="I5" s="31" t="s">
        <x:v>1903</x:v>
      </x:c>
      <x:c r="J5" s="77" t="s">
        <x:v>1409</x:v>
      </x:c>
      <x:c r="K5" s="78" t="s">
        <x:v>1560</x:v>
      </x:c>
      <x:c r="L5" s="347" t="s">
        <x:v>1583</x:v>
      </x:c>
      <x:c r="M5" s="80" t="s">
        <x:v>2061</x:v>
      </x:c>
      <x:c r="N5" s="78" t="s">
        <x:v>1560</x:v>
      </x:c>
      <x:c r="O5" s="31" t="s">
        <x:v>1903</x:v>
      </x:c>
      <x:c r="P5" s="77" t="s">
        <x:v>1409</x:v>
      </x:c>
      <x:c r="Q5" s="78" t="s">
        <x:v>1560</x:v>
      </x:c>
      <x:c r="R5" s="347" t="s">
        <x:v>1583</x:v>
      </x:c>
    </x:row>
    <x:row r="6" spans="1:18" s="1" customFormat="1">
      <x:c r="A6" s="73">
        <x:v>43454</x:v>
      </x:c>
      <x:c r="B6" s="79">
        <x:v>7</x:v>
      </x:c>
      <x:c r="D6" s="98"/>
      <x:c r="E6" s="156"/>
      <x:c r="F6" s="60">
        <x:v>7</x:v>
      </x:c>
      <x:c r="G6" s="73">
        <x:v>43525</x:v>
      </x:c>
      <x:c r="H6" s="79">
        <x:v>5</x:v>
      </x:c>
      <x:c r="K6" s="156"/>
      <x:c r="L6" s="60">
        <x:f>H6</x:f>
        <x:v>5</x:v>
      </x:c>
      <x:c r="M6" s="73">
        <x:v>43525</x:v>
      </x:c>
      <x:c r="N6" s="79">
        <x:v>2</x:v>
      </x:c>
      <x:c r="Q6" s="156"/>
      <x:c r="R6" s="60">
        <x:v>2</x:v>
      </x:c>
    </x:row>
    <x:row r="7" spans="1:18" s="1" customFormat="1">
      <x:c r="A7" s="72"/>
      <x:c r="B7" s="79"/>
      <x:c r="C7" s="84">
        <x:v>43475</x:v>
      </x:c>
      <x:c r="D7" s="1" t="s">
        <x:v>1869</x:v>
      </x:c>
      <x:c r="E7" s="79">
        <x:v>1</x:v>
      </x:c>
      <x:c r="F7" s="60">
        <x:f>F6+B7-E7</x:f>
        <x:v>6</x:v>
      </x:c>
      <x:c r="G7" s="72"/>
      <x:c r="H7" s="79"/>
      <x:c r="I7" s="84">
        <x:v>43537</x:v>
      </x:c>
      <x:c r="J7" s="1" t="s">
        <x:v>1740</x:v>
      </x:c>
      <x:c r="K7" s="79">
        <x:v>1</x:v>
      </x:c>
      <x:c r="L7" s="60">
        <x:f>L6+H7-K7</x:f>
        <x:v>4</x:v>
      </x:c>
      <x:c r="M7" s="72"/>
      <x:c r="N7" s="79"/>
      <x:c r="O7" s="84">
        <x:v>43571</x:v>
      </x:c>
      <x:c r="P7" s="1" t="s">
        <x:v>1579</x:v>
      </x:c>
      <x:c r="Q7" s="79">
        <x:v>1</x:v>
      </x:c>
      <x:c r="R7" s="60">
        <x:f>R6+N7-Q7</x:f>
        <x:v>1</x:v>
      </x:c>
    </x:row>
    <x:row r="8" spans="1:27" s="1" customFormat="1">
      <x:c r="A8" s="72"/>
      <x:c r="B8" s="79"/>
      <x:c r="C8" s="84">
        <x:v>43516</x:v>
      </x:c>
      <x:c r="D8" s="1" t="s">
        <x:v>1947</x:v>
      </x:c>
      <x:c r="E8" s="79">
        <x:v>1</x:v>
      </x:c>
      <x:c r="F8" s="60">
        <x:f t="shared" ref="F8:F24" si="0">F7+B8-E8</x:f>
        <x:v>5</x:v>
      </x:c>
      <x:c r="G8" s="73">
        <x:v>43677</x:v>
      </x:c>
      <x:c r="H8" s="79">
        <x:v>1</x:v>
      </x:c>
      <x:c r="K8" s="79"/>
      <x:c r="L8" s="60">
        <x:f t="shared" ref="L8:L28" si="1">L7+H8-K8</x:f>
        <x:v>5</x:v>
      </x:c>
      <x:c r="O8" s="84">
        <x:v>43636</x:v>
      </x:c>
      <x:c r="P8" s="1" t="s">
        <x:v>1579</x:v>
      </x:c>
      <x:c r="Q8" s="79">
        <x:v>1</x:v>
      </x:c>
      <x:c r="R8" s="60">
        <x:f t="shared" ref="R8:R21" si="2">R7+N8-Q8</x:f>
        <x:v>0</x:v>
      </x:c>
      <x:c r="S8" s="72"/>
      <x:c r="U8" s="154"/>
      <x:c r="Y8" s="154"/>
      <x:c r="AA8" s="154"/>
    </x:row>
    <x:row r="9" spans="1:27" s="1" customFormat="1">
      <x:c r="A9" s="72"/>
      <x:c r="B9" s="79"/>
      <x:c r="C9" s="1" t="s">
        <x:v>1540</x:v>
      </x:c>
      <x:c r="D9" s="1" t="s">
        <x:v>1540</x:v>
      </x:c>
      <x:c r="E9" s="79">
        <x:v>1</x:v>
      </x:c>
      <x:c r="F9" s="60">
        <x:f t="shared" si="0"/>
        <x:v>4</x:v>
      </x:c>
      <x:c r="G9" s="72"/>
      <x:c r="H9" s="79"/>
      <x:c r="I9" s="84">
        <x:v>43621</x:v>
      </x:c>
      <x:c r="J9" s="1" t="s">
        <x:v>1740</x:v>
      </x:c>
      <x:c r="K9" s="79">
        <x:v>2</x:v>
      </x:c>
      <x:c r="L9" s="60">
        <x:f t="shared" si="1"/>
        <x:v>3</x:v>
      </x:c>
      <x:c r="M9" s="73" t="s">
        <x:v>2235</x:v>
      </x:c>
      <x:c r="N9" s="79">
        <x:v>1</x:v>
      </x:c>
      <x:c r="O9" s="84">
        <x:v>43749</x:v>
      </x:c>
      <x:c r="P9" s="1" t="s">
        <x:v>1579</x:v>
      </x:c>
      <x:c r="Q9" s="79">
        <x:v>1</x:v>
      </x:c>
      <x:c r="R9" s="60">
        <x:f t="shared" si="2"/>
        <x:v>0</x:v>
      </x:c>
      <x:c r="S9" s="72"/>
      <x:c r="U9" s="154"/>
      <x:c r="AA9" s="154"/>
    </x:row>
    <x:row r="10" spans="1:27" s="1" customFormat="1">
      <x:c r="A10" s="72"/>
      <x:c r="B10" s="79"/>
      <x:c r="C10" s="84">
        <x:v>43607</x:v>
      </x:c>
      <x:c r="D10" s="1" t="s">
        <x:v>1869</x:v>
      </x:c>
      <x:c r="E10" s="79">
        <x:v>1</x:v>
      </x:c>
      <x:c r="F10" s="60">
        <x:f t="shared" si="0"/>
        <x:v>3</x:v>
      </x:c>
      <x:c r="G10" s="72"/>
      <x:c r="H10" s="79"/>
      <x:c r="I10" s="84">
        <x:v>43677</x:v>
      </x:c>
      <x:c r="J10" s="1" t="s">
        <x:v>1740</x:v>
      </x:c>
      <x:c r="K10" s="79">
        <x:v>1</x:v>
      </x:c>
      <x:c r="L10" s="60">
        <x:f t="shared" si="1"/>
        <x:v>2</x:v>
      </x:c>
      <x:c r="M10" s="114" t="s">
        <x:v>2207</x:v>
      </x:c>
      <x:c r="N10" s="79">
        <x:v>4</x:v>
      </x:c>
      <x:c r="Q10" s="79"/>
      <x:c r="R10" s="60">
        <x:f t="shared" si="2"/>
        <x:v>4</x:v>
      </x:c>
      <x:c r="S10" s="72"/>
      <x:c r="U10" s="154"/>
      <x:c r="AA10" s="154"/>
    </x:row>
    <x:row r="11" spans="1:27" s="1" customFormat="1">
      <x:c r="A11" s="72"/>
      <x:c r="B11" s="79"/>
      <x:c r="C11" s="84">
        <x:v>43671</x:v>
      </x:c>
      <x:c r="D11" s="1" t="s">
        <x:v>1947</x:v>
      </x:c>
      <x:c r="E11" s="79">
        <x:v>1</x:v>
      </x:c>
      <x:c r="F11" s="60">
        <x:f t="shared" si="0"/>
        <x:v>2</x:v>
      </x:c>
      <x:c r="I11" s="84">
        <x:v>43776</x:v>
      </x:c>
      <x:c r="J11" s="1" t="s">
        <x:v>1740</x:v>
      </x:c>
      <x:c r="K11" s="79">
        <x:v>1</x:v>
      </x:c>
      <x:c r="L11" s="60">
        <x:f t="shared" si="1"/>
        <x:v>1</x:v>
      </x:c>
      <x:c r="O11" s="84">
        <x:v>43922</x:v>
      </x:c>
      <x:c r="P11" s="1" t="s">
        <x:v>1579</x:v>
      </x:c>
      <x:c r="Q11" s="79">
        <x:v>1</x:v>
      </x:c>
      <x:c r="R11" s="60">
        <x:f t="shared" si="2"/>
        <x:v>3</x:v>
      </x:c>
      <x:c r="S11" s="72"/>
      <x:c r="U11" s="154"/>
      <x:c r="AA11" s="154"/>
    </x:row>
    <x:row r="12" spans="1:27" s="1" customFormat="1">
      <x:c r="A12" s="72"/>
      <x:c r="B12" s="79"/>
      <x:c r="C12" s="84">
        <x:v>43749</x:v>
      </x:c>
      <x:c r="D12" s="1" t="s">
        <x:v>1869</x:v>
      </x:c>
      <x:c r="E12" s="79">
        <x:v>1</x:v>
      </x:c>
      <x:c r="F12" s="60">
        <x:f t="shared" si="0"/>
        <x:v>1</x:v>
      </x:c>
      <x:c r="G12" s="143" t="s">
        <x:v>2201</x:v>
      </x:c>
      <x:c r="H12" s="79">
        <x:v>5</x:v>
      </x:c>
      <x:c r="K12" s="79"/>
      <x:c r="L12" s="60">
        <x:f t="shared" si="1"/>
        <x:v>6</x:v>
      </x:c>
      <x:c r="M12" s="72"/>
      <x:c r="N12" s="79"/>
      <x:c r="O12" s="84">
        <x:v>44061</x:v>
      </x:c>
      <x:c r="P12" s="1" t="s">
        <x:v>1579</x:v>
      </x:c>
      <x:c r="Q12" s="79">
        <x:v>1</x:v>
      </x:c>
      <x:c r="R12" s="60">
        <x:f t="shared" si="2"/>
        <x:v>2</x:v>
      </x:c>
      <x:c r="S12" s="72"/>
      <x:c r="U12" s="154"/>
      <x:c r="AA12" s="154"/>
    </x:row>
    <x:row r="13" spans="1:27" s="1" customFormat="1">
      <x:c r="A13" s="73">
        <x:v>43849</x:v>
      </x:c>
      <x:c r="B13" s="79">
        <x:v>1</x:v>
      </x:c>
      <x:c r="E13" s="79"/>
      <x:c r="F13" s="60">
        <x:f t="shared" si="0"/>
        <x:v>2</x:v>
      </x:c>
      <x:c r="G13" s="72"/>
      <x:c r="H13" s="79"/>
      <x:c r="I13" s="84">
        <x:v>44010</x:v>
      </x:c>
      <x:c r="J13" s="1" t="s">
        <x:v>1740</x:v>
      </x:c>
      <x:c r="K13" s="79">
        <x:v>1</x:v>
      </x:c>
      <x:c r="L13" s="60">
        <x:f t="shared" si="1"/>
        <x:v>5</x:v>
      </x:c>
      <x:c r="M13" s="72"/>
      <x:c r="N13" s="79"/>
      <x:c r="O13" s="84">
        <x:v>44228</x:v>
      </x:c>
      <x:c r="P13" s="115" t="s">
        <x:v>1947</x:v>
      </x:c>
      <x:c r="Q13" s="79">
        <x:v>1</x:v>
      </x:c>
      <x:c r="R13" s="60">
        <x:f t="shared" si="2"/>
        <x:v>1</x:v>
      </x:c>
      <x:c r="S13" s="72"/>
      <x:c r="U13" s="154"/>
      <x:c r="AA13" s="154"/>
    </x:row>
    <x:row r="14" spans="1:27" s="1" customFormat="1">
      <x:c r="A14" s="73">
        <x:v>43874</x:v>
      </x:c>
      <x:c r="B14" s="79">
        <x:v>7</x:v>
      </x:c>
      <x:c r="E14" s="79"/>
      <x:c r="F14" s="60">
        <x:f t="shared" si="0"/>
        <x:v>9</x:v>
      </x:c>
      <x:c r="G14" s="72"/>
      <x:c r="H14" s="79"/>
      <x:c r="I14" s="84">
        <x:v>44061</x:v>
      </x:c>
      <x:c r="J14" s="1" t="s">
        <x:v>1740</x:v>
      </x:c>
      <x:c r="K14" s="79">
        <x:v>1</x:v>
      </x:c>
      <x:c r="L14" s="60">
        <x:f t="shared" si="1"/>
        <x:v>4</x:v>
      </x:c>
      <x:c r="M14" s="72"/>
      <x:c r="N14" s="79"/>
      <x:c r="O14" s="84">
        <x:v>44249</x:v>
      </x:c>
      <x:c r="P14" s="1" t="s">
        <x:v>1579</x:v>
      </x:c>
      <x:c r="Q14" s="79">
        <x:v>1</x:v>
      </x:c>
      <x:c r="R14" s="60">
        <x:f t="shared" si="2"/>
        <x:v>0</x:v>
      </x:c>
      <x:c r="S14" s="72"/>
      <x:c r="U14" s="154"/>
      <x:c r="AA14" s="154"/>
    </x:row>
    <x:row r="15" spans="1:27" s="1" customFormat="1">
      <x:c r="A15" s="72"/>
      <x:c r="B15" s="79"/>
      <x:c r="C15" s="84">
        <x:v>43755</x:v>
      </x:c>
      <x:c r="D15" s="1" t="s">
        <x:v>1947</x:v>
      </x:c>
      <x:c r="E15" s="79">
        <x:v>1</x:v>
      </x:c>
      <x:c r="F15" s="60">
        <x:f t="shared" si="0"/>
        <x:v>8</x:v>
      </x:c>
      <x:c r="I15" s="84">
        <x:v>44083</x:v>
      </x:c>
      <x:c r="J15" s="1" t="s">
        <x:v>1869</x:v>
      </x:c>
      <x:c r="K15" s="79">
        <x:v>1</x:v>
      </x:c>
      <x:c r="L15" s="60">
        <x:f t="shared" si="1"/>
        <x:v>3</x:v>
      </x:c>
      <x:c r="M15" s="148" t="s">
        <x:v>2234</x:v>
      </x:c>
      <x:c r="N15" s="79">
        <x:v>2</x:v>
      </x:c>
      <x:c r="Q15" s="79"/>
      <x:c r="R15" s="60">
        <x:f t="shared" si="2"/>
        <x:v>2</x:v>
      </x:c>
      <x:c r="S15" s="72"/>
      <x:c r="U15" s="154"/>
      <x:c r="AA15" s="154"/>
    </x:row>
    <x:row r="16" spans="1:27" s="1" customFormat="1">
      <x:c r="A16" s="72"/>
      <x:c r="B16" s="79"/>
      <x:c r="C16" s="84">
        <x:v>43849</x:v>
      </x:c>
      <x:c r="D16" s="1" t="s">
        <x:v>1947</x:v>
      </x:c>
      <x:c r="E16" s="79">
        <x:v>1</x:v>
      </x:c>
      <x:c r="F16" s="60">
        <x:f t="shared" si="0"/>
        <x:v>7</x:v>
      </x:c>
      <x:c r="I16" s="84">
        <x:v>44097</x:v>
      </x:c>
      <x:c r="J16" s="1" t="s">
        <x:v>1740</x:v>
      </x:c>
      <x:c r="K16" s="79">
        <x:v>1</x:v>
      </x:c>
      <x:c r="L16" s="60">
        <x:f t="shared" si="1"/>
        <x:v>2</x:v>
      </x:c>
      <x:c r="M16" s="72"/>
      <x:c r="N16" s="79"/>
      <x:c r="O16" s="84">
        <x:v>44349</x:v>
      </x:c>
      <x:c r="P16" s="1" t="s">
        <x:v>1579</x:v>
      </x:c>
      <x:c r="Q16" s="79">
        <x:v>1</x:v>
      </x:c>
      <x:c r="R16" s="60">
        <x:f t="shared" si="2"/>
        <x:v>1</x:v>
      </x:c>
      <x:c r="S16" s="72"/>
      <x:c r="U16" s="154"/>
      <x:c r="AA16" s="154"/>
    </x:row>
    <x:row r="17" spans="1:27" s="1" customFormat="1">
      <x:c r="A17" s="72"/>
      <x:c r="B17" s="79"/>
      <x:c r="C17" s="84">
        <x:v>44018</x:v>
      </x:c>
      <x:c r="D17" s="1" t="s">
        <x:v>1947</x:v>
      </x:c>
      <x:c r="E17" s="79">
        <x:v>1</x:v>
      </x:c>
      <x:c r="F17" s="60">
        <x:f t="shared" si="0"/>
        <x:v>6</x:v>
      </x:c>
      <x:c r="G17" s="147" t="s">
        <x:v>2234</x:v>
      </x:c>
      <x:c r="H17" s="79">
        <x:v>5</x:v>
      </x:c>
      <x:c r="K17" s="79"/>
      <x:c r="L17" s="60">
        <x:f t="shared" si="1"/>
        <x:v>7</x:v>
      </x:c>
      <x:c r="O17" s="84">
        <x:v>44474</x:v>
      </x:c>
      <x:c r="P17" s="1" t="s">
        <x:v>1579</x:v>
      </x:c>
      <x:c r="Q17" s="79">
        <x:v>1</x:v>
      </x:c>
      <x:c r="R17" s="60">
        <x:f t="shared" si="2"/>
        <x:v>0</x:v>
      </x:c>
      <x:c r="S17" s="72"/>
      <x:c r="U17" s="154"/>
      <x:c r="AA17" s="154"/>
    </x:row>
    <x:row r="18" spans="1:27" s="1" customFormat="1">
      <x:c r="A18" s="73">
        <x:v>43901</x:v>
      </x:c>
      <x:c r="B18" s="79">
        <x:v>7</x:v>
      </x:c>
      <x:c r="E18" s="79"/>
      <x:c r="F18" s="60">
        <x:f t="shared" si="0"/>
        <x:v>13</x:v>
      </x:c>
      <x:c r="G18" s="72"/>
      <x:c r="H18" s="79"/>
      <x:c r="I18" s="84">
        <x:v>44267</x:v>
      </x:c>
      <x:c r="J18" s="1" t="s">
        <x:v>1740</x:v>
      </x:c>
      <x:c r="K18" s="79">
        <x:v>1</x:v>
      </x:c>
      <x:c r="L18" s="60">
        <x:f t="shared" si="1"/>
        <x:v>6</x:v>
      </x:c>
      <x:c r="M18" s="153" t="s">
        <x:v>2241</x:v>
      </x:c>
      <x:c r="N18" s="79">
        <x:v>1</x:v>
      </x:c>
      <x:c r="Q18" s="79"/>
      <x:c r="R18" s="60">
        <x:f t="shared" si="2"/>
        <x:v>1</x:v>
      </x:c>
      <x:c r="S18" s="72"/>
      <x:c r="U18" s="154"/>
      <x:c r="AA18" s="154"/>
    </x:row>
    <x:row r="19" spans="1:27" s="1" customFormat="1">
      <x:c r="A19" s="72"/>
      <x:c r="B19" s="79"/>
      <x:c r="C19" s="84">
        <x:v>44088</x:v>
      </x:c>
      <x:c r="D19" s="1" t="s">
        <x:v>1869</x:v>
      </x:c>
      <x:c r="E19" s="79">
        <x:v>1</x:v>
      </x:c>
      <x:c r="F19" s="60">
        <x:f t="shared" si="0"/>
        <x:v>12</x:v>
      </x:c>
      <x:c r="I19" s="84">
        <x:v>43905</x:v>
      </x:c>
      <x:c r="J19" s="1" t="s">
        <x:v>1869</x:v>
      </x:c>
      <x:c r="K19" s="79">
        <x:v>1</x:v>
      </x:c>
      <x:c r="L19" s="60">
        <x:f t="shared" si="1"/>
        <x:v>5</x:v>
      </x:c>
      <x:c r="M19" s="72" t="s">
        <x:v>2214</x:v>
      </x:c>
      <x:c r="N19" s="79">
        <x:v>2</x:v>
      </x:c>
      <x:c r="O19" s="84"/>
      <x:c r="Q19" s="79"/>
      <x:c r="R19" s="60">
        <x:f t="shared" si="2"/>
        <x:v>3</x:v>
      </x:c>
      <x:c r="S19" s="72"/>
      <x:c r="U19" s="154"/>
      <x:c r="AA19" s="154"/>
    </x:row>
    <x:row r="20" spans="1:27" s="1" customFormat="1">
      <x:c r="A20" s="72"/>
      <x:c r="B20" s="79"/>
      <x:c r="C20" s="84">
        <x:v>44146</x:v>
      </x:c>
      <x:c r="D20" s="1" t="s">
        <x:v>1947</x:v>
      </x:c>
      <x:c r="E20" s="79">
        <x:v>1</x:v>
      </x:c>
      <x:c r="F20" s="60">
        <x:f t="shared" si="0"/>
        <x:v>11</x:v>
      </x:c>
      <x:c r="G20" s="147" t="s">
        <x:v>3188</x:v>
      </x:c>
      <x:c r="H20" s="79">
        <x:v>5</x:v>
      </x:c>
      <x:c r="K20" s="79"/>
      <x:c r="L20" s="60">
        <x:f t="shared" si="1"/>
        <x:v>10</x:v>
      </x:c>
      <x:c r="M20" s="72"/>
      <x:c r="N20" s="79"/>
      <x:c r="O20" s="84">
        <x:v>44627</x:v>
      </x:c>
      <x:c r="P20" s="1" t="s">
        <x:v>1579</x:v>
      </x:c>
      <x:c r="Q20" s="79">
        <x:v>1</x:v>
      </x:c>
      <x:c r="R20" s="60">
        <x:f t="shared" si="2"/>
        <x:v>2</x:v>
      </x:c>
      <x:c r="S20" s="72"/>
      <x:c r="U20" s="154"/>
      <x:c r="AA20" s="154"/>
    </x:row>
    <x:row r="21" spans="1:27" s="1" customFormat="1">
      <x:c r="A21" s="72"/>
      <x:c r="B21" s="79"/>
      <x:c r="C21" s="84">
        <x:v>44202</x:v>
      </x:c>
      <x:c r="D21" s="1" t="s">
        <x:v>1947</x:v>
      </x:c>
      <x:c r="E21" s="79">
        <x:v>1</x:v>
      </x:c>
      <x:c r="F21" s="60">
        <x:f t="shared" si="0"/>
        <x:v>10</x:v>
      </x:c>
      <x:c r="G21" s="72"/>
      <x:c r="H21" s="79"/>
      <x:c r="I21" s="84">
        <x:v>44350</x:v>
      </x:c>
      <x:c r="J21" s="1" t="s">
        <x:v>1740</x:v>
      </x:c>
      <x:c r="K21" s="79">
        <x:v>1</x:v>
      </x:c>
      <x:c r="L21" s="60">
        <x:f t="shared" si="1"/>
        <x:v>9</x:v>
      </x:c>
      <x:c r="M21" s="84" t="s">
        <x:v>2256</x:v>
      </x:c>
      <x:c r="N21" s="79">
        <x:v>1</x:v>
      </x:c>
      <x:c r="O21" s="84"/>
      <x:c r="Q21" s="79"/>
      <x:c r="R21" s="60">
        <x:f t="shared" si="2"/>
        <x:v>3</x:v>
      </x:c>
      <x:c r="S21" s="72"/>
      <x:c r="U21" s="154"/>
      <x:c r="AA21" s="154"/>
    </x:row>
    <x:row r="22" spans="1:27" s="1" customFormat="1">
      <x:c r="A22" s="72"/>
      <x:c r="B22" s="79"/>
      <x:c r="C22" s="84">
        <x:v>44326</x:v>
      </x:c>
      <x:c r="D22" s="1" t="s">
        <x:v>1947</x:v>
      </x:c>
      <x:c r="E22" s="79">
        <x:v>1</x:v>
      </x:c>
      <x:c r="F22" s="60">
        <x:f t="shared" si="0"/>
        <x:v>9</x:v>
      </x:c>
      <x:c r="G22" s="72"/>
      <x:c r="H22" s="79"/>
      <x:c r="I22" s="84">
        <x:v>44431</x:v>
      </x:c>
      <x:c r="J22" s="1" t="s">
        <x:v>1740</x:v>
      </x:c>
      <x:c r="K22" s="79">
        <x:v>1</x:v>
      </x:c>
      <x:c r="L22" s="60">
        <x:f t="shared" si="1"/>
        <x:v>8</x:v>
      </x:c>
      <x:c r="M22" s="72"/>
      <x:c r="N22" s="79"/>
      <x:c r="O22" s="84">
        <x:v>44715</x:v>
      </x:c>
      <x:c r="P22" s="1" t="s">
        <x:v>1579</x:v>
      </x:c>
      <x:c r="Q22" s="79">
        <x:v>1</x:v>
      </x:c>
      <x:c r="R22" s="60">
        <x:v>2</x:v>
      </x:c>
      <x:c r="S22" s="72"/>
      <x:c r="U22" s="154"/>
      <x:c r="AA22" s="154"/>
    </x:row>
    <x:row r="23" spans="1:27" s="1" customFormat="1">
      <x:c r="A23" s="72"/>
      <x:c r="B23" s="79"/>
      <x:c r="C23" s="84">
        <x:v>44344</x:v>
      </x:c>
      <x:c r="D23" s="149" t="s">
        <x:v>1906</x:v>
      </x:c>
      <x:c r="E23" s="79">
        <x:v>7</x:v>
      </x:c>
      <x:c r="F23" s="60">
        <x:f t="shared" si="0"/>
        <x:v>2</x:v>
      </x:c>
      <x:c r="G23" s="72"/>
      <x:c r="H23" s="79"/>
      <x:c r="I23" s="84">
        <x:v>44446</x:v>
      </x:c>
      <x:c r="J23" s="1" t="s">
        <x:v>1869</x:v>
      </x:c>
      <x:c r="K23" s="79">
        <x:v>1</x:v>
      </x:c>
      <x:c r="L23" s="60">
        <x:f t="shared" si="1"/>
        <x:v>7</x:v>
      </x:c>
      <x:c r="M23" s="72"/>
      <x:c r="N23" s="79"/>
      <x:c r="O23" s="84">
        <x:v>44838</x:v>
      </x:c>
      <x:c r="P23" s="1" t="s">
        <x:v>1579</x:v>
      </x:c>
      <x:c r="Q23" s="79">
        <x:v>1</x:v>
      </x:c>
      <x:c r="R23" s="60">
        <x:v>1</x:v>
      </x:c>
      <x:c r="S23" s="72"/>
      <x:c r="U23" s="154"/>
      <x:c r="AA23" s="154"/>
    </x:row>
    <x:row r="24" spans="1:27" s="1" customFormat="1">
      <x:c r="A24" s="72"/>
      <x:c r="B24" s="79"/>
      <x:c r="C24" s="84">
        <x:v>44475</x:v>
      </x:c>
      <x:c r="D24" s="152" t="s">
        <x:v>1906</x:v>
      </x:c>
      <x:c r="E24" s="79">
        <x:v>1</x:v>
      </x:c>
      <x:c r="F24" s="60">
        <x:f t="shared" si="0"/>
        <x:v>1</x:v>
      </x:c>
      <x:c r="I24" s="84">
        <x:v>44475</x:v>
      </x:c>
      <x:c r="J24" s="1" t="s">
        <x:v>1740</x:v>
      </x:c>
      <x:c r="K24" s="79">
        <x:v>1</x:v>
      </x:c>
      <x:c r="L24" s="60">
        <x:f t="shared" si="1"/>
        <x:v>6</x:v>
      </x:c>
      <x:c r="M24" s="72"/>
      <x:c r="N24" s="79"/>
      <x:c r="O24" s="84"/>
      <x:c r="Q24" s="79"/>
      <x:c r="R24" s="60"/>
      <x:c r="S24" s="72"/>
      <x:c r="U24" s="154"/>
      <x:c r="AA24" s="154"/>
    </x:row>
    <x:row r="25" spans="1:27" s="1" customFormat="1">
      <x:c r="A25" s="72"/>
      <x:c r="B25" s="79"/>
      <x:c r="C25" s="84">
        <x:v>44643</x:v>
      </x:c>
      <x:c r="D25" s="152" t="s">
        <x:v>1906</x:v>
      </x:c>
      <x:c r="E25" s="79">
        <x:v>1</x:v>
      </x:c>
      <x:c r="F25" s="60">
        <x:v>0</x:v>
      </x:c>
      <x:c r="G25" s="72" t="s">
        <x:v>2214</x:v>
      </x:c>
      <x:c r="H25" s="79">
        <x:v>5</x:v>
      </x:c>
      <x:c r="K25" s="79"/>
      <x:c r="L25" s="60">
        <x:f t="shared" si="1"/>
        <x:v>11</x:v>
      </x:c>
      <x:c r="M25" s="72"/>
      <x:c r="N25" s="79"/>
      <x:c r="O25" s="84"/>
      <x:c r="Q25" s="79"/>
      <x:c r="R25" s="60"/>
      <x:c r="S25" s="72"/>
      <x:c r="U25" s="154"/>
      <x:c r="AA25" s="154"/>
    </x:row>
    <x:row r="26" spans="1:27" s="1" customFormat="1">
      <x:c r="A26" s="72" t="s">
        <x:v>1280</x:v>
      </x:c>
      <x:c r="B26" s="79" t="s">
        <x:v>1249</x:v>
      </x:c>
      <x:c r="C26" s="84" t="s">
        <x:v>1534</x:v>
      </x:c>
      <x:c r="D26" s="1" t="s">
        <x:v>1582</x:v>
      </x:c>
      <x:c r="E26" s="79"/>
      <x:c r="F26" s="60"/>
      <x:c r="G26" s="72"/>
      <x:c r="H26" s="79"/>
      <x:c r="I26" s="84">
        <x:v>44523</x:v>
      </x:c>
      <x:c r="J26" s="1" t="s">
        <x:v>1947</x:v>
      </x:c>
      <x:c r="K26" s="79">
        <x:v>1</x:v>
      </x:c>
      <x:c r="L26" s="60">
        <x:f t="shared" si="1"/>
        <x:v>10</x:v>
      </x:c>
      <x:c r="M26" s="72"/>
      <x:c r="N26" s="79"/>
      <x:c r="O26" s="84"/>
      <x:c r="Q26" s="79"/>
      <x:c r="R26" s="60"/>
      <x:c r="S26" s="72"/>
      <x:c r="U26" s="154"/>
      <x:c r="AA26" s="154"/>
    </x:row>
    <x:row r="27" spans="1:27" s="1" customFormat="1">
      <x:c r="A27" s="72"/>
      <x:c r="B27" s="79"/>
      <x:c r="C27" s="84"/>
      <x:c r="E27" s="79"/>
      <x:c r="F27" s="60"/>
      <x:c r="G27" s="72"/>
      <x:c r="H27" s="79"/>
      <x:c r="I27" s="84">
        <x:v>44627</x:v>
      </x:c>
      <x:c r="J27" s="1" t="s">
        <x:v>1740</x:v>
      </x:c>
      <x:c r="K27" s="79">
        <x:v>1</x:v>
      </x:c>
      <x:c r="L27" s="60">
        <x:f t="shared" si="1"/>
        <x:v>9</x:v>
      </x:c>
      <x:c r="M27" s="72"/>
      <x:c r="N27" s="79"/>
      <x:c r="O27" s="84"/>
      <x:c r="Q27" s="79"/>
      <x:c r="R27" s="60"/>
      <x:c r="S27" s="72"/>
      <x:c r="U27" s="154"/>
      <x:c r="AA27" s="154"/>
    </x:row>
    <x:row r="28" spans="1:27" s="1" customFormat="1">
      <x:c r="A28" s="72"/>
      <x:c r="B28" s="79"/>
      <x:c r="C28" s="84"/>
      <x:c r="E28" s="79"/>
      <x:c r="F28" s="60"/>
      <x:c r="G28" s="72"/>
      <x:c r="H28" s="79"/>
      <x:c r="I28" s="84">
        <x:v>44651</x:v>
      </x:c>
      <x:c r="J28" s="1" t="s">
        <x:v>1947</x:v>
      </x:c>
      <x:c r="K28" s="79">
        <x:v>1</x:v>
      </x:c>
      <x:c r="L28" s="60">
        <x:f t="shared" si="1"/>
        <x:v>8</x:v>
      </x:c>
      <x:c r="M28" s="72"/>
      <x:c r="N28" s="79"/>
      <x:c r="O28" s="84"/>
      <x:c r="Q28" s="79"/>
      <x:c r="R28" s="60"/>
      <x:c r="S28" s="72"/>
      <x:c r="U28" s="154"/>
      <x:c r="AA28" s="154"/>
    </x:row>
    <x:row r="29" spans="1:27" s="1" customFormat="1">
      <x:c r="A29" s="72"/>
      <x:c r="B29" s="79"/>
      <x:c r="C29" s="84"/>
      <x:c r="E29" s="79"/>
      <x:c r="F29" s="60"/>
      <x:c r="G29" s="72"/>
      <x:c r="H29" s="79"/>
      <x:c r="I29" s="84" t="s">
        <x:v>1540</x:v>
      </x:c>
      <x:c r="J29" s="1" t="s">
        <x:v>1540</x:v>
      </x:c>
      <x:c r="K29" s="79">
        <x:v>1</x:v>
      </x:c>
      <x:c r="L29" s="60">
        <x:v>7</x:v>
      </x:c>
      <x:c r="M29" s="72"/>
      <x:c r="N29" s="79"/>
      <x:c r="O29" s="84"/>
      <x:c r="Q29" s="79"/>
      <x:c r="R29" s="60"/>
      <x:c r="S29" s="72"/>
      <x:c r="U29" s="154"/>
      <x:c r="AA29" s="154"/>
    </x:row>
    <x:row r="30" spans="1:27" s="1" customFormat="1">
      <x:c r="A30" s="72"/>
      <x:c r="B30" s="79"/>
      <x:c r="C30" s="84"/>
      <x:c r="E30" s="79"/>
      <x:c r="F30" s="60"/>
      <x:c r="G30" s="72"/>
      <x:c r="H30" s="79"/>
      <x:c r="I30" s="84">
        <x:v>44736</x:v>
      </x:c>
      <x:c r="J30" s="1" t="s">
        <x:v>1740</x:v>
      </x:c>
      <x:c r="K30" s="79">
        <x:v>1</x:v>
      </x:c>
      <x:c r="L30" s="60">
        <x:v>6</x:v>
      </x:c>
      <x:c r="Q30" s="79"/>
      <x:c r="R30" s="60"/>
      <x:c r="S30" s="72"/>
      <x:c r="U30" s="154"/>
      <x:c r="AA30" s="154"/>
    </x:row>
    <x:row r="31" spans="1:27" s="1" customFormat="1">
      <x:c r="A31" s="72"/>
      <x:c r="B31" s="79"/>
      <x:c r="C31" s="84"/>
      <x:c r="E31" s="79"/>
      <x:c r="F31" s="60"/>
      <x:c r="G31" s="72"/>
      <x:c r="H31" s="79"/>
      <x:c r="I31" s="84">
        <x:v>44736</x:v>
      </x:c>
      <x:c r="J31" s="1" t="s">
        <x:v>1947</x:v>
      </x:c>
      <x:c r="K31" s="79">
        <x:v>1</x:v>
      </x:c>
      <x:c r="L31" s="60">
        <x:v>5</x:v>
      </x:c>
      <x:c r="M31" s="72"/>
      <x:c r="N31" s="79"/>
      <x:c r="O31" s="84"/>
      <x:c r="Q31" s="79"/>
      <x:c r="R31" s="60"/>
      <x:c r="S31" s="72"/>
      <x:c r="U31" s="154"/>
      <x:c r="AA31" s="154"/>
    </x:row>
    <x:row r="32" spans="1:27" s="1" customFormat="1">
      <x:c r="A32" s="72"/>
      <x:c r="B32" s="79"/>
      <x:c r="C32" s="84"/>
      <x:c r="E32" s="79"/>
      <x:c r="F32" s="60"/>
      <x:c r="G32" s="72"/>
      <x:c r="H32" s="79"/>
      <x:c r="I32" s="84">
        <x:v>44753</x:v>
      </x:c>
      <x:c r="J32" s="1" t="s">
        <x:v>1869</x:v>
      </x:c>
      <x:c r="K32" s="79">
        <x:v>1</x:v>
      </x:c>
      <x:c r="L32" s="60">
        <x:v>4</x:v>
      </x:c>
      <x:c r="M32" s="72"/>
      <x:c r="N32" s="79"/>
      <x:c r="O32" s="84"/>
      <x:c r="Q32" s="79"/>
      <x:c r="R32" s="60"/>
      <x:c r="S32" s="72"/>
      <x:c r="U32" s="154"/>
      <x:c r="AA32" s="154"/>
    </x:row>
    <x:row r="33" spans="1:27" s="1" customFormat="1">
      <x:c r="A33" s="72"/>
      <x:c r="B33" s="79"/>
      <x:c r="C33" s="84"/>
      <x:c r="E33" s="79"/>
      <x:c r="F33" s="60"/>
      <x:c r="G33" s="72"/>
      <x:c r="H33" s="79"/>
      <x:c r="I33" s="84">
        <x:v>44792</x:v>
      </x:c>
      <x:c r="J33" s="1" t="s">
        <x:v>1740</x:v>
      </x:c>
      <x:c r="K33" s="79">
        <x:v>1</x:v>
      </x:c>
      <x:c r="L33" s="60">
        <x:v>3</x:v>
      </x:c>
      <x:c r="M33" s="72"/>
      <x:c r="N33" s="79"/>
      <x:c r="O33" s="84"/>
      <x:c r="Q33" s="79"/>
      <x:c r="R33" s="60"/>
      <x:c r="S33" s="72"/>
      <x:c r="U33" s="154"/>
      <x:c r="AA33" s="154"/>
    </x:row>
    <x:row r="34" spans="1:27" s="1" customFormat="1">
      <x:c r="A34" s="72"/>
      <x:c r="B34" s="79"/>
      <x:c r="C34" s="84"/>
      <x:c r="E34" s="79"/>
      <x:c r="F34" s="60"/>
      <x:c r="G34" s="72"/>
      <x:c r="H34" s="79"/>
      <x:c r="I34" s="84">
        <x:v>44832</x:v>
      </x:c>
      <x:c r="J34" s="1" t="s">
        <x:v>1869</x:v>
      </x:c>
      <x:c r="K34" s="79">
        <x:v>1</x:v>
      </x:c>
      <x:c r="L34" s="60">
        <x:v>2</x:v>
      </x:c>
      <x:c r="M34" s="72"/>
      <x:c r="N34" s="79"/>
      <x:c r="O34" s="84"/>
      <x:c r="Q34" s="79"/>
      <x:c r="R34" s="60"/>
      <x:c r="S34" s="72"/>
      <x:c r="U34" s="154"/>
      <x:c r="AA34" s="154"/>
    </x:row>
    <x:row r="35" spans="1:27" s="1" customFormat="1">
      <x:c r="A35" s="72"/>
      <x:c r="B35" s="79"/>
      <x:c r="C35" s="84"/>
      <x:c r="E35" s="79"/>
      <x:c r="F35" s="60"/>
      <x:c r="G35" s="72"/>
      <x:c r="H35" s="79"/>
      <x:c r="I35" s="84">
        <x:v>44834</x:v>
      </x:c>
      <x:c r="J35" s="1" t="s">
        <x:v>1740</x:v>
      </x:c>
      <x:c r="K35" s="79">
        <x:v>1</x:v>
      </x:c>
      <x:c r="L35" s="60">
        <x:v>1</x:v>
      </x:c>
      <x:c r="M35" s="72"/>
      <x:c r="N35" s="79"/>
      <x:c r="O35" s="84"/>
      <x:c r="Q35" s="79"/>
      <x:c r="R35" s="60"/>
      <x:c r="S35" s="72"/>
      <x:c r="U35" s="154"/>
      <x:c r="AA35" s="154"/>
    </x:row>
    <x:row r="36" spans="1:27" s="1" customFormat="1">
      <x:c r="A36" s="72"/>
      <x:c r="B36" s="79"/>
      <x:c r="C36" s="84"/>
      <x:c r="E36" s="79"/>
      <x:c r="F36" s="60"/>
      <x:c r="G36" s="72"/>
      <x:c r="H36" s="79"/>
      <x:c r="I36" s="84">
        <x:v>44839</x:v>
      </x:c>
      <x:c r="J36" s="1" t="s">
        <x:v>1947</x:v>
      </x:c>
      <x:c r="K36" s="79">
        <x:v>1</x:v>
      </x:c>
      <x:c r="L36" s="60">
        <x:v>0</x:v>
      </x:c>
      <x:c r="M36" s="72"/>
      <x:c r="N36" s="79"/>
      <x:c r="O36" s="84"/>
      <x:c r="Q36" s="79"/>
      <x:c r="R36" s="60"/>
      <x:c r="S36" s="72"/>
      <x:c r="U36" s="154"/>
      <x:c r="AA36" s="154"/>
    </x:row>
    <x:row r="37" spans="1:27" s="1" customFormat="1">
      <x:c r="A37" s="72"/>
      <x:c r="B37" s="79"/>
      <x:c r="C37" s="84"/>
      <x:c r="E37" s="79"/>
      <x:c r="F37" s="60"/>
      <x:c r="G37" s="72" t="s">
        <x:v>2237</x:v>
      </x:c>
      <x:c r="H37" s="79">
        <x:v>6</x:v>
      </x:c>
      <x:c r="I37" s="84"/>
      <x:c r="K37" s="79"/>
      <x:c r="L37" s="60"/>
      <x:c r="M37" s="72"/>
      <x:c r="N37" s="79"/>
      <x:c r="O37" s="84"/>
      <x:c r="Q37" s="79"/>
      <x:c r="R37" s="60"/>
      <x:c r="S37" s="72"/>
      <x:c r="U37" s="154"/>
      <x:c r="AA37" s="154"/>
    </x:row>
    <x:row r="38" spans="1:27" s="1" customFormat="1">
      <x:c r="A38" s="72"/>
      <x:c r="B38" s="79"/>
      <x:c r="C38" s="84"/>
      <x:c r="E38" s="79"/>
      <x:c r="F38" s="60"/>
      <x:c r="G38" s="72"/>
      <x:c r="H38" s="79"/>
      <x:c r="I38" s="84"/>
      <x:c r="K38" s="79"/>
      <x:c r="L38" s="60"/>
      <x:c r="M38" s="72"/>
      <x:c r="N38" s="79"/>
      <x:c r="O38" s="84"/>
      <x:c r="Q38" s="79"/>
      <x:c r="R38" s="60"/>
      <x:c r="S38" s="72"/>
      <x:c r="U38" s="154"/>
      <x:c r="AA38" s="154"/>
    </x:row>
    <x:row r="39" spans="1:27" s="1" customFormat="1">
      <x:c r="A39" s="72"/>
      <x:c r="B39" s="79"/>
      <x:c r="C39" s="84"/>
      <x:c r="E39" s="79"/>
      <x:c r="F39" s="60"/>
      <x:c r="G39" s="72"/>
      <x:c r="H39" s="79"/>
      <x:c r="I39" s="84"/>
      <x:c r="K39" s="79"/>
      <x:c r="L39" s="60"/>
      <x:c r="M39" s="72"/>
      <x:c r="N39" s="79"/>
      <x:c r="O39" s="84"/>
      <x:c r="Q39" s="79"/>
      <x:c r="R39" s="60"/>
      <x:c r="S39" s="72"/>
      <x:c r="U39" s="154"/>
      <x:c r="AA39" s="154"/>
    </x:row>
    <x:row r="40" spans="1:27" s="1" customFormat="1">
      <x:c r="A40" s="72"/>
      <x:c r="B40" s="79"/>
      <x:c r="C40" s="84"/>
      <x:c r="E40" s="79"/>
      <x:c r="F40" s="60"/>
      <x:c r="G40" s="72"/>
      <x:c r="H40" s="79"/>
      <x:c r="I40" s="84"/>
      <x:c r="K40" s="79"/>
      <x:c r="L40" s="60"/>
      <x:c r="M40" s="72"/>
      <x:c r="N40" s="79"/>
      <x:c r="O40" s="84"/>
      <x:c r="Q40" s="79"/>
      <x:c r="R40" s="60"/>
      <x:c r="S40" s="72"/>
      <x:c r="U40" s="154"/>
      <x:c r="AA40" s="154"/>
    </x:row>
    <x:row r="41" spans="1:27" s="1" customFormat="1">
      <x:c r="A41" s="72"/>
      <x:c r="B41" s="79"/>
      <x:c r="C41" s="84"/>
      <x:c r="E41" s="79"/>
      <x:c r="F41" s="60"/>
      <x:c r="G41" s="72"/>
      <x:c r="H41" s="79"/>
      <x:c r="I41" s="84"/>
      <x:c r="K41" s="79"/>
      <x:c r="L41" s="60"/>
      <x:c r="M41" s="72"/>
      <x:c r="N41" s="79"/>
      <x:c r="O41" s="84"/>
      <x:c r="Q41" s="79"/>
      <x:c r="R41" s="60"/>
      <x:c r="S41" s="72"/>
      <x:c r="U41" s="154"/>
      <x:c r="AA41" s="154"/>
    </x:row>
    <x:row r="42" spans="1:27" s="1" customFormat="1">
      <x:c r="A42" s="72"/>
      <x:c r="B42" s="79"/>
      <x:c r="C42" s="84"/>
      <x:c r="E42" s="79"/>
      <x:c r="F42" s="60"/>
      <x:c r="G42" s="72"/>
      <x:c r="H42" s="79"/>
      <x:c r="I42" s="84"/>
      <x:c r="K42" s="79"/>
      <x:c r="L42" s="60"/>
      <x:c r="M42" s="72" t="s">
        <x:v>1940</x:v>
      </x:c>
      <x:c r="N42" s="79"/>
      <x:c r="O42" s="84" t="s">
        <x:v>490</x:v>
      </x:c>
      <x:c r="Q42" s="79"/>
      <x:c r="R42" s="60"/>
      <x:c r="S42" s="72"/>
      <x:c r="U42" s="154"/>
      <x:c r="AA42" s="154"/>
    </x:row>
    <x:row r="43" spans="1:27" s="1" customFormat="1">
      <x:c r="A43" s="72"/>
      <x:c r="B43" s="79"/>
      <x:c r="C43" s="84"/>
      <x:c r="E43" s="79"/>
      <x:c r="F43" s="60"/>
      <x:c r="G43" s="72"/>
      <x:c r="H43" s="79"/>
      <x:c r="I43" s="84"/>
      <x:c r="K43" s="79"/>
      <x:c r="L43" s="60"/>
      <x:c r="M43" s="72"/>
      <x:c r="N43" s="79"/>
      <x:c r="O43" s="84"/>
      <x:c r="Q43" s="79"/>
      <x:c r="R43" s="60"/>
      <x:c r="S43" s="72"/>
      <x:c r="U43" s="154"/>
      <x:c r="AA43" s="154"/>
    </x:row>
    <x:row r="44" spans="1:27" s="1" customFormat="1">
      <x:c r="A44" s="72"/>
      <x:c r="B44" s="79"/>
      <x:c r="C44" s="84"/>
      <x:c r="E44" s="79"/>
      <x:c r="F44" s="60"/>
      <x:c r="G44" s="72"/>
      <x:c r="H44" s="79"/>
      <x:c r="I44" s="84"/>
      <x:c r="K44" s="79"/>
      <x:c r="L44" s="60"/>
      <x:c r="M44" s="72"/>
      <x:c r="N44" s="79"/>
      <x:c r="O44" s="84"/>
      <x:c r="Q44" s="79"/>
      <x:c r="R44" s="60"/>
      <x:c r="S44" s="72"/>
      <x:c r="U44" s="154"/>
      <x:c r="AA44" s="154"/>
    </x:row>
    <x:row r="45" spans="1:30" ht="16.75">
      <x:c r="A45" s="74"/>
      <x:c r="B45" s="81"/>
      <x:c r="C45" s="85"/>
      <x:c r="D45" s="75"/>
      <x:c r="E45" s="81"/>
      <x:c r="F45" s="76"/>
      <x:c r="G45" s="74"/>
      <x:c r="H45" s="81"/>
      <x:c r="I45" s="85"/>
      <x:c r="J45" s="75"/>
      <x:c r="K45" s="81"/>
      <x:c r="L45" s="76"/>
      <x:c r="M45" s="74"/>
      <x:c r="N45" s="81"/>
      <x:c r="O45" s="85"/>
      <x:c r="P45" s="75"/>
      <x:c r="Q45" s="81"/>
      <x:c r="R45" s="76"/>
      <x:c r="S45" s="74"/>
      <x:c r="T45" s="75"/>
      <x:c r="U45" s="155"/>
      <x:c r="V45" s="75"/>
      <x:c r="W45" s="75"/>
      <x:c r="X45" s="75"/>
      <x:c r="Y45" s="75"/>
      <x:c r="Z45" s="75"/>
      <x:c r="AA45" s="155"/>
      <x:c r="AB45" s="75"/>
      <x:c r="AC45" s="75"/>
      <x:c r="AD45" s="75"/>
    </x:row>
    <x:row r="46" spans="1:30" ht="16.75">
      <x:c r="A46" s="348" t="s">
        <x:v>2195</x:v>
      </x:c>
      <x:c r="B46" s="349"/>
      <x:c r="C46" s="349"/>
      <x:c r="D46" s="349"/>
      <x:c r="E46" s="349"/>
      <x:c r="F46" s="350"/>
      <x:c r="G46" s="328" t="s">
        <x:v>2289</x:v>
      </x:c>
      <x:c r="H46" s="329"/>
      <x:c r="I46" s="329"/>
      <x:c r="J46" s="329"/>
      <x:c r="K46" s="329"/>
      <x:c r="L46" s="330"/>
      <x:c r="M46" s="351" t="s">
        <x:v>3219</x:v>
      </x:c>
      <x:c r="N46" s="352"/>
      <x:c r="O46" s="352"/>
      <x:c r="P46" s="352"/>
      <x:c r="Q46" s="352"/>
      <x:c r="R46" s="353"/>
      <x:c r="S46" s="354" t="s">
        <x:v>3325</x:v>
      </x:c>
      <x:c r="T46" s="355"/>
      <x:c r="U46" s="355"/>
      <x:c r="V46" s="355"/>
      <x:c r="W46" s="355"/>
      <x:c r="X46" s="356"/>
      <x:c r="Y46" s="331" t="s">
        <x:v>3311</x:v>
      </x:c>
      <x:c r="Z46" s="332"/>
      <x:c r="AA46" s="332"/>
      <x:c r="AB46" s="332"/>
      <x:c r="AC46" s="332"/>
      <x:c r="AD46" s="333"/>
    </x:row>
    <x:row r="47" spans="1:30">
      <x:c r="A47" s="357" t="s">
        <x:v>1942</x:v>
      </x:c>
      <x:c r="B47" s="358"/>
      <x:c r="C47" s="358"/>
      <x:c r="D47" s="358"/>
      <x:c r="E47" s="358"/>
      <x:c r="F47" s="359"/>
      <x:c r="G47" s="334" t="s">
        <x:v>1942</x:v>
      </x:c>
      <x:c r="H47" s="335"/>
      <x:c r="I47" s="335"/>
      <x:c r="J47" s="335"/>
      <x:c r="K47" s="335"/>
      <x:c r="L47" s="336"/>
      <x:c r="M47" s="360" t="s">
        <x:v>1403</x:v>
      </x:c>
      <x:c r="N47" s="361"/>
      <x:c r="O47" s="361"/>
      <x:c r="P47" s="361"/>
      <x:c r="Q47" s="361"/>
      <x:c r="R47" s="362"/>
      <x:c r="S47" s="363" t="s">
        <x:v>1878</x:v>
      </x:c>
      <x:c r="T47" s="364"/>
      <x:c r="U47" s="364"/>
      <x:c r="V47" s="364"/>
      <x:c r="W47" s="364"/>
      <x:c r="X47" s="365"/>
      <x:c r="Y47" s="337" t="s">
        <x:v>482</x:v>
      </x:c>
      <x:c r="Z47" s="338"/>
      <x:c r="AA47" s="338"/>
      <x:c r="AB47" s="338"/>
      <x:c r="AC47" s="338"/>
      <x:c r="AD47" s="339"/>
    </x:row>
    <x:row r="48" spans="1:30" ht="17.14999999999999857891">
      <x:c r="A48" s="340"/>
      <x:c r="B48" s="341"/>
      <x:c r="C48" s="341"/>
      <x:c r="D48" s="341"/>
      <x:c r="E48" s="341"/>
      <x:c r="F48" s="342"/>
      <x:c r="G48" s="340"/>
      <x:c r="H48" s="341"/>
      <x:c r="I48" s="341"/>
      <x:c r="J48" s="341"/>
      <x:c r="K48" s="341"/>
      <x:c r="L48" s="342"/>
      <x:c r="M48" s="340" t="s">
        <x:v>1884</x:v>
      </x:c>
      <x:c r="N48" s="341"/>
      <x:c r="O48" s="341"/>
      <x:c r="P48" s="341"/>
      <x:c r="Q48" s="341"/>
      <x:c r="R48" s="342"/>
      <x:c r="S48" s="340" t="s">
        <x:v>1885</x:v>
      </x:c>
      <x:c r="T48" s="341"/>
      <x:c r="U48" s="341"/>
      <x:c r="V48" s="341"/>
      <x:c r="W48" s="341"/>
      <x:c r="X48" s="342"/>
      <x:c r="Y48" s="340" t="s">
        <x:v>1886</x:v>
      </x:c>
      <x:c r="Z48" s="341"/>
      <x:c r="AA48" s="341"/>
      <x:c r="AB48" s="341"/>
      <x:c r="AC48" s="341"/>
      <x:c r="AD48" s="342"/>
    </x:row>
    <x:row r="49" spans="1:30">
      <x:c r="A49" s="343" t="s">
        <x:v>1246</x:v>
      </x:c>
      <x:c r="B49" s="310"/>
      <x:c r="C49" s="344" t="s">
        <x:v>1260</x:v>
      </x:c>
      <x:c r="D49" s="345"/>
      <x:c r="E49" s="310"/>
      <x:c r="F49" s="346"/>
      <x:c r="G49" s="343" t="s">
        <x:v>1246</x:v>
      </x:c>
      <x:c r="H49" s="310"/>
      <x:c r="I49" s="344" t="s">
        <x:v>1260</x:v>
      </x:c>
      <x:c r="J49" s="345"/>
      <x:c r="K49" s="310"/>
      <x:c r="L49" s="346" t="s">
        <x:v>1583</x:v>
      </x:c>
      <x:c r="M49" s="343" t="s">
        <x:v>1246</x:v>
      </x:c>
      <x:c r="N49" s="310"/>
      <x:c r="O49" s="344" t="s">
        <x:v>1260</x:v>
      </x:c>
      <x:c r="P49" s="345"/>
      <x:c r="Q49" s="310"/>
      <x:c r="R49" s="346" t="s">
        <x:v>1583</x:v>
      </x:c>
      <x:c r="S49" s="343" t="s">
        <x:v>1246</x:v>
      </x:c>
      <x:c r="T49" s="310"/>
      <x:c r="U49" s="344" t="s">
        <x:v>1260</x:v>
      </x:c>
      <x:c r="V49" s="345"/>
      <x:c r="W49" s="310"/>
      <x:c r="X49" s="346" t="s">
        <x:v>1583</x:v>
      </x:c>
      <x:c r="Y49" s="343" t="s">
        <x:v>1246</x:v>
      </x:c>
      <x:c r="Z49" s="310"/>
      <x:c r="AA49" s="344" t="s">
        <x:v>1260</x:v>
      </x:c>
      <x:c r="AB49" s="345"/>
      <x:c r="AC49" s="310"/>
      <x:c r="AD49" s="346" t="s">
        <x:v>1583</x:v>
      </x:c>
    </x:row>
    <x:row r="50" spans="1:30">
      <x:c r="A50" s="80" t="s">
        <x:v>2061</x:v>
      </x:c>
      <x:c r="B50" s="78" t="s">
        <x:v>1560</x:v>
      </x:c>
      <x:c r="C50" s="31" t="s">
        <x:v>1903</x:v>
      </x:c>
      <x:c r="D50" s="77" t="s">
        <x:v>1409</x:v>
      </x:c>
      <x:c r="E50" s="78" t="s">
        <x:v>1560</x:v>
      </x:c>
      <x:c r="F50" s="347" t="s">
        <x:v>1583</x:v>
      </x:c>
      <x:c r="G50" s="80" t="s">
        <x:v>2061</x:v>
      </x:c>
      <x:c r="H50" s="78" t="s">
        <x:v>1560</x:v>
      </x:c>
      <x:c r="I50" s="31" t="s">
        <x:v>1903</x:v>
      </x:c>
      <x:c r="J50" s="77" t="s">
        <x:v>1409</x:v>
      </x:c>
      <x:c r="K50" s="78" t="s">
        <x:v>1560</x:v>
      </x:c>
      <x:c r="L50" s="347" t="s">
        <x:v>1583</x:v>
      </x:c>
      <x:c r="M50" s="80" t="s">
        <x:v>2061</x:v>
      </x:c>
      <x:c r="N50" s="78" t="s">
        <x:v>1560</x:v>
      </x:c>
      <x:c r="O50" s="31" t="s">
        <x:v>1903</x:v>
      </x:c>
      <x:c r="P50" s="77" t="s">
        <x:v>1409</x:v>
      </x:c>
      <x:c r="Q50" s="78" t="s">
        <x:v>1560</x:v>
      </x:c>
      <x:c r="R50" s="347" t="s">
        <x:v>1583</x:v>
      </x:c>
      <x:c r="S50" s="80" t="s">
        <x:v>2061</x:v>
      </x:c>
      <x:c r="T50" s="78" t="s">
        <x:v>1560</x:v>
      </x:c>
      <x:c r="U50" s="31" t="s">
        <x:v>1903</x:v>
      </x:c>
      <x:c r="V50" s="77" t="s">
        <x:v>1409</x:v>
      </x:c>
      <x:c r="W50" s="78" t="s">
        <x:v>1560</x:v>
      </x:c>
      <x:c r="X50" s="347"/>
      <x:c r="Y50" s="80" t="s">
        <x:v>2061</x:v>
      </x:c>
      <x:c r="Z50" s="78" t="s">
        <x:v>1560</x:v>
      </x:c>
      <x:c r="AA50" s="31" t="s">
        <x:v>1903</x:v>
      </x:c>
      <x:c r="AB50" s="77" t="s">
        <x:v>1409</x:v>
      </x:c>
      <x:c r="AC50" s="78" t="s">
        <x:v>1560</x:v>
      </x:c>
      <x:c r="AD50" s="347" t="s">
        <x:v>1583</x:v>
      </x:c>
    </x:row>
    <x:row r="51" spans="1:30">
      <x:c r="A51" s="73">
        <x:v>43525</x:v>
      </x:c>
      <x:c r="B51" s="79">
        <x:v>2</x:v>
      </x:c>
      <x:c r="C51" s="84">
        <x:v>43617</x:v>
      </x:c>
      <x:c r="D51" s="1" t="s">
        <x:v>1539</x:v>
      </x:c>
      <x:c r="E51" s="79">
        <x:v>1</x:v>
      </x:c>
      <x:c r="F51" s="60">
        <x:f>B51-E51</x:f>
        <x:v>1</x:v>
      </x:c>
      <x:c r="G51" s="73">
        <x:v>43525</x:v>
      </x:c>
      <x:c r="H51" s="79">
        <x:v>2</x:v>
      </x:c>
      <x:c r="I51" s="84">
        <x:v>43607</x:v>
      </x:c>
      <x:c r="J51" s="1"/>
      <x:c r="K51" s="79">
        <x:v>1</x:v>
      </x:c>
      <x:c r="L51" s="60">
        <x:f>H51-K51</x:f>
        <x:v>1</x:v>
      </x:c>
      <x:c r="M51" s="73">
        <x:v>43525</x:v>
      </x:c>
      <x:c r="N51" s="79">
        <x:v>1</x:v>
      </x:c>
      <x:c r="O51" s="84"/>
      <x:c r="P51" s="1"/>
      <x:c r="Q51" s="79"/>
      <x:c r="R51" s="60">
        <x:f>N51-Q51</x:f>
        <x:v>1</x:v>
      </x:c>
      <x:c r="S51" s="73">
        <x:v>43454</x:v>
      </x:c>
      <x:c r="T51" s="79">
        <x:v>2</x:v>
      </x:c>
      <x:c r="U51" s="84"/>
      <x:c r="V51" s="1"/>
      <x:c r="W51" s="79"/>
      <x:c r="X51" s="60">
        <x:f>T51-W51</x:f>
        <x:v>2</x:v>
      </x:c>
      <x:c r="Y51" s="73" t="s">
        <x:v>2235</x:v>
      </x:c>
      <x:c r="Z51" s="79">
        <x:v>1</x:v>
      </x:c>
      <x:c r="AA51" s="84">
        <x:v>43749</x:v>
      </x:c>
      <x:c r="AB51" s="1" t="s">
        <x:v>1740</x:v>
      </x:c>
      <x:c r="AC51" s="79">
        <x:v>1</x:v>
      </x:c>
      <x:c r="AD51" s="60">
        <x:v>0</x:v>
      </x:c>
    </x:row>
    <x:row r="52" spans="1:30">
      <x:c r="A52" s="72"/>
      <x:c r="B52" s="79"/>
      <x:c r="C52" s="84">
        <x:v>44650</x:v>
      </x:c>
      <x:c r="D52" s="1" t="s">
        <x:v>1934</x:v>
      </x:c>
      <x:c r="E52" s="79">
        <x:v>1</x:v>
      </x:c>
      <x:c r="F52" s="60">
        <x:v>0</x:v>
      </x:c>
      <x:c r="G52" s="72" t="s">
        <x:v>1280</x:v>
      </x:c>
      <x:c r="H52" s="79" t="s">
        <x:v>1249</x:v>
      </x:c>
      <x:c r="I52" s="84" t="s">
        <x:v>1534</x:v>
      </x:c>
      <x:c r="J52" s="1" t="s">
        <x:v>1582</x:v>
      </x:c>
      <x:c r="K52" s="79"/>
      <x:c r="L52" s="60"/>
      <x:c r="M52" s="72"/>
      <x:c r="N52" s="79"/>
      <x:c r="O52" s="84"/>
      <x:c r="P52" s="1"/>
      <x:c r="Q52" s="79"/>
      <x:c r="R52" s="60"/>
      <x:c r="S52" s="72"/>
      <x:c r="T52" s="79"/>
      <x:c r="U52" s="84"/>
      <x:c r="V52" s="1"/>
      <x:c r="W52" s="79"/>
      <x:c r="X52" s="60"/>
      <x:c r="Y52" s="73">
        <x:v>43874</x:v>
      </x:c>
      <x:c r="Z52" s="79">
        <x:v>1</x:v>
      </x:c>
      <x:c r="AA52" s="84"/>
      <x:c r="AB52" s="1"/>
      <x:c r="AC52" s="79"/>
      <x:c r="AD52" s="60">
        <x:v>1</x:v>
      </x:c>
    </x:row>
    <x:row r="53" spans="1:30">
      <x:c r="A53" s="72"/>
      <x:c r="B53" s="79"/>
      <x:c r="C53" s="84"/>
      <x:c r="D53" s="1"/>
      <x:c r="E53" s="79"/>
      <x:c r="F53" s="60"/>
      <x:c r="G53" s="72"/>
      <x:c r="H53" s="79"/>
      <x:c r="I53" s="84"/>
      <x:c r="J53" s="1"/>
      <x:c r="K53" s="79"/>
      <x:c r="L53" s="60"/>
      <x:c r="M53" s="72"/>
      <x:c r="N53" s="79"/>
      <x:c r="O53" s="84"/>
      <x:c r="P53" s="1"/>
      <x:c r="Q53" s="79"/>
      <x:c r="R53" s="60"/>
      <x:c r="S53" s="72"/>
      <x:c r="T53" s="79"/>
      <x:c r="U53" s="84"/>
      <x:c r="V53" s="1"/>
      <x:c r="W53" s="79"/>
      <x:c r="X53" s="60"/>
      <x:c r="Y53" s="73"/>
      <x:c r="Z53" s="79"/>
      <x:c r="AA53" s="84"/>
      <x:c r="AB53" s="1"/>
      <x:c r="AC53" s="79"/>
      <x:c r="AD53" s="60"/>
    </x:row>
    <x:row r="54" spans="1:30">
      <x:c r="A54" s="72"/>
      <x:c r="B54" s="79"/>
      <x:c r="C54" s="84"/>
      <x:c r="D54" s="1"/>
      <x:c r="E54" s="79"/>
      <x:c r="F54" s="60"/>
      <x:c r="G54" s="72"/>
      <x:c r="H54" s="79"/>
      <x:c r="I54" s="84"/>
      <x:c r="J54" s="1"/>
      <x:c r="K54" s="79"/>
      <x:c r="L54" s="60"/>
      <x:c r="M54" s="72"/>
      <x:c r="N54" s="79"/>
      <x:c r="O54" s="84"/>
      <x:c r="P54" s="1"/>
      <x:c r="Q54" s="79"/>
      <x:c r="R54" s="60"/>
      <x:c r="S54" s="72"/>
      <x:c r="T54" s="79"/>
      <x:c r="U54" s="84"/>
      <x:c r="V54" s="1"/>
      <x:c r="W54" s="79"/>
      <x:c r="X54" s="60"/>
      <x:c r="Y54" s="73"/>
      <x:c r="Z54" s="79"/>
      <x:c r="AA54" s="84"/>
      <x:c r="AB54" s="1"/>
      <x:c r="AC54" s="79"/>
      <x:c r="AD54" s="60"/>
    </x:row>
    <x:row r="55" spans="1:30">
      <x:c r="A55" s="72"/>
      <x:c r="B55" s="79"/>
      <x:c r="C55" s="84"/>
      <x:c r="D55" s="1"/>
      <x:c r="E55" s="79"/>
      <x:c r="F55" s="60"/>
      <x:c r="G55" s="72"/>
      <x:c r="H55" s="79"/>
      <x:c r="I55" s="84"/>
      <x:c r="J55" s="1"/>
      <x:c r="K55" s="79"/>
      <x:c r="L55" s="60"/>
      <x:c r="M55" s="72"/>
      <x:c r="N55" s="79"/>
      <x:c r="O55" s="84"/>
      <x:c r="P55" s="1"/>
      <x:c r="Q55" s="79"/>
      <x:c r="R55" s="60"/>
      <x:c r="S55" s="72"/>
      <x:c r="T55" s="79"/>
      <x:c r="U55" s="84"/>
      <x:c r="V55" s="1"/>
      <x:c r="W55" s="79"/>
      <x:c r="X55" s="60"/>
      <x:c r="Y55" s="73"/>
      <x:c r="Z55" s="79"/>
      <x:c r="AA55" s="84"/>
      <x:c r="AB55" s="1"/>
      <x:c r="AC55" s="79"/>
      <x:c r="AD55" s="60"/>
    </x:row>
    <x:row r="56" spans="1:30">
      <x:c r="A56" s="72"/>
      <x:c r="B56" s="79"/>
      <x:c r="C56" s="84"/>
      <x:c r="D56" s="1"/>
      <x:c r="E56" s="79"/>
      <x:c r="F56" s="60"/>
      <x:c r="G56" s="72"/>
      <x:c r="H56" s="79"/>
      <x:c r="I56" s="84"/>
      <x:c r="J56" s="1"/>
      <x:c r="K56" s="79"/>
      <x:c r="L56" s="60"/>
      <x:c r="M56" s="72"/>
      <x:c r="N56" s="79"/>
      <x:c r="O56" s="84"/>
      <x:c r="P56" s="1"/>
      <x:c r="Q56" s="79"/>
      <x:c r="R56" s="60"/>
      <x:c r="S56" s="72"/>
      <x:c r="T56" s="79"/>
      <x:c r="U56" s="84"/>
      <x:c r="V56" s="1"/>
      <x:c r="W56" s="79"/>
      <x:c r="X56" s="60"/>
      <x:c r="Y56" s="73"/>
      <x:c r="Z56" s="79"/>
      <x:c r="AA56" s="84"/>
      <x:c r="AB56" s="1"/>
      <x:c r="AC56" s="79"/>
      <x:c r="AD56" s="60"/>
    </x:row>
    <x:row r="57" spans="1:30">
      <x:c r="A57" s="72"/>
      <x:c r="B57" s="79"/>
      <x:c r="C57" s="84"/>
      <x:c r="D57" s="1"/>
      <x:c r="E57" s="79"/>
      <x:c r="F57" s="60"/>
      <x:c r="G57" s="72"/>
      <x:c r="H57" s="79"/>
      <x:c r="I57" s="84"/>
      <x:c r="J57" s="1"/>
      <x:c r="K57" s="79"/>
      <x:c r="L57" s="60"/>
      <x:c r="M57" s="72"/>
      <x:c r="N57" s="79"/>
      <x:c r="O57" s="84"/>
      <x:c r="P57" s="1"/>
      <x:c r="Q57" s="79"/>
      <x:c r="R57" s="60"/>
      <x:c r="S57" s="72"/>
      <x:c r="T57" s="79"/>
      <x:c r="U57" s="84"/>
      <x:c r="V57" s="1"/>
      <x:c r="W57" s="79"/>
      <x:c r="X57" s="60"/>
      <x:c r="Y57" s="73"/>
      <x:c r="Z57" s="79"/>
      <x:c r="AA57" s="84"/>
      <x:c r="AB57" s="1"/>
      <x:c r="AC57" s="79"/>
      <x:c r="AD57" s="60"/>
    </x:row>
    <x:row r="58" spans="1:30">
      <x:c r="A58" s="72"/>
      <x:c r="B58" s="79"/>
      <x:c r="C58" s="84"/>
      <x:c r="D58" s="1"/>
      <x:c r="E58" s="79"/>
      <x:c r="F58" s="60"/>
      <x:c r="G58" s="72"/>
      <x:c r="H58" s="79"/>
      <x:c r="I58" s="84"/>
      <x:c r="J58" s="1"/>
      <x:c r="K58" s="79"/>
      <x:c r="L58" s="60"/>
      <x:c r="M58" s="72"/>
      <x:c r="N58" s="79"/>
      <x:c r="O58" s="84"/>
      <x:c r="P58" s="1"/>
      <x:c r="Q58" s="79"/>
      <x:c r="R58" s="60"/>
      <x:c r="S58" s="72"/>
      <x:c r="T58" s="79"/>
      <x:c r="U58" s="84"/>
      <x:c r="V58" s="1"/>
      <x:c r="W58" s="79"/>
      <x:c r="X58" s="60"/>
      <x:c r="Y58" s="73"/>
      <x:c r="Z58" s="79"/>
      <x:c r="AA58" s="84"/>
      <x:c r="AB58" s="1"/>
      <x:c r="AC58" s="79"/>
      <x:c r="AD58" s="60"/>
    </x:row>
    <x:row r="59" spans="1:30">
      <x:c r="A59" s="72"/>
      <x:c r="B59" s="79"/>
      <x:c r="C59" s="84"/>
      <x:c r="D59" s="1"/>
      <x:c r="E59" s="79"/>
      <x:c r="F59" s="60"/>
      <x:c r="G59" s="72"/>
      <x:c r="H59" s="79"/>
      <x:c r="I59" s="84"/>
      <x:c r="J59" s="1"/>
      <x:c r="K59" s="79"/>
      <x:c r="L59" s="60"/>
      <x:c r="M59" s="72"/>
      <x:c r="N59" s="79"/>
      <x:c r="O59" s="84"/>
      <x:c r="P59" s="1"/>
      <x:c r="Q59" s="79"/>
      <x:c r="R59" s="60"/>
      <x:c r="S59" s="72"/>
      <x:c r="T59" s="79"/>
      <x:c r="U59" s="84"/>
      <x:c r="V59" s="1"/>
      <x:c r="W59" s="79"/>
      <x:c r="X59" s="60"/>
      <x:c r="Y59" s="73"/>
      <x:c r="Z59" s="79"/>
      <x:c r="AA59" s="84"/>
      <x:c r="AB59" s="1"/>
      <x:c r="AC59" s="79"/>
      <x:c r="AD59" s="60"/>
    </x:row>
    <x:row r="60" spans="1:30">
      <x:c r="A60" s="136"/>
      <x:c r="B60" s="137"/>
      <x:c r="C60" s="138"/>
      <x:c r="E60" s="137"/>
      <x:c r="F60" s="139"/>
      <x:c r="G60" s="136"/>
      <x:c r="H60" s="137"/>
      <x:c r="I60" s="138"/>
      <x:c r="K60" s="137"/>
      <x:c r="L60" s="139"/>
      <x:c r="M60" s="136"/>
      <x:c r="N60" s="137"/>
      <x:c r="O60" s="138"/>
      <x:c r="Q60" s="137"/>
      <x:c r="R60" s="139"/>
      <x:c r="S60" s="72"/>
      <x:c r="T60" s="79"/>
      <x:c r="U60" s="84"/>
      <x:c r="V60" s="1"/>
      <x:c r="W60" s="79"/>
      <x:c r="X60" s="60"/>
      <x:c r="Y60" s="73"/>
      <x:c r="Z60" s="79"/>
      <x:c r="AA60" s="84"/>
      <x:c r="AB60" s="1"/>
      <x:c r="AC60" s="79"/>
      <x:c r="AD60" s="60"/>
    </x:row>
    <x:row r="61" spans="1:36" ht="16.75">
      <x:c r="A61" s="328" t="s">
        <x:v>3226</x:v>
      </x:c>
      <x:c r="B61" s="329"/>
      <x:c r="C61" s="329"/>
      <x:c r="D61" s="329"/>
      <x:c r="E61" s="329"/>
      <x:c r="F61" s="329"/>
      <x:c r="G61" s="329"/>
      <x:c r="H61" s="329"/>
      <x:c r="I61" s="329"/>
      <x:c r="J61" s="329"/>
      <x:c r="K61" s="329"/>
      <x:c r="L61" s="329"/>
      <x:c r="M61" s="329"/>
      <x:c r="N61" s="329"/>
      <x:c r="O61" s="329"/>
      <x:c r="P61" s="329"/>
      <x:c r="Q61" s="329"/>
      <x:c r="R61" s="329"/>
      <x:c r="S61" s="329"/>
      <x:c r="T61" s="329"/>
      <x:c r="U61" s="329"/>
      <x:c r="V61" s="329"/>
      <x:c r="W61" s="329"/>
      <x:c r="X61" s="330"/>
      <x:c r="Y61" s="366" t="s">
        <x:v>3312</x:v>
      </x:c>
      <x:c r="Z61" s="367"/>
      <x:c r="AA61" s="367"/>
      <x:c r="AB61" s="367"/>
      <x:c r="AC61" s="367"/>
      <x:c r="AD61" s="367"/>
      <x:c r="AE61" s="367"/>
      <x:c r="AF61" s="367"/>
      <x:c r="AG61" s="367"/>
      <x:c r="AH61" s="367"/>
      <x:c r="AI61" s="367"/>
      <x:c r="AJ61" s="368"/>
    </x:row>
    <x:row r="62" spans="1:36">
      <x:c r="A62" s="334" t="s">
        <x:v>1875</x:v>
      </x:c>
      <x:c r="B62" s="335"/>
      <x:c r="C62" s="335"/>
      <x:c r="D62" s="335"/>
      <x:c r="E62" s="335"/>
      <x:c r="F62" s="335"/>
      <x:c r="G62" s="335"/>
      <x:c r="H62" s="335"/>
      <x:c r="I62" s="335"/>
      <x:c r="J62" s="335"/>
      <x:c r="K62" s="335"/>
      <x:c r="L62" s="335"/>
      <x:c r="M62" s="335"/>
      <x:c r="N62" s="335"/>
      <x:c r="O62" s="335"/>
      <x:c r="P62" s="335"/>
      <x:c r="Q62" s="335"/>
      <x:c r="R62" s="335"/>
      <x:c r="S62" s="335"/>
      <x:c r="T62" s="335"/>
      <x:c r="U62" s="335"/>
      <x:c r="V62" s="335"/>
      <x:c r="W62" s="335"/>
      <x:c r="X62" s="336"/>
      <x:c r="Y62" s="369" t="s">
        <x:v>8</x:v>
      </x:c>
      <x:c r="Z62" s="370"/>
      <x:c r="AA62" s="370"/>
      <x:c r="AB62" s="370"/>
      <x:c r="AC62" s="370"/>
      <x:c r="AD62" s="370"/>
      <x:c r="AE62" s="370"/>
      <x:c r="AF62" s="370"/>
      <x:c r="AG62" s="370"/>
      <x:c r="AH62" s="370"/>
      <x:c r="AI62" s="370"/>
      <x:c r="AJ62" s="371"/>
    </x:row>
    <x:row r="63" spans="1:36" ht="17.14999999999999857891">
      <x:c r="A63" s="340" t="s">
        <x:v>1580</x:v>
      </x:c>
      <x:c r="B63" s="341"/>
      <x:c r="C63" s="341"/>
      <x:c r="D63" s="341"/>
      <x:c r="E63" s="341"/>
      <x:c r="F63" s="342"/>
      <x:c r="G63" s="340" t="s">
        <x:v>1257</x:v>
      </x:c>
      <x:c r="H63" s="341"/>
      <x:c r="I63" s="341"/>
      <x:c r="J63" s="341"/>
      <x:c r="K63" s="341"/>
      <x:c r="L63" s="342"/>
      <x:c r="M63" s="340" t="s">
        <x:v>1587</x:v>
      </x:c>
      <x:c r="N63" s="341"/>
      <x:c r="O63" s="341"/>
      <x:c r="P63" s="341"/>
      <x:c r="Q63" s="341"/>
      <x:c r="R63" s="342"/>
      <x:c r="S63" s="340" t="s">
        <x:v>1547</x:v>
      </x:c>
      <x:c r="T63" s="341"/>
      <x:c r="U63" s="341"/>
      <x:c r="V63" s="341"/>
      <x:c r="W63" s="341"/>
      <x:c r="X63" s="342"/>
      <x:c r="Y63" s="340" t="s">
        <x:v>1587</x:v>
      </x:c>
      <x:c r="Z63" s="341"/>
      <x:c r="AA63" s="341"/>
      <x:c r="AB63" s="341"/>
      <x:c r="AC63" s="341"/>
      <x:c r="AD63" s="342"/>
      <x:c r="AE63" s="340" t="s">
        <x:v>1547</x:v>
      </x:c>
      <x:c r="AF63" s="341"/>
      <x:c r="AG63" s="341"/>
      <x:c r="AH63" s="341"/>
      <x:c r="AI63" s="341"/>
      <x:c r="AJ63" s="342"/>
    </x:row>
    <x:row r="64" spans="1:36">
      <x:c r="A64" s="343" t="s">
        <x:v>1246</x:v>
      </x:c>
      <x:c r="B64" s="310"/>
      <x:c r="C64" s="344" t="s">
        <x:v>1260</x:v>
      </x:c>
      <x:c r="D64" s="345"/>
      <x:c r="E64" s="310"/>
      <x:c r="F64" s="346" t="s">
        <x:v>1583</x:v>
      </x:c>
      <x:c r="G64" s="343" t="s">
        <x:v>1246</x:v>
      </x:c>
      <x:c r="H64" s="310"/>
      <x:c r="I64" s="344" t="s">
        <x:v>1260</x:v>
      </x:c>
      <x:c r="J64" s="345"/>
      <x:c r="K64" s="310"/>
      <x:c r="L64" s="346" t="s">
        <x:v>1583</x:v>
      </x:c>
      <x:c r="M64" s="343" t="s">
        <x:v>1246</x:v>
      </x:c>
      <x:c r="N64" s="310"/>
      <x:c r="O64" s="344" t="s">
        <x:v>1260</x:v>
      </x:c>
      <x:c r="P64" s="345"/>
      <x:c r="Q64" s="310"/>
      <x:c r="R64" s="346" t="s">
        <x:v>1583</x:v>
      </x:c>
      <x:c r="S64" s="343" t="s">
        <x:v>1246</x:v>
      </x:c>
      <x:c r="T64" s="310"/>
      <x:c r="U64" s="344" t="s">
        <x:v>1260</x:v>
      </x:c>
      <x:c r="V64" s="345"/>
      <x:c r="W64" s="310"/>
      <x:c r="X64" s="346" t="s">
        <x:v>1583</x:v>
      </x:c>
      <x:c r="Y64" s="343" t="s">
        <x:v>1246</x:v>
      </x:c>
      <x:c r="Z64" s="310"/>
      <x:c r="AA64" s="344" t="s">
        <x:v>1260</x:v>
      </x:c>
      <x:c r="AB64" s="345"/>
      <x:c r="AC64" s="310"/>
      <x:c r="AD64" s="346" t="s">
        <x:v>1583</x:v>
      </x:c>
      <x:c r="AE64" s="343" t="s">
        <x:v>1246</x:v>
      </x:c>
      <x:c r="AF64" s="310"/>
      <x:c r="AG64" s="344" t="s">
        <x:v>1260</x:v>
      </x:c>
      <x:c r="AH64" s="345"/>
      <x:c r="AI64" s="310"/>
      <x:c r="AJ64" s="346" t="s">
        <x:v>1583</x:v>
      </x:c>
    </x:row>
    <x:row r="65" spans="1:36">
      <x:c r="A65" s="80" t="s">
        <x:v>2061</x:v>
      </x:c>
      <x:c r="B65" s="78" t="s">
        <x:v>1560</x:v>
      </x:c>
      <x:c r="C65" s="31" t="s">
        <x:v>1903</x:v>
      </x:c>
      <x:c r="D65" s="77" t="s">
        <x:v>1409</x:v>
      </x:c>
      <x:c r="E65" s="78" t="s">
        <x:v>1560</x:v>
      </x:c>
      <x:c r="F65" s="347" t="s">
        <x:v>1583</x:v>
      </x:c>
      <x:c r="G65" s="80" t="s">
        <x:v>2061</x:v>
      </x:c>
      <x:c r="H65" s="78" t="s">
        <x:v>1560</x:v>
      </x:c>
      <x:c r="I65" s="31" t="s">
        <x:v>1903</x:v>
      </x:c>
      <x:c r="J65" s="77" t="s">
        <x:v>1409</x:v>
      </x:c>
      <x:c r="K65" s="78" t="s">
        <x:v>1560</x:v>
      </x:c>
      <x:c r="L65" s="347" t="s">
        <x:v>1583</x:v>
      </x:c>
      <x:c r="M65" s="80" t="s">
        <x:v>2061</x:v>
      </x:c>
      <x:c r="N65" s="78" t="s">
        <x:v>1560</x:v>
      </x:c>
      <x:c r="O65" s="31" t="s">
        <x:v>1903</x:v>
      </x:c>
      <x:c r="P65" s="77" t="s">
        <x:v>1409</x:v>
      </x:c>
      <x:c r="Q65" s="78" t="s">
        <x:v>1560</x:v>
      </x:c>
      <x:c r="R65" s="347" t="s">
        <x:v>1583</x:v>
      </x:c>
      <x:c r="S65" s="80" t="s">
        <x:v>2061</x:v>
      </x:c>
      <x:c r="T65" s="78" t="s">
        <x:v>1560</x:v>
      </x:c>
      <x:c r="U65" s="31" t="s">
        <x:v>1903</x:v>
      </x:c>
      <x:c r="V65" s="77" t="s">
        <x:v>1409</x:v>
      </x:c>
      <x:c r="W65" s="78" t="s">
        <x:v>1560</x:v>
      </x:c>
      <x:c r="X65" s="347" t="s">
        <x:v>1583</x:v>
      </x:c>
      <x:c r="Y65" s="80" t="s">
        <x:v>2061</x:v>
      </x:c>
      <x:c r="Z65" s="78" t="s">
        <x:v>1560</x:v>
      </x:c>
      <x:c r="AA65" s="31" t="s">
        <x:v>1903</x:v>
      </x:c>
      <x:c r="AB65" s="77" t="s">
        <x:v>1409</x:v>
      </x:c>
      <x:c r="AC65" s="78" t="s">
        <x:v>1560</x:v>
      </x:c>
      <x:c r="AD65" s="347" t="s">
        <x:v>1583</x:v>
      </x:c>
      <x:c r="AE65" s="80" t="s">
        <x:v>2061</x:v>
      </x:c>
      <x:c r="AF65" s="78" t="s">
        <x:v>1560</x:v>
      </x:c>
      <x:c r="AG65" s="31" t="s">
        <x:v>1903</x:v>
      </x:c>
      <x:c r="AH65" s="77" t="s">
        <x:v>1409</x:v>
      </x:c>
      <x:c r="AI65" s="78" t="s">
        <x:v>1560</x:v>
      </x:c>
      <x:c r="AJ65" s="347" t="s">
        <x:v>1583</x:v>
      </x:c>
    </x:row>
    <x:row r="66" spans="1:36">
      <x:c r="A66" s="73">
        <x:v>43525</x:v>
      </x:c>
      <x:c r="B66" s="79">
        <x:v>2</x:v>
      </x:c>
      <x:c r="C66" s="84">
        <x:v>43776</x:v>
      </x:c>
      <x:c r="D66" s="1" t="s">
        <x:v>1501</x:v>
      </x:c>
      <x:c r="E66" s="79">
        <x:v>1</x:v>
      </x:c>
      <x:c r="F66" s="60">
        <x:f>B66-E66</x:f>
        <x:v>1</x:v>
      </x:c>
      <x:c r="G66" s="73">
        <x:v>43525</x:v>
      </x:c>
      <x:c r="H66" s="79">
        <x:v>2</x:v>
      </x:c>
      <x:c r="I66" s="84">
        <x:v>43656</x:v>
      </x:c>
      <x:c r="J66" s="1" t="s">
        <x:v>1248</x:v>
      </x:c>
      <x:c r="K66" s="79">
        <x:v>1</x:v>
      </x:c>
      <x:c r="L66" s="60">
        <x:v>1</x:v>
      </x:c>
      <x:c r="M66" s="73">
        <x:v>43525</x:v>
      </x:c>
      <x:c r="N66" s="79">
        <x:v>2</x:v>
      </x:c>
      <x:c r="O66" s="30"/>
      <x:c r="P66" s="1"/>
      <x:c r="Q66" s="79"/>
      <x:c r="R66" s="60">
        <x:f>N66-Q66</x:f>
        <x:v>2</x:v>
      </x:c>
      <x:c r="S66" s="73">
        <x:v>43545</x:v>
      </x:c>
      <x:c r="T66" s="79">
        <x:v>1</x:v>
      </x:c>
      <x:c r="U66" s="84">
        <x:v>43545</x:v>
      </x:c>
      <x:c r="V66" s="1" t="s">
        <x:v>1248</x:v>
      </x:c>
      <x:c r="W66" s="79">
        <x:v>1</x:v>
      </x:c>
      <x:c r="X66" s="60">
        <x:f>T66-W66</x:f>
        <x:v>0</x:v>
      </x:c>
      <x:c r="Y66" s="73">
        <x:v>43525</x:v>
      </x:c>
      <x:c r="Z66" s="79">
        <x:v>1</x:v>
      </x:c>
      <x:c r="AA66" s="30"/>
      <x:c r="AB66" s="1"/>
      <x:c r="AC66" s="79"/>
      <x:c r="AD66" s="60">
        <x:f>Z66-AC66</x:f>
        <x:v>1</x:v>
      </x:c>
      <x:c r="AE66" s="73">
        <x:v>43525</x:v>
      </x:c>
      <x:c r="AF66" s="79">
        <x:v>1</x:v>
      </x:c>
      <x:c r="AG66" s="30"/>
      <x:c r="AH66" s="1"/>
      <x:c r="AI66" s="79"/>
      <x:c r="AJ66" s="60">
        <x:f>AF66-AI66</x:f>
        <x:v>1</x:v>
      </x:c>
    </x:row>
    <x:row r="67" spans="1:36">
      <x:c r="A67" s="114"/>
      <x:c r="B67" s="113"/>
      <x:c r="C67" s="84" t="s">
        <x:v>1893</x:v>
      </x:c>
      <x:c r="D67" s="1"/>
      <x:c r="E67" s="79">
        <x:v>1</x:v>
      </x:c>
      <x:c r="F67" s="60">
        <x:v>0</x:v>
      </x:c>
      <x:c r="G67" s="114"/>
      <x:c r="H67" s="113"/>
      <x:c r="I67" s="84">
        <x:v>44006</x:v>
      </x:c>
      <x:c r="J67" s="1" t="s">
        <x:v>1248</x:v>
      </x:c>
      <x:c r="K67" s="79">
        <x:v>1</x:v>
      </x:c>
      <x:c r="L67" s="60">
        <x:v>0</x:v>
      </x:c>
      <x:c r="M67" s="72"/>
      <x:c r="N67" s="79"/>
      <x:c r="O67" s="30"/>
      <x:c r="P67" s="1"/>
      <x:c r="Q67" s="79"/>
      <x:c r="R67" s="60"/>
      <x:c r="S67" s="73">
        <x:v>43746</x:v>
      </x:c>
      <x:c r="T67" s="79">
        <x:v>1</x:v>
      </x:c>
      <x:c r="U67" s="84">
        <x:v>43746</x:v>
      </x:c>
      <x:c r="V67" s="1" t="s">
        <x:v>1501</x:v>
      </x:c>
      <x:c r="W67" s="79">
        <x:v>1</x:v>
      </x:c>
      <x:c r="X67" s="60">
        <x:v>0</x:v>
      </x:c>
      <x:c r="Y67" s="73"/>
      <x:c r="Z67" s="79"/>
      <x:c r="AA67" s="135" t="s">
        <x:v>3187</x:v>
      </x:c>
      <x:c r="AB67" s="1"/>
      <x:c r="AC67" s="79">
        <x:v>1</x:v>
      </x:c>
      <x:c r="AD67" s="60">
        <x:v>0</x:v>
      </x:c>
      <x:c r="AE67" s="72"/>
      <x:c r="AF67" s="79"/>
      <x:c r="AG67" s="135" t="s">
        <x:v>3187</x:v>
      </x:c>
      <x:c r="AH67" s="1"/>
      <x:c r="AI67" s="79">
        <x:v>1</x:v>
      </x:c>
      <x:c r="AJ67" s="60">
        <x:v>0</x:v>
      </x:c>
    </x:row>
    <x:row r="68" spans="1:36">
      <x:c r="A68" s="73">
        <x:v>43885</x:v>
      </x:c>
      <x:c r="B68" s="79">
        <x:v>1</x:v>
      </x:c>
      <x:c r="C68" s="84">
        <x:v>43885</x:v>
      </x:c>
      <x:c r="D68" s="1"/>
      <x:c r="E68" s="79">
        <x:v>1</x:v>
      </x:c>
      <x:c r="F68" s="60">
        <x:v>0</x:v>
      </x:c>
      <x:c r="G68" s="72"/>
      <x:c r="H68" s="79"/>
      <x:c r="I68" s="30"/>
      <x:c r="J68" s="1"/>
      <x:c r="K68" s="79"/>
      <x:c r="L68" s="60"/>
      <x:c r="M68" s="72"/>
      <x:c r="N68" s="79"/>
      <x:c r="O68" s="30"/>
      <x:c r="P68" s="1"/>
      <x:c r="Q68" s="79"/>
      <x:c r="R68" s="60"/>
      <x:c r="S68" s="114"/>
      <x:c r="T68" s="113"/>
      <x:c r="U68" s="30"/>
      <x:c r="V68" s="1"/>
      <x:c r="W68" s="79"/>
      <x:c r="X68" s="60"/>
      <x:c r="Y68" s="72"/>
      <x:c r="Z68" s="79"/>
      <x:c r="AA68" s="30"/>
      <x:c r="AB68" s="1"/>
      <x:c r="AC68" s="79"/>
      <x:c r="AD68" s="60"/>
      <x:c r="AE68" s="72"/>
      <x:c r="AF68" s="79"/>
      <x:c r="AG68" s="30"/>
      <x:c r="AH68" s="1"/>
      <x:c r="AI68" s="79"/>
      <x:c r="AJ68" s="60"/>
    </x:row>
    <x:row r="69" spans="1:36">
      <x:c r="A69" s="72"/>
      <x:c r="B69" s="79"/>
      <x:c r="C69" s="84"/>
      <x:c r="D69" s="1"/>
      <x:c r="E69" s="79"/>
      <x:c r="F69" s="60"/>
      <x:c r="G69" s="72"/>
      <x:c r="H69" s="79"/>
      <x:c r="I69" s="30"/>
      <x:c r="J69" s="1"/>
      <x:c r="K69" s="79"/>
      <x:c r="L69" s="60"/>
      <x:c r="M69" s="72"/>
      <x:c r="N69" s="79"/>
      <x:c r="O69" s="30"/>
      <x:c r="P69" s="1"/>
      <x:c r="Q69" s="79"/>
      <x:c r="R69" s="60"/>
      <x:c r="S69" s="72"/>
      <x:c r="T69" s="79"/>
      <x:c r="U69" s="30"/>
      <x:c r="V69" s="1"/>
      <x:c r="W69" s="79"/>
      <x:c r="X69" s="60"/>
      <x:c r="Y69" s="72"/>
      <x:c r="Z69" s="79"/>
      <x:c r="AA69" s="30"/>
      <x:c r="AB69" s="1"/>
      <x:c r="AC69" s="79"/>
      <x:c r="AD69" s="60"/>
      <x:c r="AE69" s="72"/>
      <x:c r="AF69" s="79"/>
      <x:c r="AG69" s="30"/>
      <x:c r="AH69" s="1"/>
      <x:c r="AI69" s="79"/>
      <x:c r="AJ69" s="60"/>
    </x:row>
    <x:row r="70" spans="1:36">
      <x:c r="A70" s="72"/>
      <x:c r="B70" s="79"/>
      <x:c r="C70" s="84"/>
      <x:c r="D70" s="1"/>
      <x:c r="E70" s="79"/>
      <x:c r="F70" s="60"/>
      <x:c r="G70" s="72"/>
      <x:c r="H70" s="79"/>
      <x:c r="I70" s="30"/>
      <x:c r="J70" s="1"/>
      <x:c r="K70" s="79"/>
      <x:c r="L70" s="60"/>
      <x:c r="M70" s="72"/>
      <x:c r="N70" s="79"/>
      <x:c r="O70" s="30"/>
      <x:c r="P70" s="1"/>
      <x:c r="Q70" s="79"/>
      <x:c r="R70" s="60"/>
      <x:c r="S70" s="72"/>
      <x:c r="T70" s="79"/>
      <x:c r="U70" s="30"/>
      <x:c r="V70" s="1"/>
      <x:c r="W70" s="79"/>
      <x:c r="X70" s="60"/>
      <x:c r="Y70" s="72"/>
      <x:c r="Z70" s="79"/>
      <x:c r="AA70" s="30"/>
      <x:c r="AB70" s="1"/>
      <x:c r="AC70" s="79"/>
      <x:c r="AD70" s="60"/>
      <x:c r="AE70" s="72"/>
      <x:c r="AF70" s="79"/>
      <x:c r="AG70" s="30"/>
      <x:c r="AH70" s="1"/>
      <x:c r="AI70" s="79"/>
      <x:c r="AJ70" s="60"/>
    </x:row>
    <x:row r="71" spans="1:36">
      <x:c r="A71" s="72"/>
      <x:c r="B71" s="79"/>
      <x:c r="C71" s="84"/>
      <x:c r="D71" s="1"/>
      <x:c r="E71" s="79"/>
      <x:c r="F71" s="60"/>
      <x:c r="G71" s="72"/>
      <x:c r="H71" s="79"/>
      <x:c r="I71" s="30"/>
      <x:c r="J71" s="1"/>
      <x:c r="K71" s="79"/>
      <x:c r="L71" s="60"/>
      <x:c r="M71" s="72"/>
      <x:c r="N71" s="79"/>
      <x:c r="O71" s="30"/>
      <x:c r="P71" s="1"/>
      <x:c r="Q71" s="79"/>
      <x:c r="R71" s="60"/>
      <x:c r="S71" s="72"/>
      <x:c r="T71" s="79"/>
      <x:c r="U71" s="30"/>
      <x:c r="V71" s="1"/>
      <x:c r="W71" s="79"/>
      <x:c r="X71" s="60"/>
      <x:c r="Y71" s="72"/>
      <x:c r="Z71" s="79"/>
      <x:c r="AA71" s="30"/>
      <x:c r="AB71" s="1"/>
      <x:c r="AC71" s="79"/>
      <x:c r="AD71" s="60"/>
      <x:c r="AE71" s="72"/>
      <x:c r="AF71" s="79"/>
      <x:c r="AG71" s="30"/>
      <x:c r="AH71" s="1"/>
      <x:c r="AI71" s="79"/>
      <x:c r="AJ71" s="60"/>
    </x:row>
    <x:row r="72" spans="1:36">
      <x:c r="A72" s="72"/>
      <x:c r="B72" s="79"/>
      <x:c r="C72" s="84"/>
      <x:c r="D72" s="1"/>
      <x:c r="E72" s="79"/>
      <x:c r="F72" s="60"/>
      <x:c r="G72" s="72"/>
      <x:c r="H72" s="79"/>
      <x:c r="I72" s="30"/>
      <x:c r="J72" s="1"/>
      <x:c r="K72" s="79"/>
      <x:c r="L72" s="60"/>
      <x:c r="M72" s="72"/>
      <x:c r="N72" s="79"/>
      <x:c r="O72" s="30"/>
      <x:c r="P72" s="1"/>
      <x:c r="Q72" s="79"/>
      <x:c r="R72" s="60"/>
      <x:c r="S72" s="72"/>
      <x:c r="T72" s="79"/>
      <x:c r="U72" s="30"/>
      <x:c r="V72" s="1"/>
      <x:c r="W72" s="79"/>
      <x:c r="X72" s="60"/>
      <x:c r="Y72" s="72"/>
      <x:c r="Z72" s="79"/>
      <x:c r="AA72" s="30"/>
      <x:c r="AB72" s="1"/>
      <x:c r="AC72" s="79"/>
      <x:c r="AD72" s="60"/>
      <x:c r="AE72" s="72"/>
      <x:c r="AF72" s="79"/>
      <x:c r="AG72" s="30"/>
      <x:c r="AH72" s="1"/>
      <x:c r="AI72" s="79"/>
      <x:c r="AJ72" s="60"/>
    </x:row>
    <x:row r="73" spans="1:36">
      <x:c r="A73" s="72"/>
      <x:c r="B73" s="79"/>
      <x:c r="C73" s="84"/>
      <x:c r="D73" s="1"/>
      <x:c r="E73" s="79"/>
      <x:c r="F73" s="60"/>
      <x:c r="G73" s="72"/>
      <x:c r="H73" s="79"/>
      <x:c r="I73" s="30"/>
      <x:c r="J73" s="1"/>
      <x:c r="K73" s="79"/>
      <x:c r="L73" s="60"/>
      <x:c r="M73" s="72"/>
      <x:c r="N73" s="79"/>
      <x:c r="O73" s="30"/>
      <x:c r="P73" s="1"/>
      <x:c r="Q73" s="79"/>
      <x:c r="R73" s="60"/>
      <x:c r="S73" s="72"/>
      <x:c r="T73" s="79"/>
      <x:c r="U73" s="30"/>
      <x:c r="V73" s="1"/>
      <x:c r="W73" s="79"/>
      <x:c r="X73" s="60"/>
      <x:c r="Y73" s="72"/>
      <x:c r="Z73" s="79"/>
      <x:c r="AA73" s="30"/>
      <x:c r="AB73" s="1"/>
      <x:c r="AC73" s="79"/>
      <x:c r="AD73" s="60"/>
      <x:c r="AE73" s="72"/>
      <x:c r="AF73" s="79"/>
      <x:c r="AG73" s="30"/>
      <x:c r="AH73" s="1"/>
      <x:c r="AI73" s="79"/>
      <x:c r="AJ73" s="60"/>
    </x:row>
    <x:row r="74" spans="1:36">
      <x:c r="A74" s="72"/>
      <x:c r="B74" s="79"/>
      <x:c r="C74" s="84"/>
      <x:c r="D74" s="1"/>
      <x:c r="E74" s="79"/>
      <x:c r="F74" s="60"/>
      <x:c r="G74" s="72"/>
      <x:c r="H74" s="79"/>
      <x:c r="I74" s="30"/>
      <x:c r="J74" s="1"/>
      <x:c r="K74" s="79"/>
      <x:c r="L74" s="60"/>
      <x:c r="M74" s="72"/>
      <x:c r="N74" s="79"/>
      <x:c r="O74" s="30"/>
      <x:c r="P74" s="1"/>
      <x:c r="Q74" s="79"/>
      <x:c r="R74" s="60"/>
      <x:c r="S74" s="72"/>
      <x:c r="T74" s="79"/>
      <x:c r="U74" s="30"/>
      <x:c r="V74" s="1"/>
      <x:c r="W74" s="79"/>
      <x:c r="X74" s="60"/>
      <x:c r="Y74" s="72"/>
      <x:c r="Z74" s="79"/>
      <x:c r="AA74" s="30"/>
      <x:c r="AB74" s="1"/>
      <x:c r="AC74" s="79"/>
      <x:c r="AD74" s="60"/>
      <x:c r="AE74" s="72"/>
      <x:c r="AF74" s="79"/>
      <x:c r="AG74" s="30"/>
      <x:c r="AH74" s="1"/>
      <x:c r="AI74" s="79"/>
      <x:c r="AJ74" s="60"/>
    </x:row>
    <x:row r="75" spans="1:36">
      <x:c r="A75" s="72"/>
      <x:c r="B75" s="79"/>
      <x:c r="C75" s="84"/>
      <x:c r="D75" s="1"/>
      <x:c r="E75" s="79"/>
      <x:c r="F75" s="60"/>
      <x:c r="G75" s="72"/>
      <x:c r="H75" s="79"/>
      <x:c r="I75" s="30"/>
      <x:c r="J75" s="1"/>
      <x:c r="K75" s="79"/>
      <x:c r="L75" s="60"/>
      <x:c r="M75" s="72"/>
      <x:c r="N75" s="79"/>
      <x:c r="O75" s="30"/>
      <x:c r="P75" s="1"/>
      <x:c r="Q75" s="79"/>
      <x:c r="R75" s="60"/>
      <x:c r="S75" s="72"/>
      <x:c r="T75" s="79"/>
      <x:c r="U75" s="30"/>
      <x:c r="V75" s="1"/>
      <x:c r="W75" s="79"/>
      <x:c r="X75" s="60"/>
      <x:c r="Y75" s="72"/>
      <x:c r="Z75" s="79"/>
      <x:c r="AA75" s="30"/>
      <x:c r="AB75" s="1"/>
      <x:c r="AC75" s="79"/>
      <x:c r="AD75" s="60"/>
      <x:c r="AE75" s="72"/>
      <x:c r="AF75" s="79"/>
      <x:c r="AG75" s="30"/>
      <x:c r="AH75" s="1"/>
      <x:c r="AI75" s="79"/>
      <x:c r="AJ75" s="60"/>
    </x:row>
    <x:row r="76" spans="1:36" ht="16.75">
      <x:c r="A76" s="74"/>
      <x:c r="B76" s="81"/>
      <x:c r="C76" s="85"/>
      <x:c r="D76" s="75"/>
      <x:c r="E76" s="81"/>
      <x:c r="F76" s="76"/>
      <x:c r="G76" s="74"/>
      <x:c r="H76" s="81"/>
      <x:c r="I76" s="82"/>
      <x:c r="J76" s="75"/>
      <x:c r="K76" s="81"/>
      <x:c r="L76" s="76"/>
      <x:c r="M76" s="74"/>
      <x:c r="N76" s="81"/>
      <x:c r="O76" s="82"/>
      <x:c r="P76" s="75"/>
      <x:c r="Q76" s="81"/>
      <x:c r="R76" s="76"/>
      <x:c r="S76" s="74"/>
      <x:c r="T76" s="81"/>
      <x:c r="U76" s="82"/>
      <x:c r="V76" s="75"/>
      <x:c r="W76" s="81"/>
      <x:c r="X76" s="76"/>
      <x:c r="Y76" s="74"/>
      <x:c r="Z76" s="81"/>
      <x:c r="AA76" s="82"/>
      <x:c r="AB76" s="75"/>
      <x:c r="AC76" s="81"/>
      <x:c r="AD76" s="76"/>
      <x:c r="AE76" s="74"/>
      <x:c r="AF76" s="81"/>
      <x:c r="AG76" s="82"/>
      <x:c r="AH76" s="75"/>
      <x:c r="AI76" s="81"/>
      <x:c r="AJ76" s="76"/>
    </x:row>
    <x:row r="77" spans="1:60" ht="16.75">
      <x:c r="A77" s="354" t="s">
        <x:v>1253</x:v>
      </x:c>
      <x:c r="B77" s="355"/>
      <x:c r="C77" s="355"/>
      <x:c r="D77" s="355"/>
      <x:c r="E77" s="355"/>
      <x:c r="F77" s="355"/>
      <x:c r="G77" s="355"/>
      <x:c r="H77" s="355"/>
      <x:c r="I77" s="355"/>
      <x:c r="J77" s="355"/>
      <x:c r="K77" s="355"/>
      <x:c r="L77" s="355"/>
      <x:c r="M77" s="355"/>
      <x:c r="N77" s="355"/>
      <x:c r="O77" s="355"/>
      <x:c r="P77" s="355"/>
      <x:c r="Q77" s="355"/>
      <x:c r="R77" s="355"/>
      <x:c r="S77" s="355"/>
      <x:c r="T77" s="355"/>
      <x:c r="U77" s="355"/>
      <x:c r="V77" s="355"/>
      <x:c r="W77" s="355"/>
      <x:c r="X77" s="355"/>
      <x:c r="Y77" s="355"/>
      <x:c r="Z77" s="355"/>
      <x:c r="AA77" s="355"/>
      <x:c r="AB77" s="355"/>
      <x:c r="AC77" s="355"/>
      <x:c r="AD77" s="355"/>
      <x:c r="AE77" s="355"/>
      <x:c r="AF77" s="355"/>
      <x:c r="AG77" s="355"/>
      <x:c r="AH77" s="355"/>
      <x:c r="AI77" s="355"/>
      <x:c r="AJ77" s="355"/>
      <x:c r="AK77" s="355"/>
      <x:c r="AL77" s="355"/>
      <x:c r="AM77" s="355"/>
      <x:c r="AN77" s="355"/>
      <x:c r="AO77" s="355"/>
      <x:c r="AP77" s="355"/>
      <x:c r="AQ77" s="355"/>
      <x:c r="AR77" s="355"/>
      <x:c r="AS77" s="355"/>
      <x:c r="AT77" s="355"/>
      <x:c r="AU77" s="355"/>
      <x:c r="AV77" s="355"/>
      <x:c r="AW77" s="355"/>
      <x:c r="AX77" s="355"/>
      <x:c r="AY77" s="355"/>
      <x:c r="AZ77" s="355"/>
      <x:c r="BA77" s="355"/>
      <x:c r="BB77" s="355"/>
      <x:c r="BC77" s="355"/>
      <x:c r="BD77" s="355"/>
      <x:c r="BE77" s="355"/>
      <x:c r="BF77" s="355"/>
      <x:c r="BG77" s="355"/>
      <x:c r="BH77" s="356"/>
    </x:row>
    <x:row r="78" spans="1:60">
      <x:c r="A78" s="372" t="s">
        <x:v>1934</x:v>
      </x:c>
      <x:c r="B78" s="373"/>
      <x:c r="C78" s="373"/>
      <x:c r="D78" s="373"/>
      <x:c r="E78" s="373"/>
      <x:c r="F78" s="373"/>
      <x:c r="G78" s="373"/>
      <x:c r="H78" s="373"/>
      <x:c r="I78" s="373"/>
      <x:c r="J78" s="373"/>
      <x:c r="K78" s="373"/>
      <x:c r="L78" s="373"/>
      <x:c r="M78" s="373"/>
      <x:c r="N78" s="373"/>
      <x:c r="O78" s="373"/>
      <x:c r="P78" s="373"/>
      <x:c r="Q78" s="373"/>
      <x:c r="R78" s="373"/>
      <x:c r="S78" s="373"/>
      <x:c r="T78" s="373"/>
      <x:c r="U78" s="373"/>
      <x:c r="V78" s="373"/>
      <x:c r="W78" s="373"/>
      <x:c r="X78" s="373"/>
      <x:c r="Y78" s="373"/>
      <x:c r="Z78" s="373"/>
      <x:c r="AA78" s="373"/>
      <x:c r="AB78" s="373"/>
      <x:c r="AC78" s="373"/>
      <x:c r="AD78" s="373"/>
      <x:c r="AE78" s="373"/>
      <x:c r="AF78" s="373"/>
      <x:c r="AG78" s="373"/>
      <x:c r="AH78" s="373"/>
      <x:c r="AI78" s="373"/>
      <x:c r="AJ78" s="373"/>
      <x:c r="AK78" s="373"/>
      <x:c r="AL78" s="373"/>
      <x:c r="AM78" s="373"/>
      <x:c r="AN78" s="373"/>
      <x:c r="AO78" s="373"/>
      <x:c r="AP78" s="373"/>
      <x:c r="AQ78" s="373"/>
      <x:c r="AR78" s="373"/>
      <x:c r="AS78" s="373"/>
      <x:c r="AT78" s="373"/>
      <x:c r="AU78" s="373"/>
      <x:c r="AV78" s="373"/>
      <x:c r="AW78" s="373"/>
      <x:c r="AX78" s="373"/>
      <x:c r="AY78" s="373"/>
      <x:c r="AZ78" s="373"/>
      <x:c r="BA78" s="373"/>
      <x:c r="BB78" s="373"/>
      <x:c r="BC78" s="373"/>
      <x:c r="BD78" s="373"/>
      <x:c r="BE78" s="373"/>
      <x:c r="BF78" s="373"/>
      <x:c r="BG78" s="373"/>
      <x:c r="BH78" s="374"/>
    </x:row>
    <x:row r="79" spans="1:60" ht="17.14999999999999857891">
      <x:c r="A79" s="340" t="s">
        <x:v>3190</x:v>
      </x:c>
      <x:c r="B79" s="341"/>
      <x:c r="C79" s="341"/>
      <x:c r="D79" s="341"/>
      <x:c r="E79" s="341"/>
      <x:c r="F79" s="342"/>
      <x:c r="G79" s="340" t="s">
        <x:v>3210</x:v>
      </x:c>
      <x:c r="H79" s="341"/>
      <x:c r="I79" s="341"/>
      <x:c r="J79" s="341"/>
      <x:c r="K79" s="341"/>
      <x:c r="L79" s="342"/>
      <x:c r="M79" s="340" t="s">
        <x:v>3211</x:v>
      </x:c>
      <x:c r="N79" s="341"/>
      <x:c r="O79" s="341"/>
      <x:c r="P79" s="341"/>
      <x:c r="Q79" s="341"/>
      <x:c r="R79" s="342"/>
      <x:c r="S79" s="340" t="s">
        <x:v>619</x:v>
      </x:c>
      <x:c r="T79" s="341"/>
      <x:c r="U79" s="341"/>
      <x:c r="V79" s="341"/>
      <x:c r="W79" s="341"/>
      <x:c r="X79" s="342"/>
      <x:c r="Y79" s="340" t="s">
        <x:v>627</x:v>
      </x:c>
      <x:c r="Z79" s="341"/>
      <x:c r="AA79" s="341"/>
      <x:c r="AB79" s="341"/>
      <x:c r="AC79" s="341"/>
      <x:c r="AD79" s="342"/>
      <x:c r="AE79" s="340" t="s">
        <x:v>486</x:v>
      </x:c>
      <x:c r="AF79" s="341"/>
      <x:c r="AG79" s="341"/>
      <x:c r="AH79" s="341"/>
      <x:c r="AI79" s="341"/>
      <x:c r="AJ79" s="342"/>
      <x:c r="AK79" s="340" t="s">
        <x:v>622</x:v>
      </x:c>
      <x:c r="AL79" s="341"/>
      <x:c r="AM79" s="341"/>
      <x:c r="AN79" s="341"/>
      <x:c r="AO79" s="341"/>
      <x:c r="AP79" s="342"/>
      <x:c r="AQ79" s="340" t="s">
        <x:v>476</x:v>
      </x:c>
      <x:c r="AR79" s="341"/>
      <x:c r="AS79" s="341"/>
      <x:c r="AT79" s="341"/>
      <x:c r="AU79" s="341"/>
      <x:c r="AV79" s="342"/>
      <x:c r="AW79" s="340" t="s">
        <x:v>620</x:v>
      </x:c>
      <x:c r="AX79" s="341"/>
      <x:c r="AY79" s="341"/>
      <x:c r="AZ79" s="341"/>
      <x:c r="BA79" s="341"/>
      <x:c r="BB79" s="342"/>
      <x:c r="BC79" s="340" t="s">
        <x:v>496</x:v>
      </x:c>
      <x:c r="BD79" s="341"/>
      <x:c r="BE79" s="341"/>
      <x:c r="BF79" s="341"/>
      <x:c r="BG79" s="341"/>
      <x:c r="BH79" s="342"/>
    </x:row>
    <x:row r="80" spans="1:60" ht="17.14999999999999857891">
      <x:c r="A80" s="343" t="s">
        <x:v>1246</x:v>
      </x:c>
      <x:c r="B80" s="310"/>
      <x:c r="C80" s="344" t="s">
        <x:v>1260</x:v>
      </x:c>
      <x:c r="D80" s="345"/>
      <x:c r="E80" s="310"/>
      <x:c r="F80" s="346" t="s">
        <x:v>1583</x:v>
      </x:c>
      <x:c r="G80" s="343" t="s">
        <x:v>1246</x:v>
      </x:c>
      <x:c r="H80" s="310"/>
      <x:c r="I80" s="344" t="s">
        <x:v>1260</x:v>
      </x:c>
      <x:c r="J80" s="345"/>
      <x:c r="K80" s="310"/>
      <x:c r="L80" s="346" t="s">
        <x:v>1583</x:v>
      </x:c>
      <x:c r="M80" s="343" t="s">
        <x:v>1246</x:v>
      </x:c>
      <x:c r="N80" s="310"/>
      <x:c r="O80" s="344" t="s">
        <x:v>1260</x:v>
      </x:c>
      <x:c r="P80" s="345"/>
      <x:c r="Q80" s="310"/>
      <x:c r="R80" s="346" t="s">
        <x:v>1583</x:v>
      </x:c>
      <x:c r="S80" s="343" t="s">
        <x:v>1246</x:v>
      </x:c>
      <x:c r="T80" s="310"/>
      <x:c r="U80" s="344" t="s">
        <x:v>1260</x:v>
      </x:c>
      <x:c r="V80" s="345"/>
      <x:c r="W80" s="310"/>
      <x:c r="X80" s="346" t="s">
        <x:v>1583</x:v>
      </x:c>
      <x:c r="Y80" s="343" t="s">
        <x:v>1246</x:v>
      </x:c>
      <x:c r="Z80" s="310"/>
      <x:c r="AA80" s="344" t="s">
        <x:v>1260</x:v>
      </x:c>
      <x:c r="AB80" s="345"/>
      <x:c r="AC80" s="310"/>
      <x:c r="AD80" s="346" t="s">
        <x:v>1583</x:v>
      </x:c>
      <x:c r="AE80" s="343" t="s">
        <x:v>1246</x:v>
      </x:c>
      <x:c r="AF80" s="310"/>
      <x:c r="AG80" s="344" t="s">
        <x:v>1260</x:v>
      </x:c>
      <x:c r="AH80" s="345"/>
      <x:c r="AI80" s="310"/>
      <x:c r="AJ80" s="346" t="s">
        <x:v>1583</x:v>
      </x:c>
      <x:c r="AK80" s="343" t="s">
        <x:v>1246</x:v>
      </x:c>
      <x:c r="AL80" s="310"/>
      <x:c r="AM80" s="344" t="s">
        <x:v>1260</x:v>
      </x:c>
      <x:c r="AN80" s="345"/>
      <x:c r="AO80" s="310"/>
      <x:c r="AP80" s="346" t="s">
        <x:v>1583</x:v>
      </x:c>
      <x:c r="AQ80" s="343" t="s">
        <x:v>1246</x:v>
      </x:c>
      <x:c r="AR80" s="310"/>
      <x:c r="AS80" s="344" t="s">
        <x:v>1260</x:v>
      </x:c>
      <x:c r="AT80" s="345"/>
      <x:c r="AU80" s="310"/>
      <x:c r="AV80" s="346" t="s">
        <x:v>1583</x:v>
      </x:c>
      <x:c r="AW80" s="343" t="s">
        <x:v>1246</x:v>
      </x:c>
      <x:c r="AX80" s="310"/>
      <x:c r="AY80" s="344" t="s">
        <x:v>1260</x:v>
      </x:c>
      <x:c r="AZ80" s="345"/>
      <x:c r="BA80" s="310"/>
      <x:c r="BB80" s="346" t="s">
        <x:v>1583</x:v>
      </x:c>
      <x:c r="BC80" s="375" t="s">
        <x:v>1246</x:v>
      </x:c>
      <x:c r="BD80" s="376"/>
      <x:c r="BE80" s="377" t="s">
        <x:v>1260</x:v>
      </x:c>
      <x:c r="BF80" s="378"/>
      <x:c r="BG80" s="376"/>
      <x:c r="BH80" s="379" t="s">
        <x:v>1583</x:v>
      </x:c>
    </x:row>
    <x:row r="81" spans="1:60">
      <x:c r="A81" s="80" t="s">
        <x:v>2061</x:v>
      </x:c>
      <x:c r="B81" s="78" t="s">
        <x:v>1560</x:v>
      </x:c>
      <x:c r="C81" s="31" t="s">
        <x:v>1903</x:v>
      </x:c>
      <x:c r="D81" s="77" t="s">
        <x:v>1409</x:v>
      </x:c>
      <x:c r="E81" s="78" t="s">
        <x:v>1560</x:v>
      </x:c>
      <x:c r="F81" s="347" t="s">
        <x:v>1583</x:v>
      </x:c>
      <x:c r="G81" s="80" t="s">
        <x:v>2061</x:v>
      </x:c>
      <x:c r="H81" s="78" t="s">
        <x:v>1560</x:v>
      </x:c>
      <x:c r="I81" s="31" t="s">
        <x:v>1903</x:v>
      </x:c>
      <x:c r="J81" s="77" t="s">
        <x:v>1409</x:v>
      </x:c>
      <x:c r="K81" s="78" t="s">
        <x:v>1560</x:v>
      </x:c>
      <x:c r="L81" s="347" t="s">
        <x:v>1583</x:v>
      </x:c>
      <x:c r="M81" s="80" t="s">
        <x:v>2061</x:v>
      </x:c>
      <x:c r="N81" s="78" t="s">
        <x:v>1560</x:v>
      </x:c>
      <x:c r="O81" s="31" t="s">
        <x:v>1903</x:v>
      </x:c>
      <x:c r="P81" s="77" t="s">
        <x:v>1409</x:v>
      </x:c>
      <x:c r="Q81" s="78" t="s">
        <x:v>1560</x:v>
      </x:c>
      <x:c r="R81" s="347" t="s">
        <x:v>1583</x:v>
      </x:c>
      <x:c r="S81" s="80" t="s">
        <x:v>2061</x:v>
      </x:c>
      <x:c r="T81" s="78" t="s">
        <x:v>1560</x:v>
      </x:c>
      <x:c r="U81" s="31" t="s">
        <x:v>1903</x:v>
      </x:c>
      <x:c r="V81" s="77" t="s">
        <x:v>1409</x:v>
      </x:c>
      <x:c r="W81" s="78" t="s">
        <x:v>1560</x:v>
      </x:c>
      <x:c r="X81" s="347" t="s">
        <x:v>1583</x:v>
      </x:c>
      <x:c r="Y81" s="80" t="s">
        <x:v>2061</x:v>
      </x:c>
      <x:c r="Z81" s="78" t="s">
        <x:v>1560</x:v>
      </x:c>
      <x:c r="AA81" s="31" t="s">
        <x:v>1903</x:v>
      </x:c>
      <x:c r="AB81" s="77" t="s">
        <x:v>1409</x:v>
      </x:c>
      <x:c r="AC81" s="78" t="s">
        <x:v>1560</x:v>
      </x:c>
      <x:c r="AD81" s="347" t="s">
        <x:v>1583</x:v>
      </x:c>
      <x:c r="AE81" s="80" t="s">
        <x:v>2061</x:v>
      </x:c>
      <x:c r="AF81" s="78" t="s">
        <x:v>1560</x:v>
      </x:c>
      <x:c r="AG81" s="31" t="s">
        <x:v>1903</x:v>
      </x:c>
      <x:c r="AH81" s="77" t="s">
        <x:v>1409</x:v>
      </x:c>
      <x:c r="AI81" s="78" t="s">
        <x:v>1560</x:v>
      </x:c>
      <x:c r="AJ81" s="347" t="s">
        <x:v>1583</x:v>
      </x:c>
      <x:c r="AK81" s="80" t="s">
        <x:v>2061</x:v>
      </x:c>
      <x:c r="AL81" s="78" t="s">
        <x:v>1560</x:v>
      </x:c>
      <x:c r="AM81" s="31" t="s">
        <x:v>1903</x:v>
      </x:c>
      <x:c r="AN81" s="77" t="s">
        <x:v>1409</x:v>
      </x:c>
      <x:c r="AO81" s="78" t="s">
        <x:v>1560</x:v>
      </x:c>
      <x:c r="AP81" s="347" t="s">
        <x:v>1583</x:v>
      </x:c>
      <x:c r="AQ81" s="80" t="s">
        <x:v>2061</x:v>
      </x:c>
      <x:c r="AR81" s="78" t="s">
        <x:v>1560</x:v>
      </x:c>
      <x:c r="AS81" s="31" t="s">
        <x:v>1903</x:v>
      </x:c>
      <x:c r="AT81" s="77" t="s">
        <x:v>1409</x:v>
      </x:c>
      <x:c r="AU81" s="78" t="s">
        <x:v>1560</x:v>
      </x:c>
      <x:c r="AV81" s="347" t="s">
        <x:v>1583</x:v>
      </x:c>
      <x:c r="AW81" s="80" t="s">
        <x:v>2061</x:v>
      </x:c>
      <x:c r="AX81" s="78" t="s">
        <x:v>1560</x:v>
      </x:c>
      <x:c r="AY81" s="31" t="s">
        <x:v>1903</x:v>
      </x:c>
      <x:c r="AZ81" s="77" t="s">
        <x:v>1409</x:v>
      </x:c>
      <x:c r="BA81" s="78" t="s">
        <x:v>1560</x:v>
      </x:c>
      <x:c r="BB81" s="347" t="s">
        <x:v>1583</x:v>
      </x:c>
      <x:c r="BC81" s="80" t="s">
        <x:v>2061</x:v>
      </x:c>
      <x:c r="BD81" s="78" t="s">
        <x:v>1560</x:v>
      </x:c>
      <x:c r="BE81" s="31" t="s">
        <x:v>1903</x:v>
      </x:c>
      <x:c r="BF81" s="77" t="s">
        <x:v>1409</x:v>
      </x:c>
      <x:c r="BG81" s="78" t="s">
        <x:v>1560</x:v>
      </x:c>
      <x:c r="BH81" s="347"/>
    </x:row>
    <x:row r="82" spans="1:60">
      <x:c r="A82" s="73">
        <x:v>43525</x:v>
      </x:c>
      <x:c r="B82" s="79">
        <x:v>1</x:v>
      </x:c>
      <x:c r="C82" s="30"/>
      <x:c r="D82" s="1"/>
      <x:c r="E82" s="79"/>
      <x:c r="F82" s="60">
        <x:f>B82-E82</x:f>
        <x:v>1</x:v>
      </x:c>
      <x:c r="G82" s="73">
        <x:v>43525</x:v>
      </x:c>
      <x:c r="H82" s="79">
        <x:v>1</x:v>
      </x:c>
      <x:c r="I82" s="30"/>
      <x:c r="J82" s="1"/>
      <x:c r="K82" s="79"/>
      <x:c r="L82" s="60">
        <x:f>H82-K82</x:f>
        <x:v>1</x:v>
      </x:c>
      <x:c r="M82" s="73">
        <x:v>43525</x:v>
      </x:c>
      <x:c r="N82" s="79">
        <x:v>2</x:v>
      </x:c>
      <x:c r="O82" s="30"/>
      <x:c r="P82" s="1"/>
      <x:c r="Q82" s="79"/>
      <x:c r="R82" s="60">
        <x:f>N82-Q82</x:f>
        <x:v>2</x:v>
      </x:c>
      <x:c r="S82" s="73">
        <x:v>43525</x:v>
      </x:c>
      <x:c r="T82" s="79">
        <x:v>1</x:v>
      </x:c>
      <x:c r="U82" s="30"/>
      <x:c r="V82" s="1"/>
      <x:c r="W82" s="79"/>
      <x:c r="X82" s="60">
        <x:f>T82-W82</x:f>
        <x:v>1</x:v>
      </x:c>
      <x:c r="Y82" s="73">
        <x:v>43607</x:v>
      </x:c>
      <x:c r="Z82" s="79">
        <x:v>1</x:v>
      </x:c>
      <x:c r="AA82" s="84">
        <x:v>43607</x:v>
      </x:c>
      <x:c r="AB82" s="1" t="s">
        <x:v>1247</x:v>
      </x:c>
      <x:c r="AC82" s="79">
        <x:v>1</x:v>
      </x:c>
      <x:c r="AD82" s="60">
        <x:f>Z82-AC82</x:f>
        <x:v>0</x:v>
      </x:c>
      <x:c r="AE82" s="73">
        <x:v>43525</x:v>
      </x:c>
      <x:c r="AF82" s="79">
        <x:v>1</x:v>
      </x:c>
      <x:c r="AG82" s="30"/>
      <x:c r="AH82" s="1"/>
      <x:c r="AI82" s="79"/>
      <x:c r="AJ82" s="60">
        <x:f>AF82-AI82</x:f>
        <x:v>1</x:v>
      </x:c>
      <x:c r="AK82" s="73">
        <x:v>43525</x:v>
      </x:c>
      <x:c r="AL82" s="79">
        <x:v>1</x:v>
      </x:c>
      <x:c r="AM82" s="30"/>
      <x:c r="AN82" s="1"/>
      <x:c r="AO82" s="79"/>
      <x:c r="AP82" s="60">
        <x:f>AL82-AO82</x:f>
        <x:v>1</x:v>
      </x:c>
      <x:c r="AQ82" s="73">
        <x:v>43525</x:v>
      </x:c>
      <x:c r="AR82" s="79">
        <x:v>1</x:v>
      </x:c>
      <x:c r="AS82" s="84">
        <x:v>43773</x:v>
      </x:c>
      <x:c r="AT82" s="1" t="s">
        <x:v>1247</x:v>
      </x:c>
      <x:c r="AU82" s="79">
        <x:v>1</x:v>
      </x:c>
      <x:c r="AV82" s="60">
        <x:f>AR82-AU82</x:f>
        <x:v>0</x:v>
      </x:c>
      <x:c r="AW82" s="73">
        <x:v>43525</x:v>
      </x:c>
      <x:c r="AX82" s="79">
        <x:v>1</x:v>
      </x:c>
      <x:c r="AY82" s="30"/>
      <x:c r="AZ82" s="1"/>
      <x:c r="BA82" s="79"/>
      <x:c r="BB82" s="60">
        <x:f>AX82-BA82</x:f>
        <x:v>1</x:v>
      </x:c>
      <x:c r="BC82" s="73">
        <x:v>43525</x:v>
      </x:c>
      <x:c r="BD82" s="79">
        <x:v>1</x:v>
      </x:c>
      <x:c r="BE82" s="30"/>
      <x:c r="BF82" s="1"/>
      <x:c r="BG82" s="79"/>
      <x:c r="BH82" s="60">
        <x:f>BD82-BG82</x:f>
        <x:v>1</x:v>
      </x:c>
    </x:row>
    <x:row r="83" spans="1:60">
      <x:c r="A83" s="72"/>
      <x:c r="B83" s="79"/>
      <x:c r="C83" s="30"/>
      <x:c r="D83" s="1"/>
      <x:c r="E83" s="79"/>
      <x:c r="F83" s="60"/>
      <x:c r="G83" s="72"/>
      <x:c r="H83" s="79"/>
      <x:c r="I83" s="30"/>
      <x:c r="J83" s="1"/>
      <x:c r="K83" s="79"/>
      <x:c r="L83" s="60"/>
      <x:c r="M83" s="73">
        <x:v>43979</x:v>
      </x:c>
      <x:c r="N83" s="79"/>
      <x:c r="O83" s="30" t="s">
        <x:v>1943</x:v>
      </x:c>
      <x:c r="P83" s="1"/>
      <x:c r="Q83" s="79"/>
      <x:c r="R83" s="60">
        <x:v>1</x:v>
      </x:c>
      <x:c r="S83" s="73">
        <x:v>43874</x:v>
      </x:c>
      <x:c r="T83" s="79">
        <x:v>1</x:v>
      </x:c>
      <x:c r="U83" s="30"/>
      <x:c r="V83" s="1"/>
      <x:c r="W83" s="79"/>
      <x:c r="X83" s="60">
        <x:v>2</x:v>
      </x:c>
      <x:c r="Y83" s="73">
        <x:v>43874</x:v>
      </x:c>
      <x:c r="Z83" s="79">
        <x:v>1</x:v>
      </x:c>
      <x:c r="AA83" s="30"/>
      <x:c r="AB83" s="1"/>
      <x:c r="AC83" s="79"/>
      <x:c r="AD83" s="60">
        <x:v>1</x:v>
      </x:c>
      <x:c r="AE83" s="72"/>
      <x:c r="AF83" s="79"/>
      <x:c r="AG83" s="30"/>
      <x:c r="AH83" s="1"/>
      <x:c r="AI83" s="79"/>
      <x:c r="AJ83" s="60"/>
      <x:c r="AK83" s="72"/>
      <x:c r="AL83" s="79"/>
      <x:c r="AM83" s="84">
        <x:v>44006</x:v>
      </x:c>
      <x:c r="AN83" s="1"/>
      <x:c r="AO83" s="79">
        <x:v>1</x:v>
      </x:c>
      <x:c r="AP83" s="60">
        <x:v>0</x:v>
      </x:c>
      <x:c r="AQ83" s="73">
        <x:v>43874</x:v>
      </x:c>
      <x:c r="AR83" s="79">
        <x:v>1</x:v>
      </x:c>
      <x:c r="AS83" s="30"/>
      <x:c r="AT83" s="1"/>
      <x:c r="AU83" s="79"/>
      <x:c r="AV83" s="60">
        <x:v>1</x:v>
      </x:c>
      <x:c r="AW83" s="73">
        <x:v>43763</x:v>
      </x:c>
      <x:c r="AX83" s="79">
        <x:v>1</x:v>
      </x:c>
      <x:c r="AY83" s="84">
        <x:v>43770</x:v>
      </x:c>
      <x:c r="AZ83" s="1"/>
      <x:c r="BA83" s="79">
        <x:v>1</x:v>
      </x:c>
      <x:c r="BB83" s="60">
        <x:v>1</x:v>
      </x:c>
      <x:c r="BC83" s="73">
        <x:v>43874</x:v>
      </x:c>
      <x:c r="BD83" s="79">
        <x:v>1</x:v>
      </x:c>
      <x:c r="BE83" s="30"/>
      <x:c r="BF83" s="1"/>
      <x:c r="BG83" s="79"/>
      <x:c r="BH83" s="60">
        <x:v>2</x:v>
      </x:c>
    </x:row>
    <x:row r="84" spans="1:60">
      <x:c r="A84" s="72"/>
      <x:c r="B84" s="79"/>
      <x:c r="C84" s="30"/>
      <x:c r="D84" s="1"/>
      <x:c r="E84" s="79"/>
      <x:c r="F84" s="60"/>
      <x:c r="G84" s="72"/>
      <x:c r="H84" s="79"/>
      <x:c r="I84" s="30"/>
      <x:c r="J84" s="1"/>
      <x:c r="K84" s="79"/>
      <x:c r="L84" s="60"/>
      <x:c r="M84" s="72"/>
      <x:c r="N84" s="79"/>
      <x:c r="O84" s="30"/>
      <x:c r="P84" s="1"/>
      <x:c r="Q84" s="79"/>
      <x:c r="R84" s="60"/>
      <x:c r="S84" s="72"/>
      <x:c r="T84" s="79"/>
      <x:c r="U84" s="84">
        <x:v>44006</x:v>
      </x:c>
      <x:c r="V84" s="1"/>
      <x:c r="W84" s="79">
        <x:v>1</x:v>
      </x:c>
      <x:c r="X84" s="60">
        <x:v>1</x:v>
      </x:c>
      <x:c r="Y84" s="72"/>
      <x:c r="Z84" s="79"/>
      <x:c r="AA84" s="30"/>
      <x:c r="AB84" s="1"/>
      <x:c r="AC84" s="79"/>
      <x:c r="AD84" s="60"/>
      <x:c r="AE84" s="72"/>
      <x:c r="AF84" s="79"/>
      <x:c r="AG84" s="30"/>
      <x:c r="AH84" s="1"/>
      <x:c r="AI84" s="79"/>
      <x:c r="AJ84" s="60"/>
      <x:c r="AK84" s="72"/>
      <x:c r="AL84" s="79"/>
      <x:c r="AM84" s="30"/>
      <x:c r="AN84" s="1"/>
      <x:c r="AO84" s="79"/>
      <x:c r="AP84" s="60"/>
      <x:c r="AQ84" s="72"/>
      <x:c r="AR84" s="79"/>
      <x:c r="AS84" s="30"/>
      <x:c r="AT84" s="1"/>
      <x:c r="AU84" s="79"/>
      <x:c r="AV84" s="60"/>
      <x:c r="AW84" s="72"/>
      <x:c r="AX84" s="79"/>
      <x:c r="AY84" s="30"/>
      <x:c r="AZ84" s="1"/>
      <x:c r="BA84" s="79"/>
      <x:c r="BB84" s="60"/>
      <x:c r="BC84" s="72"/>
      <x:c r="BD84" s="79"/>
      <x:c r="BE84" s="84">
        <x:v>44006</x:v>
      </x:c>
      <x:c r="BF84" s="1"/>
      <x:c r="BG84" s="79">
        <x:v>1</x:v>
      </x:c>
      <x:c r="BH84" s="60">
        <x:v>1</x:v>
      </x:c>
    </x:row>
    <x:row r="85" spans="1:60">
      <x:c r="A85" s="72"/>
      <x:c r="B85" s="79"/>
      <x:c r="C85" s="30"/>
      <x:c r="D85" s="1"/>
      <x:c r="E85" s="79"/>
      <x:c r="F85" s="60"/>
      <x:c r="G85" s="72"/>
      <x:c r="H85" s="79"/>
      <x:c r="I85" s="30"/>
      <x:c r="J85" s="1"/>
      <x:c r="K85" s="79"/>
      <x:c r="L85" s="60"/>
      <x:c r="M85" s="72"/>
      <x:c r="N85" s="79"/>
      <x:c r="O85" s="30"/>
      <x:c r="P85" s="1"/>
      <x:c r="Q85" s="79"/>
      <x:c r="R85" s="60"/>
      <x:c r="S85" s="72"/>
      <x:c r="T85" s="79"/>
      <x:c r="U85" s="30"/>
      <x:c r="V85" s="1"/>
      <x:c r="W85" s="79"/>
      <x:c r="X85" s="60"/>
      <x:c r="Y85" s="72"/>
      <x:c r="Z85" s="79"/>
      <x:c r="AA85" s="30"/>
      <x:c r="AB85" s="1"/>
      <x:c r="AC85" s="79"/>
      <x:c r="AD85" s="60"/>
      <x:c r="AE85" s="72"/>
      <x:c r="AF85" s="79"/>
      <x:c r="AG85" s="30"/>
      <x:c r="AH85" s="1"/>
      <x:c r="AI85" s="79"/>
      <x:c r="AJ85" s="60"/>
      <x:c r="AK85" s="72"/>
      <x:c r="AL85" s="79"/>
      <x:c r="AM85" s="30"/>
      <x:c r="AN85" s="1"/>
      <x:c r="AO85" s="79"/>
      <x:c r="AP85" s="60"/>
      <x:c r="AQ85" s="72"/>
      <x:c r="AR85" s="79"/>
      <x:c r="AS85" s="30"/>
      <x:c r="AT85" s="1"/>
      <x:c r="AU85" s="79"/>
      <x:c r="AV85" s="60"/>
      <x:c r="AW85" s="72"/>
      <x:c r="AX85" s="79"/>
      <x:c r="AY85" s="30"/>
      <x:c r="AZ85" s="1"/>
      <x:c r="BA85" s="79"/>
      <x:c r="BB85" s="60"/>
      <x:c r="BC85" s="72"/>
      <x:c r="BD85" s="79"/>
      <x:c r="BE85" s="30"/>
      <x:c r="BF85" s="1"/>
      <x:c r="BG85" s="79"/>
      <x:c r="BH85" s="60"/>
    </x:row>
    <x:row r="86" spans="1:60">
      <x:c r="A86" s="72"/>
      <x:c r="B86" s="79"/>
      <x:c r="C86" s="30"/>
      <x:c r="D86" s="1"/>
      <x:c r="E86" s="79"/>
      <x:c r="F86" s="60"/>
      <x:c r="G86" s="72"/>
      <x:c r="H86" s="79"/>
      <x:c r="I86" s="30"/>
      <x:c r="J86" s="1"/>
      <x:c r="K86" s="79"/>
      <x:c r="L86" s="60"/>
      <x:c r="M86" s="72"/>
      <x:c r="N86" s="79"/>
      <x:c r="O86" s="30"/>
      <x:c r="P86" s="1"/>
      <x:c r="Q86" s="79"/>
      <x:c r="R86" s="60"/>
      <x:c r="S86" s="72"/>
      <x:c r="T86" s="79"/>
      <x:c r="U86" s="30"/>
      <x:c r="V86" s="1"/>
      <x:c r="W86" s="79"/>
      <x:c r="X86" s="60"/>
      <x:c r="Y86" s="72"/>
      <x:c r="Z86" s="79"/>
      <x:c r="AA86" s="30"/>
      <x:c r="AB86" s="1"/>
      <x:c r="AC86" s="79"/>
      <x:c r="AD86" s="60"/>
      <x:c r="AE86" s="72"/>
      <x:c r="AF86" s="79"/>
      <x:c r="AG86" s="30"/>
      <x:c r="AH86" s="1"/>
      <x:c r="AI86" s="79"/>
      <x:c r="AJ86" s="60"/>
      <x:c r="AK86" s="72"/>
      <x:c r="AL86" s="79"/>
      <x:c r="AM86" s="30"/>
      <x:c r="AN86" s="1"/>
      <x:c r="AO86" s="79"/>
      <x:c r="AP86" s="60"/>
      <x:c r="AQ86" s="72"/>
      <x:c r="AR86" s="79"/>
      <x:c r="AS86" s="30"/>
      <x:c r="AT86" s="1"/>
      <x:c r="AU86" s="79"/>
      <x:c r="AV86" s="60"/>
      <x:c r="AW86" s="72"/>
      <x:c r="AX86" s="79"/>
      <x:c r="AY86" s="30"/>
      <x:c r="AZ86" s="1"/>
      <x:c r="BA86" s="79"/>
      <x:c r="BB86" s="60"/>
      <x:c r="BC86" s="72"/>
      <x:c r="BD86" s="79"/>
      <x:c r="BE86" s="30"/>
      <x:c r="BF86" s="1"/>
      <x:c r="BG86" s="79"/>
      <x:c r="BH86" s="60"/>
    </x:row>
    <x:row r="87" spans="1:60">
      <x:c r="A87" s="72"/>
      <x:c r="B87" s="79"/>
      <x:c r="C87" s="30"/>
      <x:c r="D87" s="1"/>
      <x:c r="E87" s="79"/>
      <x:c r="F87" s="60"/>
      <x:c r="G87" s="72"/>
      <x:c r="H87" s="79"/>
      <x:c r="I87" s="30"/>
      <x:c r="J87" s="1"/>
      <x:c r="K87" s="79"/>
      <x:c r="L87" s="60"/>
      <x:c r="M87" s="72"/>
      <x:c r="N87" s="79"/>
      <x:c r="O87" s="30"/>
      <x:c r="P87" s="1"/>
      <x:c r="Q87" s="79"/>
      <x:c r="R87" s="60"/>
      <x:c r="S87" s="72"/>
      <x:c r="T87" s="79"/>
      <x:c r="U87" s="30"/>
      <x:c r="V87" s="1"/>
      <x:c r="W87" s="79"/>
      <x:c r="X87" s="60"/>
      <x:c r="Y87" s="72"/>
      <x:c r="Z87" s="79"/>
      <x:c r="AA87" s="30"/>
      <x:c r="AB87" s="1"/>
      <x:c r="AC87" s="79"/>
      <x:c r="AD87" s="60"/>
      <x:c r="AE87" s="72"/>
      <x:c r="AF87" s="79"/>
      <x:c r="AG87" s="30"/>
      <x:c r="AH87" s="1"/>
      <x:c r="AI87" s="79"/>
      <x:c r="AJ87" s="60"/>
      <x:c r="AK87" s="72"/>
      <x:c r="AL87" s="79"/>
      <x:c r="AM87" s="30"/>
      <x:c r="AN87" s="1"/>
      <x:c r="AO87" s="79"/>
      <x:c r="AP87" s="60"/>
      <x:c r="AQ87" s="72"/>
      <x:c r="AR87" s="79"/>
      <x:c r="AS87" s="30"/>
      <x:c r="AT87" s="1"/>
      <x:c r="AU87" s="79"/>
      <x:c r="AV87" s="60"/>
      <x:c r="AW87" s="72"/>
      <x:c r="AX87" s="79"/>
      <x:c r="AY87" s="30"/>
      <x:c r="AZ87" s="1"/>
      <x:c r="BA87" s="79"/>
      <x:c r="BB87" s="60"/>
      <x:c r="BC87" s="72"/>
      <x:c r="BD87" s="79"/>
      <x:c r="BE87" s="30"/>
      <x:c r="BF87" s="1"/>
      <x:c r="BG87" s="79"/>
      <x:c r="BH87" s="60"/>
    </x:row>
    <x:row r="88" spans="1:60">
      <x:c r="A88" s="72"/>
      <x:c r="B88" s="79"/>
      <x:c r="C88" s="30"/>
      <x:c r="D88" s="1"/>
      <x:c r="E88" s="79"/>
      <x:c r="F88" s="60"/>
      <x:c r="G88" s="72"/>
      <x:c r="H88" s="79"/>
      <x:c r="I88" s="30"/>
      <x:c r="J88" s="1"/>
      <x:c r="K88" s="79"/>
      <x:c r="L88" s="60"/>
      <x:c r="M88" s="72"/>
      <x:c r="N88" s="79"/>
      <x:c r="O88" s="30"/>
      <x:c r="P88" s="1"/>
      <x:c r="Q88" s="79"/>
      <x:c r="R88" s="60"/>
      <x:c r="S88" s="72"/>
      <x:c r="T88" s="79"/>
      <x:c r="U88" s="30"/>
      <x:c r="V88" s="1"/>
      <x:c r="W88" s="79"/>
      <x:c r="X88" s="60"/>
      <x:c r="Y88" s="72"/>
      <x:c r="Z88" s="79"/>
      <x:c r="AA88" s="30"/>
      <x:c r="AB88" s="1"/>
      <x:c r="AC88" s="79"/>
      <x:c r="AD88" s="60"/>
      <x:c r="AE88" s="72"/>
      <x:c r="AF88" s="79"/>
      <x:c r="AG88" s="30"/>
      <x:c r="AH88" s="1"/>
      <x:c r="AI88" s="79"/>
      <x:c r="AJ88" s="60"/>
      <x:c r="AK88" s="72"/>
      <x:c r="AL88" s="79"/>
      <x:c r="AM88" s="30"/>
      <x:c r="AN88" s="1"/>
      <x:c r="AO88" s="79"/>
      <x:c r="AP88" s="60"/>
      <x:c r="AQ88" s="72"/>
      <x:c r="AR88" s="79"/>
      <x:c r="AS88" s="30"/>
      <x:c r="AT88" s="1"/>
      <x:c r="AU88" s="79"/>
      <x:c r="AV88" s="60"/>
      <x:c r="AW88" s="72"/>
      <x:c r="AX88" s="79"/>
      <x:c r="AY88" s="30"/>
      <x:c r="AZ88" s="1"/>
      <x:c r="BA88" s="79"/>
      <x:c r="BB88" s="60"/>
      <x:c r="BC88" s="72"/>
      <x:c r="BD88" s="79"/>
      <x:c r="BE88" s="30"/>
      <x:c r="BF88" s="1"/>
      <x:c r="BG88" s="79"/>
      <x:c r="BH88" s="60"/>
    </x:row>
    <x:row r="89" spans="1:60">
      <x:c r="A89" s="72"/>
      <x:c r="B89" s="79"/>
      <x:c r="C89" s="30"/>
      <x:c r="D89" s="1"/>
      <x:c r="E89" s="79"/>
      <x:c r="F89" s="60"/>
      <x:c r="G89" s="72"/>
      <x:c r="H89" s="79"/>
      <x:c r="I89" s="30"/>
      <x:c r="J89" s="1"/>
      <x:c r="K89" s="79"/>
      <x:c r="L89" s="60"/>
      <x:c r="M89" s="72"/>
      <x:c r="N89" s="79"/>
      <x:c r="O89" s="30"/>
      <x:c r="P89" s="1"/>
      <x:c r="Q89" s="79"/>
      <x:c r="R89" s="60"/>
      <x:c r="S89" s="72"/>
      <x:c r="T89" s="79"/>
      <x:c r="U89" s="30"/>
      <x:c r="V89" s="1"/>
      <x:c r="W89" s="79"/>
      <x:c r="X89" s="60"/>
      <x:c r="Y89" s="72"/>
      <x:c r="Z89" s="79"/>
      <x:c r="AA89" s="30"/>
      <x:c r="AB89" s="1"/>
      <x:c r="AC89" s="79"/>
      <x:c r="AD89" s="60"/>
      <x:c r="AE89" s="72"/>
      <x:c r="AF89" s="79"/>
      <x:c r="AG89" s="30"/>
      <x:c r="AH89" s="1"/>
      <x:c r="AI89" s="79"/>
      <x:c r="AJ89" s="60"/>
      <x:c r="AK89" s="72"/>
      <x:c r="AL89" s="79"/>
      <x:c r="AM89" s="30"/>
      <x:c r="AN89" s="1"/>
      <x:c r="AO89" s="79"/>
      <x:c r="AP89" s="60"/>
      <x:c r="AQ89" s="72"/>
      <x:c r="AR89" s="79"/>
      <x:c r="AS89" s="30"/>
      <x:c r="AT89" s="1"/>
      <x:c r="AU89" s="79"/>
      <x:c r="AV89" s="60"/>
      <x:c r="AW89" s="72"/>
      <x:c r="AX89" s="79"/>
      <x:c r="AY89" s="30"/>
      <x:c r="AZ89" s="1"/>
      <x:c r="BA89" s="79"/>
      <x:c r="BB89" s="60"/>
      <x:c r="BC89" s="72"/>
      <x:c r="BD89" s="79"/>
      <x:c r="BE89" s="30"/>
      <x:c r="BF89" s="1"/>
      <x:c r="BG89" s="79"/>
      <x:c r="BH89" s="60"/>
    </x:row>
    <x:row r="90" spans="1:60">
      <x:c r="A90" s="72"/>
      <x:c r="B90" s="79"/>
      <x:c r="C90" s="30"/>
      <x:c r="D90" s="1"/>
      <x:c r="E90" s="79"/>
      <x:c r="F90" s="60"/>
      <x:c r="G90" s="72"/>
      <x:c r="H90" s="79"/>
      <x:c r="I90" s="30"/>
      <x:c r="J90" s="1"/>
      <x:c r="K90" s="79"/>
      <x:c r="L90" s="60"/>
      <x:c r="M90" s="72"/>
      <x:c r="N90" s="79"/>
      <x:c r="O90" s="30"/>
      <x:c r="P90" s="1"/>
      <x:c r="Q90" s="79"/>
      <x:c r="R90" s="60"/>
      <x:c r="S90" s="72"/>
      <x:c r="T90" s="79"/>
      <x:c r="U90" s="30"/>
      <x:c r="V90" s="1"/>
      <x:c r="W90" s="79"/>
      <x:c r="X90" s="60"/>
      <x:c r="Y90" s="72"/>
      <x:c r="Z90" s="79"/>
      <x:c r="AA90" s="30"/>
      <x:c r="AB90" s="1"/>
      <x:c r="AC90" s="79"/>
      <x:c r="AD90" s="60"/>
      <x:c r="AE90" s="72"/>
      <x:c r="AF90" s="79"/>
      <x:c r="AG90" s="30"/>
      <x:c r="AH90" s="1"/>
      <x:c r="AI90" s="79"/>
      <x:c r="AJ90" s="60"/>
      <x:c r="AK90" s="72"/>
      <x:c r="AL90" s="79"/>
      <x:c r="AM90" s="30"/>
      <x:c r="AN90" s="1"/>
      <x:c r="AO90" s="79"/>
      <x:c r="AP90" s="60"/>
      <x:c r="AQ90" s="72"/>
      <x:c r="AR90" s="79"/>
      <x:c r="AS90" s="30"/>
      <x:c r="AT90" s="1"/>
      <x:c r="AU90" s="79"/>
      <x:c r="AV90" s="60"/>
      <x:c r="AW90" s="72"/>
      <x:c r="AX90" s="79"/>
      <x:c r="AY90" s="30"/>
      <x:c r="AZ90" s="1"/>
      <x:c r="BA90" s="79"/>
      <x:c r="BB90" s="60"/>
      <x:c r="BC90" s="72"/>
      <x:c r="BD90" s="79"/>
      <x:c r="BE90" s="30"/>
      <x:c r="BF90" s="1"/>
      <x:c r="BG90" s="79"/>
      <x:c r="BH90" s="60"/>
    </x:row>
    <x:row r="91" spans="1:60">
      <x:c r="A91" s="72"/>
      <x:c r="B91" s="79"/>
      <x:c r="C91" s="30"/>
      <x:c r="D91" s="1"/>
      <x:c r="E91" s="79"/>
      <x:c r="F91" s="60"/>
      <x:c r="G91" s="72"/>
      <x:c r="H91" s="79"/>
      <x:c r="I91" s="30"/>
      <x:c r="J91" s="1"/>
      <x:c r="K91" s="79"/>
      <x:c r="L91" s="60"/>
      <x:c r="M91" s="72"/>
      <x:c r="N91" s="79"/>
      <x:c r="O91" s="30"/>
      <x:c r="P91" s="1"/>
      <x:c r="Q91" s="79"/>
      <x:c r="R91" s="60"/>
      <x:c r="S91" s="72"/>
      <x:c r="T91" s="79"/>
      <x:c r="U91" s="30"/>
      <x:c r="V91" s="1"/>
      <x:c r="W91" s="79"/>
      <x:c r="X91" s="60"/>
      <x:c r="Y91" s="72"/>
      <x:c r="Z91" s="79"/>
      <x:c r="AA91" s="30"/>
      <x:c r="AB91" s="1"/>
      <x:c r="AC91" s="79"/>
      <x:c r="AD91" s="60"/>
      <x:c r="AE91" s="72"/>
      <x:c r="AF91" s="79"/>
      <x:c r="AG91" s="30"/>
      <x:c r="AH91" s="1"/>
      <x:c r="AI91" s="79"/>
      <x:c r="AJ91" s="60"/>
      <x:c r="AK91" s="72"/>
      <x:c r="AL91" s="79"/>
      <x:c r="AM91" s="30"/>
      <x:c r="AN91" s="1"/>
      <x:c r="AO91" s="79"/>
      <x:c r="AP91" s="60"/>
      <x:c r="AQ91" s="72"/>
      <x:c r="AR91" s="79"/>
      <x:c r="AS91" s="30"/>
      <x:c r="AT91" s="1"/>
      <x:c r="AU91" s="79"/>
      <x:c r="AV91" s="60"/>
      <x:c r="AW91" s="72"/>
      <x:c r="AX91" s="79"/>
      <x:c r="AY91" s="30"/>
      <x:c r="AZ91" s="1"/>
      <x:c r="BA91" s="79"/>
      <x:c r="BB91" s="60"/>
      <x:c r="BC91" s="72"/>
      <x:c r="BD91" s="79"/>
      <x:c r="BE91" s="30"/>
      <x:c r="BF91" s="1"/>
      <x:c r="BG91" s="79"/>
      <x:c r="BH91" s="60"/>
    </x:row>
    <x:row r="92" spans="1:60" ht="16.75">
      <x:c r="A92" s="74"/>
      <x:c r="B92" s="81"/>
      <x:c r="C92" s="82"/>
      <x:c r="D92" s="75"/>
      <x:c r="E92" s="81"/>
      <x:c r="F92" s="76"/>
      <x:c r="G92" s="74"/>
      <x:c r="H92" s="81"/>
      <x:c r="I92" s="82"/>
      <x:c r="J92" s="75"/>
      <x:c r="K92" s="81"/>
      <x:c r="L92" s="76"/>
      <x:c r="M92" s="74"/>
      <x:c r="N92" s="81"/>
      <x:c r="O92" s="82"/>
      <x:c r="P92" s="75"/>
      <x:c r="Q92" s="81"/>
      <x:c r="R92" s="76"/>
      <x:c r="S92" s="74"/>
      <x:c r="T92" s="81"/>
      <x:c r="U92" s="82"/>
      <x:c r="V92" s="75"/>
      <x:c r="W92" s="81"/>
      <x:c r="X92" s="76"/>
      <x:c r="Y92" s="74"/>
      <x:c r="Z92" s="81"/>
      <x:c r="AA92" s="82"/>
      <x:c r="AB92" s="75"/>
      <x:c r="AC92" s="81"/>
      <x:c r="AD92" s="76"/>
      <x:c r="AE92" s="74"/>
      <x:c r="AF92" s="81"/>
      <x:c r="AG92" s="82"/>
      <x:c r="AH92" s="75"/>
      <x:c r="AI92" s="81"/>
      <x:c r="AJ92" s="76"/>
      <x:c r="AK92" s="74"/>
      <x:c r="AL92" s="81"/>
      <x:c r="AM92" s="82"/>
      <x:c r="AN92" s="75"/>
      <x:c r="AO92" s="81"/>
      <x:c r="AP92" s="76"/>
      <x:c r="AQ92" s="74"/>
      <x:c r="AR92" s="81"/>
      <x:c r="AS92" s="82"/>
      <x:c r="AT92" s="75"/>
      <x:c r="AU92" s="81"/>
      <x:c r="AV92" s="76"/>
      <x:c r="AW92" s="74"/>
      <x:c r="AX92" s="81"/>
      <x:c r="AY92" s="82"/>
      <x:c r="AZ92" s="75"/>
      <x:c r="BA92" s="81"/>
      <x:c r="BB92" s="76"/>
      <x:c r="BC92" s="74"/>
      <x:c r="BD92" s="81"/>
      <x:c r="BE92" s="82"/>
      <x:c r="BF92" s="75"/>
      <x:c r="BG92" s="81"/>
      <x:c r="BH92" s="76"/>
    </x:row>
  </x:sheetData>
  <x:mergeCells count="118">
    <x:mergeCell ref="A1:F1"/>
    <x:mergeCell ref="G1:L1"/>
    <x:mergeCell ref="M1:R1"/>
    <x:mergeCell ref="A2:F2"/>
    <x:mergeCell ref="G2:L2"/>
    <x:mergeCell ref="M2:R2"/>
    <x:mergeCell ref="A3:F3"/>
    <x:mergeCell ref="G3:L3"/>
    <x:mergeCell ref="M3:R3"/>
    <x:mergeCell ref="A4:B4"/>
    <x:mergeCell ref="C4:E4"/>
    <x:mergeCell ref="F4:F5"/>
    <x:mergeCell ref="G4:H4"/>
    <x:mergeCell ref="I4:K4"/>
    <x:mergeCell ref="L4:L5"/>
    <x:mergeCell ref="M4:N4"/>
    <x:mergeCell ref="O4:Q4"/>
    <x:mergeCell ref="R4:R5"/>
    <x:mergeCell ref="A46:F46"/>
    <x:mergeCell ref="G46:L46"/>
    <x:mergeCell ref="M46:R46"/>
    <x:mergeCell ref="S46:X46"/>
    <x:mergeCell ref="Y46:AD46"/>
    <x:mergeCell ref="A47:F47"/>
    <x:mergeCell ref="G47:L47"/>
    <x:mergeCell ref="M47:R47"/>
    <x:mergeCell ref="S47:X47"/>
    <x:mergeCell ref="Y47:AD47"/>
    <x:mergeCell ref="A48:F48"/>
    <x:mergeCell ref="G48:L48"/>
    <x:mergeCell ref="M48:R48"/>
    <x:mergeCell ref="S48:X48"/>
    <x:mergeCell ref="Y48:AD48"/>
    <x:mergeCell ref="A49:B49"/>
    <x:mergeCell ref="C49:E49"/>
    <x:mergeCell ref="F49:F50"/>
    <x:mergeCell ref="G49:H49"/>
    <x:mergeCell ref="I49:K49"/>
    <x:mergeCell ref="L49:L50"/>
    <x:mergeCell ref="M49:N49"/>
    <x:mergeCell ref="O49:Q49"/>
    <x:mergeCell ref="R49:R50"/>
    <x:mergeCell ref="S49:T49"/>
    <x:mergeCell ref="U49:W49"/>
    <x:mergeCell ref="X49:X50"/>
    <x:mergeCell ref="Y49:Z49"/>
    <x:mergeCell ref="AA49:AC49"/>
    <x:mergeCell ref="AD49:AD50"/>
    <x:mergeCell ref="A61:X61"/>
    <x:mergeCell ref="Y61:AJ61"/>
    <x:mergeCell ref="A62:X62"/>
    <x:mergeCell ref="Y62:AJ62"/>
    <x:mergeCell ref="A63:F63"/>
    <x:mergeCell ref="G63:L63"/>
    <x:mergeCell ref="M63:R63"/>
    <x:mergeCell ref="S63:X63"/>
    <x:mergeCell ref="Y63:AD63"/>
    <x:mergeCell ref="AE63:AJ63"/>
    <x:mergeCell ref="A64:B64"/>
    <x:mergeCell ref="C64:E64"/>
    <x:mergeCell ref="F64:F65"/>
    <x:mergeCell ref="G64:H64"/>
    <x:mergeCell ref="I64:K64"/>
    <x:mergeCell ref="L64:L65"/>
    <x:mergeCell ref="M64:N64"/>
    <x:mergeCell ref="O64:Q64"/>
    <x:mergeCell ref="R64:R65"/>
    <x:mergeCell ref="S64:T64"/>
    <x:mergeCell ref="U64:W64"/>
    <x:mergeCell ref="X64:X65"/>
    <x:mergeCell ref="Y64:Z64"/>
    <x:mergeCell ref="AA64:AC64"/>
    <x:mergeCell ref="AD64:AD65"/>
    <x:mergeCell ref="AE64:AF64"/>
    <x:mergeCell ref="AG64:AI64"/>
    <x:mergeCell ref="AJ64:AJ65"/>
    <x:mergeCell ref="A77:BH77"/>
    <x:mergeCell ref="A78:BH78"/>
    <x:mergeCell ref="A79:F79"/>
    <x:mergeCell ref="G79:L79"/>
    <x:mergeCell ref="M79:R79"/>
    <x:mergeCell ref="S79:X79"/>
    <x:mergeCell ref="Y79:AD79"/>
    <x:mergeCell ref="AE79:AJ79"/>
    <x:mergeCell ref="AK79:AP79"/>
    <x:mergeCell ref="AQ79:AV79"/>
    <x:mergeCell ref="AW79:BB79"/>
    <x:mergeCell ref="BC79:BH79"/>
    <x:mergeCell ref="A80:B80"/>
    <x:mergeCell ref="C80:E80"/>
    <x:mergeCell ref="F80:F81"/>
    <x:mergeCell ref="G80:H80"/>
    <x:mergeCell ref="I80:K80"/>
    <x:mergeCell ref="L80:L81"/>
    <x:mergeCell ref="M80:N80"/>
    <x:mergeCell ref="O80:Q80"/>
    <x:mergeCell ref="R80:R81"/>
    <x:mergeCell ref="S80:T80"/>
    <x:mergeCell ref="U80:W80"/>
    <x:mergeCell ref="X80:X81"/>
    <x:mergeCell ref="Y80:Z80"/>
    <x:mergeCell ref="AA80:AC80"/>
    <x:mergeCell ref="AD80:AD81"/>
    <x:mergeCell ref="AE80:AF80"/>
    <x:mergeCell ref="AG80:AI80"/>
    <x:mergeCell ref="AJ80:AJ81"/>
    <x:mergeCell ref="AK80:AL80"/>
    <x:mergeCell ref="AM80:AO80"/>
    <x:mergeCell ref="AP80:AP81"/>
    <x:mergeCell ref="AQ80:AR80"/>
    <x:mergeCell ref="AS80:AU80"/>
    <x:mergeCell ref="AV80:AV81"/>
    <x:mergeCell ref="AW80:AX80"/>
    <x:mergeCell ref="AY80:BA80"/>
    <x:mergeCell ref="BB80:BB81"/>
    <x:mergeCell ref="BC80:BD80"/>
    <x:mergeCell ref="BE80:BG80"/>
    <x:mergeCell ref="BH80:BH81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K108"/>
  <x:sheetViews>
    <x:sheetView topLeftCell="A76" zoomScaleNormal="100" zoomScaleSheetLayoutView="100" workbookViewId="0">
      <x:selection activeCell="C33" activeCellId="0" sqref="C33:C33"/>
    </x:sheetView>
  </x:sheetViews>
  <x:sheetFormatPr defaultColWidth="8.9140625" defaultRowHeight="13.19999999999999928946"/>
  <x:cols>
    <x:col min="1" max="1" width="14.83203125" style="70" bestFit="1" customWidth="1"/>
    <x:col min="2" max="2" width="10" style="70" bestFit="1" customWidth="1"/>
    <x:col min="3" max="3" width="74.6640625" style="70" bestFit="1" customWidth="1"/>
    <x:col min="4" max="4" width="8.1640625" style="70" bestFit="1" customWidth="1"/>
    <x:col min="5" max="5" width="8.08203125" style="70" bestFit="1" customWidth="1"/>
    <x:col min="6" max="6" width="11.08203125" style="70" bestFit="1" customWidth="1"/>
    <x:col min="7" max="7" width="4.1640625" style="10" bestFit="1" customWidth="1"/>
    <x:col min="8" max="9" width="7.4140625" style="70" bestFit="1" customWidth="1"/>
    <x:col min="10" max="10" width="7.08203125" style="10" bestFit="1" customWidth="1"/>
    <x:col min="11" max="11" width="11.4140625" style="10" bestFit="1" customWidth="1"/>
    <x:col min="12" max="16384" width="8.9140625" style="70"/>
  </x:cols>
  <x:sheetData>
    <x:row r="1" spans="1:11">
      <x:c r="A1" s="159" t="s">
        <x:v>1916</x:v>
      </x:c>
      <x:c r="B1" s="159" t="s">
        <x:v>1898</x:v>
      </x:c>
      <x:c r="C1" s="159" t="s">
        <x:v>1867</x:v>
      </x:c>
      <x:c r="D1" s="159" t="s">
        <x:v>1549</x:v>
      </x:c>
      <x:c r="E1" s="159" t="s">
        <x:v>1888</x:v>
      </x:c>
      <x:c r="F1" s="159" t="s">
        <x:v>1872</x:v>
      </x:c>
      <x:c r="G1" s="159" t="s">
        <x:v>1277</x:v>
      </x:c>
      <x:c r="H1" s="159" t="s">
        <x:v>1245</x:v>
      </x:c>
      <x:c r="I1" s="159" t="s">
        <x:v>1874</x:v>
      </x:c>
      <x:c r="J1" s="159" t="s">
        <x:v>1962</x:v>
      </x:c>
      <x:c r="K1" s="159"/>
    </x:row>
    <x:row r="2" spans="1:10">
      <x:c r="A2" s="10" t="s">
        <x:v>3208</x:v>
      </x:c>
      <x:c r="B2" s="166" t="s">
        <x:v>1509</x:v>
      </x:c>
      <x:c r="C2" s="166" t="s">
        <x:v>3221</x:v>
      </x:c>
      <x:c r="D2" s="10" t="s">
        <x:v>474</x:v>
      </x:c>
      <x:c r="E2" s="10" t="s">
        <x:v>1880</x:v>
      </x:c>
      <x:c r="F2" s="166" t="s">
        <x:v>1905</x:v>
      </x:c>
      <x:c r="G2" s="10">
        <x:v>1</x:v>
      </x:c>
      <x:c r="H2" s="167">
        <x:v>2794000</x:v>
      </x:c>
      <x:c r="I2" s="167">
        <x:v>2794000</x:v>
      </x:c>
      <x:c r="J2" s="10">
        <x:v>4</x:v>
      </x:c>
    </x:row>
    <x:row r="3" spans="1:10">
      <x:c r="A3" s="10" t="s">
        <x:v>3176</x:v>
      </x:c>
      <x:c r="B3" s="166" t="s">
        <x:v>1914</x:v>
      </x:c>
      <x:c r="C3" s="166" t="s">
        <x:v>930</x:v>
      </x:c>
      <x:c r="D3" s="10" t="s">
        <x:v>474</x:v>
      </x:c>
      <x:c r="E3" s="10" t="s">
        <x:v>1892</x:v>
      </x:c>
      <x:c r="F3" s="166" t="s">
        <x:v>1905</x:v>
      </x:c>
      <x:c r="G3" s="10">
        <x:v>1</x:v>
      </x:c>
      <x:c r="H3" s="167">
        <x:v>836000</x:v>
      </x:c>
      <x:c r="I3" s="167">
        <x:v>836000</x:v>
      </x:c>
      <x:c r="J3" s="10">
        <x:v>5</x:v>
      </x:c>
    </x:row>
    <x:row r="4" spans="1:10">
      <x:c r="A4" s="10" t="s">
        <x:v>3181</x:v>
      </x:c>
      <x:c r="B4" s="166" t="s">
        <x:v>1914</x:v>
      </x:c>
      <x:c r="C4" s="166" t="s">
        <x:v>440</x:v>
      </x:c>
      <x:c r="D4" s="10" t="s">
        <x:v>474</x:v>
      </x:c>
      <x:c r="E4" s="10" t="s">
        <x:v>1892</x:v>
      </x:c>
      <x:c r="F4" s="166" t="s">
        <x:v>1905</x:v>
      </x:c>
      <x:c r="G4" s="10">
        <x:v>1</x:v>
      </x:c>
      <x:c r="H4" s="167">
        <x:v>836000</x:v>
      </x:c>
      <x:c r="I4" s="167">
        <x:v>836000</x:v>
      </x:c>
      <x:c r="J4" s="10">
        <x:v>5</x:v>
      </x:c>
    </x:row>
    <x:row r="5" spans="1:10">
      <x:c r="A5" s="10" t="s">
        <x:v>3335</x:v>
      </x:c>
      <x:c r="B5" s="166" t="s">
        <x:v>1899</x:v>
      </x:c>
      <x:c r="C5" s="166" t="s">
        <x:v>3135</x:v>
      </x:c>
      <x:c r="D5" s="10" t="s">
        <x:v>484</x:v>
      </x:c>
      <x:c r="E5" s="10" t="s">
        <x:v>1880</x:v>
      </x:c>
      <x:c r="F5" s="166" t="s">
        <x:v>1905</x:v>
      </x:c>
      <x:c r="G5" s="10">
        <x:v>1</x:v>
      </x:c>
      <x:c r="H5" s="167">
        <x:v>657680</x:v>
      </x:c>
      <x:c r="I5" s="167">
        <x:v>657680</x:v>
      </x:c>
      <x:c r="J5" s="10">
        <x:v>5</x:v>
      </x:c>
    </x:row>
    <x:row r="6" spans="1:11">
      <x:c r="A6" s="160" t="s">
        <x:v>3283</x:v>
      </x:c>
      <x:c r="B6" s="161" t="s">
        <x:v>1899</x:v>
      </x:c>
      <x:c r="C6" s="161" t="s">
        <x:v>106</x:v>
      </x:c>
      <x:c r="D6" s="168" t="s">
        <x:v>1601</x:v>
      </x:c>
      <x:c r="E6" s="160" t="s">
        <x:v>1880</x:v>
      </x:c>
      <x:c r="F6" s="161" t="s">
        <x:v>1905</x:v>
      </x:c>
      <x:c r="G6" s="160">
        <x:v>1</x:v>
      </x:c>
      <x:c r="H6" s="162">
        <x:v>1105340</x:v>
      </x:c>
      <x:c r="I6" s="162">
        <x:v>1105340</x:v>
      </x:c>
      <x:c r="J6" s="160">
        <x:v>5</x:v>
      </x:c>
      <x:c r="K6" s="160" t="s">
        <x:v>480</x:v>
      </x:c>
    </x:row>
    <x:row r="7" spans="1:11">
      <x:c r="A7" s="163" t="s">
        <x:v>3239</x:v>
      </x:c>
      <x:c r="B7" s="164" t="s">
        <x:v>1509</x:v>
      </x:c>
      <x:c r="C7" s="164" t="s">
        <x:v>453</x:v>
      </x:c>
      <x:c r="D7" s="163" t="s">
        <x:v>488</x:v>
      </x:c>
      <x:c r="E7" s="163" t="s">
        <x:v>1880</x:v>
      </x:c>
      <x:c r="F7" s="164" t="s">
        <x:v>1905</x:v>
      </x:c>
      <x:c r="G7" s="163">
        <x:v>1</x:v>
      </x:c>
      <x:c r="H7" s="165">
        <x:v>2490970</x:v>
      </x:c>
      <x:c r="I7" s="165">
        <x:v>2490970</x:v>
      </x:c>
      <x:c r="J7" s="163">
        <x:v>5</x:v>
      </x:c>
      <x:c r="K7" s="163"/>
    </x:row>
    <x:row r="8" spans="1:10">
      <x:c r="A8" s="10" t="s">
        <x:v>3224</x:v>
      </x:c>
      <x:c r="B8" s="166" t="s">
        <x:v>1899</x:v>
      </x:c>
      <x:c r="C8" s="166" t="s">
        <x:v>3196</x:v>
      </x:c>
      <x:c r="D8" s="10" t="s">
        <x:v>483</x:v>
      </x:c>
      <x:c r="E8" s="10" t="s">
        <x:v>1876</x:v>
      </x:c>
      <x:c r="F8" s="166" t="s">
        <x:v>1921</x:v>
      </x:c>
      <x:c r="G8" s="10">
        <x:v>1</x:v>
      </x:c>
      <x:c r="H8" s="167">
        <x:v>660000</x:v>
      </x:c>
      <x:c r="I8" s="167">
        <x:v>660000</x:v>
      </x:c>
      <x:c r="J8" s="10">
        <x:v>5</x:v>
      </x:c>
    </x:row>
    <x:row r="9" spans="1:10">
      <x:c r="A9" s="10" t="s">
        <x:v>3224</x:v>
      </x:c>
      <x:c r="B9" s="166" t="s">
        <x:v>1899</x:v>
      </x:c>
      <x:c r="C9" s="166" t="s">
        <x:v>3196</x:v>
      </x:c>
      <x:c r="D9" s="10" t="s">
        <x:v>475</x:v>
      </x:c>
      <x:c r="E9" s="10" t="s">
        <x:v>1880</x:v>
      </x:c>
      <x:c r="F9" s="166" t="s">
        <x:v>1921</x:v>
      </x:c>
      <x:c r="G9" s="10">
        <x:v>1</x:v>
      </x:c>
      <x:c r="H9" s="167">
        <x:v>704000</x:v>
      </x:c>
      <x:c r="I9" s="167">
        <x:v>704000</x:v>
      </x:c>
      <x:c r="J9" s="10">
        <x:v>5</x:v>
      </x:c>
    </x:row>
    <x:row r="10" spans="1:10">
      <x:c r="A10" s="10" t="s">
        <x:v>3224</x:v>
      </x:c>
      <x:c r="B10" s="166" t="s">
        <x:v>1899</x:v>
      </x:c>
      <x:c r="C10" s="166" t="s">
        <x:v>3196</x:v>
      </x:c>
      <x:c r="D10" s="10" t="s">
        <x:v>469</x:v>
      </x:c>
      <x:c r="E10" s="10" t="s">
        <x:v>1880</x:v>
      </x:c>
      <x:c r="F10" s="166" t="s">
        <x:v>1921</x:v>
      </x:c>
      <x:c r="G10" s="10">
        <x:v>1</x:v>
      </x:c>
      <x:c r="H10" s="167">
        <x:v>704000</x:v>
      </x:c>
      <x:c r="I10" s="167">
        <x:v>704000</x:v>
      </x:c>
      <x:c r="J10" s="10">
        <x:v>5</x:v>
      </x:c>
    </x:row>
    <x:row r="11" spans="1:10">
      <x:c r="A11" s="10" t="s">
        <x:v>3224</x:v>
      </x:c>
      <x:c r="B11" s="166" t="s">
        <x:v>1899</x:v>
      </x:c>
      <x:c r="C11" s="166" t="s">
        <x:v>3196</x:v>
      </x:c>
      <x:c r="D11" s="10" t="s">
        <x:v>479</x:v>
      </x:c>
      <x:c r="E11" s="10" t="s">
        <x:v>1876</x:v>
      </x:c>
      <x:c r="F11" s="166" t="s">
        <x:v>1921</x:v>
      </x:c>
      <x:c r="G11" s="10">
        <x:v>1</x:v>
      </x:c>
      <x:c r="H11" s="167">
        <x:v>499000</x:v>
      </x:c>
      <x:c r="I11" s="167">
        <x:v>499000</x:v>
      </x:c>
      <x:c r="J11" s="10">
        <x:v>5</x:v>
      </x:c>
    </x:row>
    <x:row r="12" spans="1:10">
      <x:c r="A12" s="10" t="s">
        <x:v>3224</x:v>
      </x:c>
      <x:c r="B12" s="166" t="s">
        <x:v>1899</x:v>
      </x:c>
      <x:c r="C12" s="166" t="s">
        <x:v>3196</x:v>
      </x:c>
      <x:c r="D12" s="10" t="s">
        <x:v>477</x:v>
      </x:c>
      <x:c r="E12" s="10" t="s">
        <x:v>1880</x:v>
      </x:c>
      <x:c r="F12" s="166" t="s">
        <x:v>1921</x:v>
      </x:c>
      <x:c r="G12" s="10">
        <x:v>2</x:v>
      </x:c>
      <x:c r="H12" s="167">
        <x:v>1464720</x:v>
      </x:c>
      <x:c r="I12" s="167">
        <x:v>2929440</x:v>
      </x:c>
      <x:c r="J12" s="10">
        <x:v>5</x:v>
      </x:c>
    </x:row>
    <x:row r="13" spans="1:10">
      <x:c r="A13" s="10" t="s">
        <x:v>3209</x:v>
      </x:c>
      <x:c r="B13" s="166" t="s">
        <x:v>1899</x:v>
      </x:c>
      <x:c r="C13" s="166" t="s">
        <x:v>3133</x:v>
      </x:c>
      <x:c r="D13" s="10" t="s">
        <x:v>1603</x:v>
      </x:c>
      <x:c r="E13" s="10" t="s">
        <x:v>1880</x:v>
      </x:c>
      <x:c r="F13" s="166" t="s">
        <x:v>1921</x:v>
      </x:c>
      <x:c r="G13" s="10">
        <x:v>1</x:v>
      </x:c>
      <x:c r="H13" s="167">
        <x:v>915200</x:v>
      </x:c>
      <x:c r="I13" s="167">
        <x:v>915200</x:v>
      </x:c>
      <x:c r="J13" s="10">
        <x:v>5</x:v>
      </x:c>
    </x:row>
    <x:row r="14" spans="1:10">
      <x:c r="A14" s="10" t="s">
        <x:v>3212</x:v>
      </x:c>
      <x:c r="B14" s="166" t="s">
        <x:v>1899</x:v>
      </x:c>
      <x:c r="C14" s="166" t="s">
        <x:v>892</x:v>
      </x:c>
      <x:c r="D14" s="10" t="s">
        <x:v>529</x:v>
      </x:c>
      <x:c r="E14" s="10" t="s">
        <x:v>1880</x:v>
      </x:c>
      <x:c r="F14" s="166" t="s">
        <x:v>1921</x:v>
      </x:c>
      <x:c r="G14" s="10">
        <x:v>1</x:v>
      </x:c>
      <x:c r="H14" s="167">
        <x:v>817300</x:v>
      </x:c>
      <x:c r="I14" s="167">
        <x:v>817300</x:v>
      </x:c>
      <x:c r="J14" s="10">
        <x:v>5</x:v>
      </x:c>
    </x:row>
    <x:row r="15" spans="1:11" s="158" customFormat="1">
      <x:c r="A15" s="160" t="s">
        <x:v>3253</x:v>
      </x:c>
      <x:c r="B15" s="161" t="s">
        <x:v>1899</x:v>
      </x:c>
      <x:c r="C15" s="161" t="s">
        <x:v>443</x:v>
      </x:c>
      <x:c r="D15" s="160" t="s">
        <x:v>1605</x:v>
      </x:c>
      <x:c r="E15" s="160" t="s">
        <x:v>1880</x:v>
      </x:c>
      <x:c r="F15" s="161" t="s">
        <x:v>1921</x:v>
      </x:c>
      <x:c r="G15" s="160">
        <x:v>2</x:v>
      </x:c>
      <x:c r="H15" s="162">
        <x:v>663205</x:v>
      </x:c>
      <x:c r="I15" s="162">
        <x:v>1326410</x:v>
      </x:c>
      <x:c r="J15" s="160">
        <x:v>5</x:v>
      </x:c>
      <x:c r="K15" s="160" t="s">
        <x:v>1501</x:v>
      </x:c>
    </x:row>
    <x:row r="16" spans="1:11">
      <x:c r="A16" s="163" t="s">
        <x:v>3291</x:v>
      </x:c>
      <x:c r="B16" s="164" t="s">
        <x:v>1899</x:v>
      </x:c>
      <x:c r="C16" s="164" t="s">
        <x:v>3138</x:v>
      </x:c>
      <x:c r="D16" s="163" t="s">
        <x:v>1593</x:v>
      </x:c>
      <x:c r="E16" s="163" t="s">
        <x:v>1880</x:v>
      </x:c>
      <x:c r="F16" s="164" t="s">
        <x:v>1921</x:v>
      </x:c>
      <x:c r="G16" s="163">
        <x:v>1</x:v>
      </x:c>
      <x:c r="H16" s="165">
        <x:v>442370</x:v>
      </x:c>
      <x:c r="I16" s="165">
        <x:v>442370</x:v>
      </x:c>
      <x:c r="J16" s="163">
        <x:v>6</x:v>
      </x:c>
      <x:c r="K16" s="163" t="s">
        <x:v>1960</x:v>
      </x:c>
    </x:row>
    <x:row r="17" spans="1:10">
      <x:c r="A17" s="10" t="s">
        <x:v>3224</x:v>
      </x:c>
      <x:c r="B17" s="166" t="s">
        <x:v>1899</x:v>
      </x:c>
      <x:c r="C17" s="166" t="s">
        <x:v>3196</x:v>
      </x:c>
      <x:c r="D17" s="10" t="s">
        <x:v>479</x:v>
      </x:c>
      <x:c r="E17" s="10" t="s">
        <x:v>1876</x:v>
      </x:c>
      <x:c r="F17" s="166" t="s">
        <x:v>1870</x:v>
      </x:c>
      <x:c r="G17" s="10">
        <x:v>1</x:v>
      </x:c>
      <x:c r="H17" s="167">
        <x:v>499000</x:v>
      </x:c>
      <x:c r="I17" s="167">
        <x:v>499000</x:v>
      </x:c>
      <x:c r="J17" s="10">
        <x:v>5</x:v>
      </x:c>
    </x:row>
    <x:row r="18" spans="1:10">
      <x:c r="A18" s="10" t="s">
        <x:v>3212</x:v>
      </x:c>
      <x:c r="B18" s="166" t="s">
        <x:v>1899</x:v>
      </x:c>
      <x:c r="C18" s="166" t="s">
        <x:v>892</x:v>
      </x:c>
      <x:c r="D18" s="10" t="s">
        <x:v>1603</x:v>
      </x:c>
      <x:c r="E18" s="10" t="s">
        <x:v>1880</x:v>
      </x:c>
      <x:c r="F18" s="166" t="s">
        <x:v>1870</x:v>
      </x:c>
      <x:c r="G18" s="10">
        <x:v>1</x:v>
      </x:c>
      <x:c r="H18" s="167">
        <x:v>1193500</x:v>
      </x:c>
      <x:c r="I18" s="167">
        <x:v>1193500</x:v>
      </x:c>
      <x:c r="J18" s="10">
        <x:v>5</x:v>
      </x:c>
    </x:row>
    <x:row r="19" spans="1:10">
      <x:c r="A19" s="10" t="s">
        <x:v>3334</x:v>
      </x:c>
      <x:c r="B19" s="166" t="s">
        <x:v>1914</x:v>
      </x:c>
      <x:c r="C19" s="166" t="s">
        <x:v>107</x:v>
      </x:c>
      <x:c r="D19" s="10" t="s">
        <x:v>1594</x:v>
      </x:c>
      <x:c r="E19" s="10" t="s">
        <x:v>1876</x:v>
      </x:c>
      <x:c r="F19" s="166" t="s">
        <x:v>1870</x:v>
      </x:c>
      <x:c r="G19" s="10">
        <x:v>1</x:v>
      </x:c>
      <x:c r="H19" s="167">
        <x:v>4667400</x:v>
      </x:c>
      <x:c r="I19" s="167">
        <x:v>4667400</x:v>
      </x:c>
      <x:c r="J19" s="10">
        <x:v>5</x:v>
      </x:c>
    </x:row>
    <x:row r="20" spans="1:11">
      <x:c r="A20" s="163" t="s">
        <x:v>3302</x:v>
      </x:c>
      <x:c r="B20" s="164" t="s">
        <x:v>1899</x:v>
      </x:c>
      <x:c r="C20" s="164" t="s">
        <x:v>3160</x:v>
      </x:c>
      <x:c r="D20" s="163" t="s">
        <x:v>9</x:v>
      </x:c>
      <x:c r="E20" s="163" t="s">
        <x:v>1880</x:v>
      </x:c>
      <x:c r="F20" s="164" t="s">
        <x:v>1870</x:v>
      </x:c>
      <x:c r="G20" s="163">
        <x:v>1</x:v>
      </x:c>
      <x:c r="H20" s="165">
        <x:v>631780</x:v>
      </x:c>
      <x:c r="I20" s="165">
        <x:v>631780</x:v>
      </x:c>
      <x:c r="J20" s="163">
        <x:v>5</x:v>
      </x:c>
      <x:c r="K20" s="163"/>
    </x:row>
    <x:row r="21" spans="1:11">
      <x:c r="A21" s="163" t="s">
        <x:v>3239</x:v>
      </x:c>
      <x:c r="B21" s="164" t="s">
        <x:v>1509</x:v>
      </x:c>
      <x:c r="C21" s="164" t="s">
        <x:v>453</x:v>
      </x:c>
      <x:c r="D21" s="163" t="s">
        <x:v>2116</x:v>
      </x:c>
      <x:c r="E21" s="163" t="s">
        <x:v>1880</x:v>
      </x:c>
      <x:c r="F21" s="164" t="s">
        <x:v>1870</x:v>
      </x:c>
      <x:c r="G21" s="163">
        <x:v>1</x:v>
      </x:c>
      <x:c r="H21" s="165">
        <x:v>2490970</x:v>
      </x:c>
      <x:c r="I21" s="165">
        <x:v>2490970</x:v>
      </x:c>
      <x:c r="J21" s="163">
        <x:v>6</x:v>
      </x:c>
      <x:c r="K21" s="163"/>
    </x:row>
    <x:row r="22" spans="1:10">
      <x:c r="A22" s="10" t="s">
        <x:v>3224</x:v>
      </x:c>
      <x:c r="B22" s="166" t="s">
        <x:v>1899</x:v>
      </x:c>
      <x:c r="C22" s="166" t="s">
        <x:v>3196</x:v>
      </x:c>
      <x:c r="D22" s="10" t="s">
        <x:v>461</x:v>
      </x:c>
      <x:c r="E22" s="10" t="s">
        <x:v>1880</x:v>
      </x:c>
      <x:c r="F22" s="166" t="s">
        <x:v>1868</x:v>
      </x:c>
      <x:c r="G22" s="10">
        <x:v>2</x:v>
      </x:c>
      <x:c r="H22" s="167">
        <x:v>568700</x:v>
      </x:c>
      <x:c r="I22" s="167">
        <x:v>1137400</x:v>
      </x:c>
      <x:c r="J22" s="10">
        <x:v>5</x:v>
      </x:c>
    </x:row>
    <x:row r="23" spans="1:10">
      <x:c r="A23" s="10" t="s">
        <x:v>3207</x:v>
      </x:c>
      <x:c r="B23" s="166" t="s">
        <x:v>1899</x:v>
      </x:c>
      <x:c r="C23" s="166" t="s">
        <x:v>446</x:v>
      </x:c>
      <x:c r="D23" s="10" t="s">
        <x:v>461</x:v>
      </x:c>
      <x:c r="E23" s="10" t="s">
        <x:v>1880</x:v>
      </x:c>
      <x:c r="F23" s="166" t="s">
        <x:v>1868</x:v>
      </x:c>
      <x:c r="G23" s="10">
        <x:v>2</x:v>
      </x:c>
      <x:c r="H23" s="167">
        <x:v>295900</x:v>
      </x:c>
      <x:c r="I23" s="167">
        <x:v>591800</x:v>
      </x:c>
      <x:c r="J23" s="10">
        <x:v>5</x:v>
      </x:c>
    </x:row>
    <x:row r="24" spans="1:10">
      <x:c r="A24" s="10" t="s">
        <x:v>3224</x:v>
      </x:c>
      <x:c r="B24" s="166" t="s">
        <x:v>1899</x:v>
      </x:c>
      <x:c r="C24" s="166" t="s">
        <x:v>3196</x:v>
      </x:c>
      <x:c r="D24" s="10" t="s">
        <x:v>473</x:v>
      </x:c>
      <x:c r="E24" s="10" t="s">
        <x:v>1876</x:v>
      </x:c>
      <x:c r="F24" s="166" t="s">
        <x:v>1868</x:v>
      </x:c>
      <x:c r="G24" s="10">
        <x:v>1</x:v>
      </x:c>
      <x:c r="H24" s="167">
        <x:v>1090430</x:v>
      </x:c>
      <x:c r="I24" s="167">
        <x:v>1090430</x:v>
      </x:c>
      <x:c r="J24" s="10">
        <x:v>5</x:v>
      </x:c>
    </x:row>
    <x:row r="25" spans="1:10">
      <x:c r="A25" s="10" t="s">
        <x:v>3224</x:v>
      </x:c>
      <x:c r="B25" s="166" t="s">
        <x:v>1899</x:v>
      </x:c>
      <x:c r="C25" s="166" t="s">
        <x:v>3196</x:v>
      </x:c>
      <x:c r="D25" s="10" t="s">
        <x:v>462</x:v>
      </x:c>
      <x:c r="E25" s="10" t="s">
        <x:v>1880</x:v>
      </x:c>
      <x:c r="F25" s="166" t="s">
        <x:v>1868</x:v>
      </x:c>
      <x:c r="G25" s="10">
        <x:v>2</x:v>
      </x:c>
      <x:c r="H25" s="167">
        <x:v>962500</x:v>
      </x:c>
      <x:c r="I25" s="167">
        <x:v>1925000</x:v>
      </x:c>
      <x:c r="J25" s="10">
        <x:v>5</x:v>
      </x:c>
    </x:row>
    <x:row r="26" spans="1:10">
      <x:c r="A26" s="10" t="s">
        <x:v>3298</x:v>
      </x:c>
      <x:c r="B26" s="166" t="s">
        <x:v>1509</x:v>
      </x:c>
      <x:c r="C26" s="166" t="s">
        <x:v>3140</x:v>
      </x:c>
      <x:c r="D26" s="10" t="s">
        <x:v>485</x:v>
      </x:c>
      <x:c r="E26" s="10" t="s">
        <x:v>1876</x:v>
      </x:c>
      <x:c r="F26" s="166" t="s">
        <x:v>1868</x:v>
      </x:c>
      <x:c r="G26" s="10">
        <x:v>1</x:v>
      </x:c>
      <x:c r="H26" s="167">
        <x:v>2820000</x:v>
      </x:c>
      <x:c r="I26" s="167">
        <x:v>2820000</x:v>
      </x:c>
      <x:c r="J26" s="10">
        <x:v>4</x:v>
      </x:c>
    </x:row>
    <x:row r="27" spans="1:10">
      <x:c r="A27" s="10" t="s">
        <x:v>3201</x:v>
      </x:c>
      <x:c r="B27" s="166" t="s">
        <x:v>1914</x:v>
      </x:c>
      <x:c r="C27" s="166" t="s">
        <x:v>1609</x:v>
      </x:c>
      <x:c r="D27" s="10" t="s">
        <x:v>485</x:v>
      </x:c>
      <x:c r="E27" s="10" t="s">
        <x:v>1892</x:v>
      </x:c>
      <x:c r="F27" s="166" t="s">
        <x:v>1868</x:v>
      </x:c>
      <x:c r="G27" s="10">
        <x:v>1</x:v>
      </x:c>
      <x:c r="H27" s="167">
        <x:v>757000</x:v>
      </x:c>
      <x:c r="I27" s="167">
        <x:v>757000</x:v>
      </x:c>
      <x:c r="J27" s="10">
        <x:v>5</x:v>
      </x:c>
    </x:row>
    <x:row r="28" spans="1:10">
      <x:c r="A28" s="10" t="s">
        <x:v>3300</x:v>
      </x:c>
      <x:c r="B28" s="166" t="s">
        <x:v>1914</x:v>
      </x:c>
      <x:c r="C28" s="166" t="s">
        <x:v>3120</x:v>
      </x:c>
      <x:c r="D28" s="10" t="s">
        <x:v>485</x:v>
      </x:c>
      <x:c r="E28" s="10" t="s">
        <x:v>1892</x:v>
      </x:c>
      <x:c r="F28" s="166" t="s">
        <x:v>1868</x:v>
      </x:c>
      <x:c r="G28" s="10">
        <x:v>1</x:v>
      </x:c>
      <x:c r="H28" s="167">
        <x:v>757000</x:v>
      </x:c>
      <x:c r="I28" s="167">
        <x:v>757000</x:v>
      </x:c>
      <x:c r="J28" s="10">
        <x:v>5</x:v>
      </x:c>
    </x:row>
    <x:row r="29" spans="1:11">
      <x:c r="A29" s="160" t="s">
        <x:v>3204</x:v>
      </x:c>
      <x:c r="B29" s="161" t="s">
        <x:v>1509</x:v>
      </x:c>
      <x:c r="C29" s="161" t="s">
        <x:v>3124</x:v>
      </x:c>
      <x:c r="D29" s="160" t="s">
        <x:v>11</x:v>
      </x:c>
      <x:c r="E29" s="160" t="s">
        <x:v>1880</x:v>
      </x:c>
      <x:c r="F29" s="161" t="s">
        <x:v>1868</x:v>
      </x:c>
      <x:c r="G29" s="160">
        <x:v>1</x:v>
      </x:c>
      <x:c r="H29" s="162">
        <x:v>4125150</x:v>
      </x:c>
      <x:c r="I29" s="162">
        <x:v>4125150</x:v>
      </x:c>
      <x:c r="J29" s="160">
        <x:v>5</x:v>
      </x:c>
      <x:c r="K29" s="160" t="s">
        <x:v>1873</x:v>
      </x:c>
    </x:row>
    <x:row r="30" spans="1:11">
      <x:c r="A30" s="163" t="s">
        <x:v>3222</x:v>
      </x:c>
      <x:c r="B30" s="164" t="s">
        <x:v>1899</x:v>
      </x:c>
      <x:c r="C30" s="164" t="s">
        <x:v>891</x:v>
      </x:c>
      <x:c r="D30" s="163" t="s">
        <x:v>9</x:v>
      </x:c>
      <x:c r="E30" s="163" t="s">
        <x:v>1880</x:v>
      </x:c>
      <x:c r="F30" s="164" t="s">
        <x:v>1868</x:v>
      </x:c>
      <x:c r="G30" s="163">
        <x:v>1</x:v>
      </x:c>
      <x:c r="H30" s="165">
        <x:v>775500</x:v>
      </x:c>
      <x:c r="I30" s="165">
        <x:v>775500</x:v>
      </x:c>
      <x:c r="J30" s="163">
        <x:v>5</x:v>
      </x:c>
      <x:c r="K30" s="163"/>
    </x:row>
    <x:row r="31" spans="1:11">
      <x:c r="A31" s="163" t="s">
        <x:v>3302</x:v>
      </x:c>
      <x:c r="B31" s="164" t="s">
        <x:v>1899</x:v>
      </x:c>
      <x:c r="C31" s="164" t="s">
        <x:v>3160</x:v>
      </x:c>
      <x:c r="D31" s="163" t="s">
        <x:v>9</x:v>
      </x:c>
      <x:c r="E31" s="163" t="s">
        <x:v>1880</x:v>
      </x:c>
      <x:c r="F31" s="164" t="s">
        <x:v>1868</x:v>
      </x:c>
      <x:c r="G31" s="163">
        <x:v>1</x:v>
      </x:c>
      <x:c r="H31" s="165">
        <x:v>631780</x:v>
      </x:c>
      <x:c r="I31" s="165">
        <x:v>631780</x:v>
      </x:c>
      <x:c r="J31" s="163">
        <x:v>5</x:v>
      </x:c>
      <x:c r="K31" s="163"/>
    </x:row>
    <x:row r="32" spans="1:10">
      <x:c r="A32" s="10" t="s">
        <x:v>3193</x:v>
      </x:c>
      <x:c r="B32" s="166" t="s">
        <x:v>1509</x:v>
      </x:c>
      <x:c r="C32" s="166" t="s">
        <x:v>3163</x:v>
      </x:c>
      <x:c r="D32" s="10" t="s">
        <x:v>515</x:v>
      </x:c>
      <x:c r="E32" s="10" t="s">
        <x:v>1880</x:v>
      </x:c>
      <x:c r="F32" s="166" t="s">
        <x:v>1923</x:v>
      </x:c>
      <x:c r="G32" s="10">
        <x:v>1</x:v>
      </x:c>
      <x:c r="H32" s="167">
        <x:v>4235000</x:v>
      </x:c>
      <x:c r="I32" s="167">
        <x:v>4235000</x:v>
      </x:c>
      <x:c r="J32" s="10">
        <x:v>5</x:v>
      </x:c>
    </x:row>
    <x:row r="33" spans="1:10">
      <x:c r="A33" s="10" t="s">
        <x:v>3224</x:v>
      </x:c>
      <x:c r="B33" s="166" t="s">
        <x:v>1899</x:v>
      </x:c>
      <x:c r="C33" s="166" t="s">
        <x:v>3196</x:v>
      </x:c>
      <x:c r="D33" s="10" t="s">
        <x:v>509</x:v>
      </x:c>
      <x:c r="E33" s="10" t="s">
        <x:v>1880</x:v>
      </x:c>
      <x:c r="F33" s="166" t="s">
        <x:v>1297</x:v>
      </x:c>
      <x:c r="G33" s="10">
        <x:v>1</x:v>
      </x:c>
      <x:c r="H33" s="167">
        <x:v>660000</x:v>
      </x:c>
      <x:c r="I33" s="167">
        <x:v>660000</x:v>
      </x:c>
      <x:c r="J33" s="10">
        <x:v>5</x:v>
      </x:c>
    </x:row>
    <x:row r="34" spans="1:10">
      <x:c r="A34" s="10" t="s">
        <x:v>3233</x:v>
      </x:c>
      <x:c r="B34" s="166" t="s">
        <x:v>1912</x:v>
      </x:c>
      <x:c r="C34" s="166" t="s">
        <x:v>888</x:v>
      </x:c>
      <x:c r="D34" s="10" t="s">
        <x:v>481</x:v>
      </x:c>
      <x:c r="E34" s="10" t="s">
        <x:v>1880</x:v>
      </x:c>
      <x:c r="F34" s="166" t="s">
        <x:v>1254</x:v>
      </x:c>
      <x:c r="G34" s="10">
        <x:v>1</x:v>
      </x:c>
      <x:c r="H34" s="167">
        <x:v>400000</x:v>
      </x:c>
      <x:c r="I34" s="167">
        <x:v>400000</x:v>
      </x:c>
      <x:c r="J34" s="10">
        <x:v>5</x:v>
      </x:c>
    </x:row>
    <x:row r="35" spans="1:10">
      <x:c r="A35" s="10" t="s">
        <x:v>3223</x:v>
      </x:c>
      <x:c r="B35" s="166" t="s">
        <x:v>1899</x:v>
      </x:c>
      <x:c r="C35" s="166" t="s">
        <x:v>452</x:v>
      </x:c>
      <x:c r="D35" s="10" t="s">
        <x:v>481</x:v>
      </x:c>
      <x:c r="E35" s="10" t="s">
        <x:v>1880</x:v>
      </x:c>
      <x:c r="F35" s="166" t="s">
        <x:v>1254</x:v>
      </x:c>
      <x:c r="G35" s="10">
        <x:v>1</x:v>
      </x:c>
      <x:c r="H35" s="167">
        <x:v>780000</x:v>
      </x:c>
      <x:c r="I35" s="167">
        <x:v>780000</x:v>
      </x:c>
      <x:c r="J35" s="10">
        <x:v>5</x:v>
      </x:c>
    </x:row>
    <x:row r="36" spans="1:11">
      <x:c r="A36" s="163" t="s">
        <x:v>3275</x:v>
      </x:c>
      <x:c r="B36" s="164" t="s">
        <x:v>1509</x:v>
      </x:c>
      <x:c r="C36" s="164" t="s">
        <x:v>3081</x:v>
      </x:c>
      <x:c r="D36" s="163" t="s">
        <x:v>1598</x:v>
      </x:c>
      <x:c r="E36" s="163" t="s">
        <x:v>1880</x:v>
      </x:c>
      <x:c r="F36" s="164" t="s">
        <x:v>1254</x:v>
      </x:c>
      <x:c r="G36" s="163">
        <x:v>1</x:v>
      </x:c>
      <x:c r="H36" s="165">
        <x:v>3099360</x:v>
      </x:c>
      <x:c r="I36" s="165">
        <x:v>3099360</x:v>
      </x:c>
      <x:c r="J36" s="163">
        <x:v>5</x:v>
      </x:c>
      <x:c r="K36" s="163"/>
    </x:row>
    <x:row r="37" spans="1:11">
      <x:c r="A37" s="163" t="s">
        <x:v>3250</x:v>
      </x:c>
      <x:c r="B37" s="164" t="s">
        <x:v>1912</x:v>
      </x:c>
      <x:c r="C37" s="164" t="s">
        <x:v>3355</x:v>
      </x:c>
      <x:c r="D37" s="163" t="s">
        <x:v>7</x:v>
      </x:c>
      <x:c r="E37" s="163" t="s">
        <x:v>1876</x:v>
      </x:c>
      <x:c r="F37" s="164" t="s">
        <x:v>1254</x:v>
      </x:c>
      <x:c r="G37" s="163">
        <x:v>1</x:v>
      </x:c>
      <x:c r="H37" s="165">
        <x:v>261400</x:v>
      </x:c>
      <x:c r="I37" s="165">
        <x:v>261400</x:v>
      </x:c>
      <x:c r="J37" s="163">
        <x:v>5</x:v>
      </x:c>
      <x:c r="K37" s="163"/>
    </x:row>
    <x:row r="38" spans="1:10">
      <x:c r="A38" s="10" t="s">
        <x:v>3247</x:v>
      </x:c>
      <x:c r="B38" s="166" t="s">
        <x:v>1899</x:v>
      </x:c>
      <x:c r="C38" s="166" t="s">
        <x:v>3134</x:v>
      </x:c>
      <x:c r="D38" s="10" t="s">
        <x:v>508</x:v>
      </x:c>
      <x:c r="E38" s="10" t="s">
        <x:v>1876</x:v>
      </x:c>
      <x:c r="F38" s="166" t="s">
        <x:v>1284</x:v>
      </x:c>
      <x:c r="G38" s="10">
        <x:v>1</x:v>
      </x:c>
      <x:c r="H38" s="167">
        <x:v>303930</x:v>
      </x:c>
      <x:c r="I38" s="167">
        <x:v>303930</x:v>
      </x:c>
      <x:c r="J38" s="10">
        <x:v>5</x:v>
      </x:c>
    </x:row>
    <x:row r="39" spans="1:10">
      <x:c r="A39" s="10" t="s">
        <x:v>3224</x:v>
      </x:c>
      <x:c r="B39" s="166" t="s">
        <x:v>1899</x:v>
      </x:c>
      <x:c r="C39" s="166" t="s">
        <x:v>3196</x:v>
      </x:c>
      <x:c r="D39" s="10" t="s">
        <x:v>508</x:v>
      </x:c>
      <x:c r="E39" s="10" t="s">
        <x:v>1880</x:v>
      </x:c>
      <x:c r="F39" s="166" t="s">
        <x:v>1284</x:v>
      </x:c>
      <x:c r="G39" s="10">
        <x:v>1</x:v>
      </x:c>
      <x:c r="H39" s="167">
        <x:v>786500</x:v>
      </x:c>
      <x:c r="I39" s="167">
        <x:v>786500</x:v>
      </x:c>
      <x:c r="J39" s="10">
        <x:v>5</x:v>
      </x:c>
    </x:row>
    <x:row r="40" spans="1:10">
      <x:c r="A40" s="10" t="s">
        <x:v>3224</x:v>
      </x:c>
      <x:c r="B40" s="166" t="s">
        <x:v>1899</x:v>
      </x:c>
      <x:c r="C40" s="166" t="s">
        <x:v>3196</x:v>
      </x:c>
      <x:c r="D40" s="10" t="s">
        <x:v>497</x:v>
      </x:c>
      <x:c r="E40" s="10" t="s">
        <x:v>1880</x:v>
      </x:c>
      <x:c r="F40" s="166" t="s">
        <x:v>1284</x:v>
      </x:c>
      <x:c r="G40" s="10">
        <x:v>1</x:v>
      </x:c>
      <x:c r="H40" s="167">
        <x:v>3920400</x:v>
      </x:c>
      <x:c r="I40" s="167">
        <x:v>3920400</x:v>
      </x:c>
      <x:c r="J40" s="10">
        <x:v>5</x:v>
      </x:c>
    </x:row>
    <x:row r="41" spans="1:10">
      <x:c r="A41" s="10" t="s">
        <x:v>3314</x:v>
      </x:c>
      <x:c r="B41" s="166" t="s">
        <x:v>1509</x:v>
      </x:c>
      <x:c r="C41" s="166" t="s">
        <x:v>896</x:v>
      </x:c>
      <x:c r="D41" s="10" t="s">
        <x:v>478</x:v>
      </x:c>
      <x:c r="E41" s="10" t="s">
        <x:v>1876</x:v>
      </x:c>
      <x:c r="F41" s="166" t="s">
        <x:v>1913</x:v>
      </x:c>
      <x:c r="G41" s="10">
        <x:v>1</x:v>
      </x:c>
      <x:c r="H41" s="167">
        <x:v>2772000</x:v>
      </x:c>
      <x:c r="I41" s="167">
        <x:v>2772000</x:v>
      </x:c>
      <x:c r="J41" s="10">
        <x:v>4</x:v>
      </x:c>
    </x:row>
    <x:row r="42" spans="1:10">
      <x:c r="A42" s="10" t="s">
        <x:v>3330</x:v>
      </x:c>
      <x:c r="B42" s="166" t="s">
        <x:v>1914</x:v>
      </x:c>
      <x:c r="C42" s="166" t="s">
        <x:v>3093</x:v>
      </x:c>
      <x:c r="D42" s="10" t="s">
        <x:v>478</x:v>
      </x:c>
      <x:c r="E42" s="10" t="s">
        <x:v>1892</x:v>
      </x:c>
      <x:c r="F42" s="166" t="s">
        <x:v>1913</x:v>
      </x:c>
      <x:c r="G42" s="10">
        <x:v>1</x:v>
      </x:c>
      <x:c r="H42" s="167">
        <x:v>832700</x:v>
      </x:c>
      <x:c r="I42" s="167">
        <x:v>832700</x:v>
      </x:c>
      <x:c r="J42" s="10">
        <x:v>5</x:v>
      </x:c>
    </x:row>
    <x:row r="43" spans="1:10">
      <x:c r="A43" s="10" t="s">
        <x:v>3201</x:v>
      </x:c>
      <x:c r="B43" s="166" t="s">
        <x:v>1914</x:v>
      </x:c>
      <x:c r="C43" s="166" t="s">
        <x:v>1609</x:v>
      </x:c>
      <x:c r="D43" s="10" t="s">
        <x:v>478</x:v>
      </x:c>
      <x:c r="E43" s="10" t="s">
        <x:v>1892</x:v>
      </x:c>
      <x:c r="F43" s="166" t="s">
        <x:v>1913</x:v>
      </x:c>
      <x:c r="G43" s="10">
        <x:v>1</x:v>
      </x:c>
      <x:c r="H43" s="167">
        <x:v>832700</x:v>
      </x:c>
      <x:c r="I43" s="167">
        <x:v>832700</x:v>
      </x:c>
      <x:c r="J43" s="10">
        <x:v>5</x:v>
      </x:c>
    </x:row>
    <x:row r="44" spans="1:10">
      <x:c r="A44" s="10" t="s">
        <x:v>3224</x:v>
      </x:c>
      <x:c r="B44" s="166" t="s">
        <x:v>1899</x:v>
      </x:c>
      <x:c r="C44" s="166" t="s">
        <x:v>3196</x:v>
      </x:c>
      <x:c r="D44" s="10" t="s">
        <x:v>487</x:v>
      </x:c>
      <x:c r="E44" s="10" t="s">
        <x:v>1876</x:v>
      </x:c>
      <x:c r="F44" s="166" t="s">
        <x:v>1424</x:v>
      </x:c>
      <x:c r="G44" s="10">
        <x:v>1</x:v>
      </x:c>
      <x:c r="H44" s="167">
        <x:v>363000</x:v>
      </x:c>
      <x:c r="I44" s="167">
        <x:v>363000</x:v>
      </x:c>
      <x:c r="J44" s="10">
        <x:v>5</x:v>
      </x:c>
    </x:row>
    <x:row r="45" spans="1:11">
      <x:c r="A45" s="163" t="s">
        <x:v>3257</x:v>
      </x:c>
      <x:c r="B45" s="164" t="s">
        <x:v>1914</x:v>
      </x:c>
      <x:c r="C45" s="164" t="s">
        <x:v>2245</x:v>
      </x:c>
      <x:c r="D45" s="163" t="s">
        <x:v>516</x:v>
      </x:c>
      <x:c r="E45" s="163" t="s">
        <x:v>1880</x:v>
      </x:c>
      <x:c r="F45" s="164" t="s">
        <x:v>1424</x:v>
      </x:c>
      <x:c r="G45" s="163">
        <x:v>1</x:v>
      </x:c>
      <x:c r="H45" s="165">
        <x:v>8690000</x:v>
      </x:c>
      <x:c r="I45" s="165">
        <x:v>8690000</x:v>
      </x:c>
      <x:c r="J45" s="163">
        <x:v>5</x:v>
      </x:c>
      <x:c r="K45" s="163"/>
    </x:row>
    <x:row r="46" spans="1:10">
      <x:c r="A46" s="10" t="s">
        <x:v>3326</x:v>
      </x:c>
      <x:c r="B46" s="166" t="s">
        <x:v>1899</x:v>
      </x:c>
      <x:c r="C46" s="166" t="s">
        <x:v>3353</x:v>
      </x:c>
      <x:c r="D46" s="10" t="s">
        <x:v>510</x:v>
      </x:c>
      <x:c r="E46" s="10" t="s">
        <x:v>1876</x:v>
      </x:c>
      <x:c r="F46" s="166" t="s">
        <x:v>1424</x:v>
      </x:c>
      <x:c r="G46" s="10">
        <x:v>1</x:v>
      </x:c>
      <x:c r="H46" s="167">
        <x:v>244000</x:v>
      </x:c>
      <x:c r="I46" s="167">
        <x:v>244000</x:v>
      </x:c>
      <x:c r="J46" s="10">
        <x:v>5</x:v>
      </x:c>
    </x:row>
    <x:row r="47" spans="1:10">
      <x:c r="A47" s="10" t="s">
        <x:v>3271</x:v>
      </x:c>
      <x:c r="B47" s="166" t="s">
        <x:v>1899</x:v>
      </x:c>
      <x:c r="C47" s="166" t="s">
        <x:v>451</x:v>
      </x:c>
      <x:c r="D47" s="10" t="s">
        <x:v>460</x:v>
      </x:c>
      <x:c r="E47" s="10" t="s">
        <x:v>1880</x:v>
      </x:c>
      <x:c r="F47" s="166" t="s">
        <x:v>1424</x:v>
      </x:c>
      <x:c r="G47" s="10">
        <x:v>1</x:v>
      </x:c>
      <x:c r="H47" s="167">
        <x:v>263070</x:v>
      </x:c>
      <x:c r="I47" s="167">
        <x:v>263070</x:v>
      </x:c>
      <x:c r="J47" s="10">
        <x:v>5</x:v>
      </x:c>
    </x:row>
    <x:row r="48" spans="1:10">
      <x:c r="A48" s="10" t="s">
        <x:v>3224</x:v>
      </x:c>
      <x:c r="B48" s="166" t="s">
        <x:v>1899</x:v>
      </x:c>
      <x:c r="C48" s="166" t="s">
        <x:v>3196</x:v>
      </x:c>
      <x:c r="D48" s="10" t="s">
        <x:v>521</x:v>
      </x:c>
      <x:c r="E48" s="10" t="s">
        <x:v>1880</x:v>
      </x:c>
      <x:c r="F48" s="166" t="s">
        <x:v>1420</x:v>
      </x:c>
      <x:c r="G48" s="10">
        <x:v>1</x:v>
      </x:c>
      <x:c r="H48" s="167">
        <x:v>459800</x:v>
      </x:c>
      <x:c r="I48" s="167">
        <x:v>459800</x:v>
      </x:c>
      <x:c r="J48" s="10">
        <x:v>5</x:v>
      </x:c>
    </x:row>
    <x:row r="49" spans="1:11">
      <x:c r="A49" s="163" t="s">
        <x:v>3271</x:v>
      </x:c>
      <x:c r="B49" s="164" t="s">
        <x:v>1899</x:v>
      </x:c>
      <x:c r="C49" s="164" t="s">
        <x:v>451</x:v>
      </x:c>
      <x:c r="D49" s="163" t="s">
        <x:v>460</x:v>
      </x:c>
      <x:c r="E49" s="163" t="s">
        <x:v>1880</x:v>
      </x:c>
      <x:c r="F49" s="164" t="s">
        <x:v>1420</x:v>
      </x:c>
      <x:c r="G49" s="163">
        <x:v>1</x:v>
      </x:c>
      <x:c r="H49" s="165">
        <x:v>263070</x:v>
      </x:c>
      <x:c r="I49" s="165">
        <x:v>263070</x:v>
      </x:c>
      <x:c r="J49" s="163">
        <x:v>5</x:v>
      </x:c>
      <x:c r="K49" s="163"/>
    </x:row>
    <x:row r="50" spans="1:10">
      <x:c r="A50" s="10" t="s">
        <x:v>3224</x:v>
      </x:c>
      <x:c r="B50" s="166" t="s">
        <x:v>1899</x:v>
      </x:c>
      <x:c r="C50" s="166" t="s">
        <x:v>3196</x:v>
      </x:c>
      <x:c r="D50" s="10" t="s">
        <x:v>517</x:v>
      </x:c>
      <x:c r="E50" s="10" t="s">
        <x:v>1880</x:v>
      </x:c>
      <x:c r="F50" s="166" t="s">
        <x:v>1403</x:v>
      </x:c>
      <x:c r="G50" s="10">
        <x:v>1</x:v>
      </x:c>
      <x:c r="H50" s="167">
        <x:v>267410</x:v>
      </x:c>
      <x:c r="I50" s="167">
        <x:v>267410</x:v>
      </x:c>
      <x:c r="J50" s="10">
        <x:v>5</x:v>
      </x:c>
    </x:row>
    <x:row r="51" spans="1:10">
      <x:c r="A51" s="10" t="s">
        <x:v>3224</x:v>
      </x:c>
      <x:c r="B51" s="166" t="s">
        <x:v>1899</x:v>
      </x:c>
      <x:c r="C51" s="166" t="s">
        <x:v>3196</x:v>
      </x:c>
      <x:c r="D51" s="10" t="s">
        <x:v>463</x:v>
      </x:c>
      <x:c r="E51" s="10" t="s">
        <x:v>1880</x:v>
      </x:c>
      <x:c r="F51" s="166" t="s">
        <x:v>1403</x:v>
      </x:c>
      <x:c r="G51" s="10">
        <x:v>1</x:v>
      </x:c>
      <x:c r="H51" s="167">
        <x:v>665280</x:v>
      </x:c>
      <x:c r="I51" s="167">
        <x:v>665280</x:v>
      </x:c>
      <x:c r="J51" s="10">
        <x:v>5</x:v>
      </x:c>
    </x:row>
    <x:row r="52" spans="1:11">
      <x:c r="A52" s="163" t="s">
        <x:v>3275</x:v>
      </x:c>
      <x:c r="B52" s="164" t="s">
        <x:v>1509</x:v>
      </x:c>
      <x:c r="C52" s="164" t="s">
        <x:v>3081</x:v>
      </x:c>
      <x:c r="D52" s="163" t="s">
        <x:v>11</x:v>
      </x:c>
      <x:c r="E52" s="163" t="s">
        <x:v>1880</x:v>
      </x:c>
      <x:c r="F52" s="164" t="s">
        <x:v>1403</x:v>
      </x:c>
      <x:c r="G52" s="163">
        <x:v>1</x:v>
      </x:c>
      <x:c r="H52" s="165">
        <x:v>3638540</x:v>
      </x:c>
      <x:c r="I52" s="165">
        <x:v>3638540</x:v>
      </x:c>
      <x:c r="J52" s="163">
        <x:v>5</x:v>
      </x:c>
      <x:c r="K52" s="163"/>
    </x:row>
    <x:row r="53" spans="1:10">
      <x:c r="A53" s="10" t="s">
        <x:v>3317</x:v>
      </x:c>
      <x:c r="B53" s="166" t="s">
        <x:v>1899</x:v>
      </x:c>
      <x:c r="C53" s="166" t="s">
        <x:v>3137</x:v>
      </x:c>
      <x:c r="D53" s="10" t="s">
        <x:v>458</x:v>
      </x:c>
      <x:c r="E53" s="10" t="s">
        <x:v>1876</x:v>
      </x:c>
      <x:c r="F53" s="166" t="s">
        <x:v>1403</x:v>
      </x:c>
      <x:c r="G53" s="10">
        <x:v>1</x:v>
      </x:c>
      <x:c r="H53" s="167">
        <x:v>146840</x:v>
      </x:c>
      <x:c r="I53" s="167">
        <x:v>146840</x:v>
      </x:c>
      <x:c r="J53" s="10">
        <x:v>5</x:v>
      </x:c>
    </x:row>
    <x:row r="54" spans="1:11">
      <x:c r="A54" s="163" t="s">
        <x:v>3316</x:v>
      </x:c>
      <x:c r="B54" s="164" t="s">
        <x:v>1914</x:v>
      </x:c>
      <x:c r="C54" s="164" t="s">
        <x:v>441</x:v>
      </x:c>
      <x:c r="D54" s="163" t="s">
        <x:v>1606</x:v>
      </x:c>
      <x:c r="E54" s="163" t="s">
        <x:v>1880</x:v>
      </x:c>
      <x:c r="F54" s="164" t="s">
        <x:v>1403</x:v>
      </x:c>
      <x:c r="G54" s="163">
        <x:v>1</x:v>
      </x:c>
      <x:c r="H54" s="165">
        <x:v>826100</x:v>
      </x:c>
      <x:c r="I54" s="165">
        <x:v>826100</x:v>
      </x:c>
      <x:c r="J54" s="163">
        <x:v>5</x:v>
      </x:c>
      <x:c r="K54" s="163"/>
    </x:row>
    <x:row r="55" spans="1:10">
      <x:c r="A55" s="10" t="s">
        <x:v>3309</x:v>
      </x:c>
      <x:c r="B55" s="166" t="s">
        <x:v>1899</x:v>
      </x:c>
      <x:c r="C55" s="166" t="s">
        <x:v>3172</x:v>
      </x:c>
      <x:c r="D55" s="10" t="s">
        <x:v>468</x:v>
      </x:c>
      <x:c r="E55" s="10" t="s">
        <x:v>1880</x:v>
      </x:c>
      <x:c r="F55" s="166" t="s">
        <x:v>1315</x:v>
      </x:c>
      <x:c r="G55" s="10">
        <x:v>1</x:v>
      </x:c>
      <x:c r="H55" s="167">
        <x:v>346000</x:v>
      </x:c>
      <x:c r="I55" s="167">
        <x:v>346000</x:v>
      </x:c>
      <x:c r="J55" s="10">
        <x:v>5</x:v>
      </x:c>
    </x:row>
    <x:row r="56" spans="1:11">
      <x:c r="A56" s="163" t="s">
        <x:v>3308</x:v>
      </x:c>
      <x:c r="B56" s="164" t="s">
        <x:v>1914</x:v>
      </x:c>
      <x:c r="C56" s="164" t="s">
        <x:v>3169</x:v>
      </x:c>
      <x:c r="D56" s="163" t="s">
        <x:v>1602</x:v>
      </x:c>
      <x:c r="E56" s="163" t="s">
        <x:v>1880</x:v>
      </x:c>
      <x:c r="F56" s="164" t="s">
        <x:v>1315</x:v>
      </x:c>
      <x:c r="G56" s="163">
        <x:v>1</x:v>
      </x:c>
      <x:c r="H56" s="165">
        <x:v>424270</x:v>
      </x:c>
      <x:c r="I56" s="165">
        <x:v>424270</x:v>
      </x:c>
      <x:c r="J56" s="163">
        <x:v>6</x:v>
      </x:c>
      <x:c r="K56" s="163"/>
    </x:row>
    <x:row r="57" spans="1:10">
      <x:c r="A57" s="10" t="s">
        <x:v>3184</x:v>
      </x:c>
      <x:c r="B57" s="166" t="s">
        <x:v>1912</x:v>
      </x:c>
      <x:c r="C57" s="166" t="s">
        <x:v>890</x:v>
      </x:c>
      <x:c r="D57" s="10" t="s">
        <x:v>507</x:v>
      </x:c>
      <x:c r="E57" s="10" t="s">
        <x:v>1876</x:v>
      </x:c>
      <x:c r="F57" s="166" t="s">
        <x:v>1250</x:v>
      </x:c>
      <x:c r="G57" s="10">
        <x:v>1</x:v>
      </x:c>
      <x:c r="H57" s="167">
        <x:v>110000</x:v>
      </x:c>
      <x:c r="I57" s="167">
        <x:v>110000</x:v>
      </x:c>
      <x:c r="J57" s="10">
        <x:v>5</x:v>
      </x:c>
    </x:row>
    <x:row r="58" spans="1:10">
      <x:c r="A58" s="10" t="s">
        <x:v>3318</x:v>
      </x:c>
      <x:c r="B58" s="166" t="s">
        <x:v>1899</x:v>
      </x:c>
      <x:c r="C58" s="166" t="s">
        <x:v>3139</x:v>
      </x:c>
      <x:c r="D58" s="10" t="s">
        <x:v>519</x:v>
      </x:c>
      <x:c r="E58" s="10" t="s">
        <x:v>1876</x:v>
      </x:c>
      <x:c r="F58" s="166" t="s">
        <x:v>1250</x:v>
      </x:c>
      <x:c r="G58" s="10">
        <x:v>1</x:v>
      </x:c>
      <x:c r="H58" s="167">
        <x:v>542910</x:v>
      </x:c>
      <x:c r="I58" s="167">
        <x:v>542910</x:v>
      </x:c>
      <x:c r="J58" s="10">
        <x:v>5</x:v>
      </x:c>
    </x:row>
    <x:row r="59" spans="1:10">
      <x:c r="A59" s="10" t="s">
        <x:v>3306</x:v>
      </x:c>
      <x:c r="B59" s="166" t="s">
        <x:v>1912</x:v>
      </x:c>
      <x:c r="C59" s="166" t="s">
        <x:v>900</x:v>
      </x:c>
      <x:c r="D59" s="10" t="s">
        <x:v>534</x:v>
      </x:c>
      <x:c r="E59" s="10" t="s">
        <x:v>1876</x:v>
      </x:c>
      <x:c r="F59" s="166" t="s">
        <x:v>1250</x:v>
      </x:c>
      <x:c r="G59" s="10">
        <x:v>1</x:v>
      </x:c>
      <x:c r="H59" s="167">
        <x:v>600000</x:v>
      </x:c>
      <x:c r="I59" s="167">
        <x:v>600000</x:v>
      </x:c>
      <x:c r="J59" s="10">
        <x:v>5</x:v>
      </x:c>
    </x:row>
    <x:row r="60" spans="1:10">
      <x:c r="A60" s="10" t="s">
        <x:v>3224</x:v>
      </x:c>
      <x:c r="B60" s="166" t="s">
        <x:v>1899</x:v>
      </x:c>
      <x:c r="C60" s="166" t="s">
        <x:v>3196</x:v>
      </x:c>
      <x:c r="D60" s="10" t="s">
        <x:v>506</x:v>
      </x:c>
      <x:c r="E60" s="10" t="s">
        <x:v>1876</x:v>
      </x:c>
      <x:c r="F60" s="166" t="s">
        <x:v>1961</x:v>
      </x:c>
      <x:c r="G60" s="10">
        <x:v>1</x:v>
      </x:c>
      <x:c r="H60" s="167">
        <x:v>900000</x:v>
      </x:c>
      <x:c r="I60" s="167">
        <x:v>900000</x:v>
      </x:c>
      <x:c r="J60" s="10">
        <x:v>5</x:v>
      </x:c>
    </x:row>
    <x:row r="61" spans="1:10">
      <x:c r="A61" s="10" t="s">
        <x:v>3290</x:v>
      </x:c>
      <x:c r="B61" s="166" t="s">
        <x:v>1899</x:v>
      </x:c>
      <x:c r="C61" s="166" t="s">
        <x:v>893</x:v>
      </x:c>
      <x:c r="D61" s="10" t="s">
        <x:v>1595</x:v>
      </x:c>
      <x:c r="E61" s="10" t="s">
        <x:v>1880</x:v>
      </x:c>
      <x:c r="F61" s="166" t="s">
        <x:v>1961</x:v>
      </x:c>
      <x:c r="G61" s="10">
        <x:v>1</x:v>
      </x:c>
      <x:c r="H61" s="167">
        <x:v>221180</x:v>
      </x:c>
      <x:c r="I61" s="167">
        <x:v>221180</x:v>
      </x:c>
      <x:c r="J61" s="10">
        <x:v>5</x:v>
      </x:c>
    </x:row>
    <x:row r="62" spans="1:10">
      <x:c r="A62" s="10" t="s">
        <x:v>3209</x:v>
      </x:c>
      <x:c r="B62" s="166" t="s">
        <x:v>1899</x:v>
      </x:c>
      <x:c r="C62" s="166" t="s">
        <x:v>3133</x:v>
      </x:c>
      <x:c r="D62" s="10" t="s">
        <x:v>516</x:v>
      </x:c>
      <x:c r="E62" s="10" t="s">
        <x:v>1880</x:v>
      </x:c>
      <x:c r="F62" s="166" t="s">
        <x:v>1294</x:v>
      </x:c>
      <x:c r="G62" s="10">
        <x:v>1</x:v>
      </x:c>
      <x:c r="H62" s="167">
        <x:v>915200</x:v>
      </x:c>
      <x:c r="I62" s="167">
        <x:v>915200</x:v>
      </x:c>
      <x:c r="J62" s="10">
        <x:v>5</x:v>
      </x:c>
    </x:row>
    <x:row r="63" spans="1:11">
      <x:c r="A63" s="163" t="s">
        <x:v>3278</x:v>
      </x:c>
      <x:c r="B63" s="164" t="s">
        <x:v>1509</x:v>
      </x:c>
      <x:c r="C63" s="164" t="s">
        <x:v>456</x:v>
      </x:c>
      <x:c r="D63" s="163" t="s">
        <x:v>1607</x:v>
      </x:c>
      <x:c r="E63" s="163" t="s">
        <x:v>1880</x:v>
      </x:c>
      <x:c r="F63" s="164" t="s">
        <x:v>1927</x:v>
      </x:c>
      <x:c r="G63" s="163">
        <x:v>1</x:v>
      </x:c>
      <x:c r="H63" s="165">
        <x:v>2974970</x:v>
      </x:c>
      <x:c r="I63" s="165">
        <x:v>2974970</x:v>
      </x:c>
      <x:c r="J63" s="163">
        <x:v>6</x:v>
      </x:c>
      <x:c r="K63" s="163"/>
    </x:row>
    <x:row r="64" spans="1:10">
      <x:c r="A64" s="10" t="s">
        <x:v>3329</x:v>
      </x:c>
      <x:c r="B64" s="166" t="s">
        <x:v>1890</x:v>
      </x:c>
      <x:c r="C64" s="166" t="s">
        <x:v>449</x:v>
      </x:c>
      <x:c r="D64" s="10" t="s">
        <x:v>544</x:v>
      </x:c>
      <x:c r="E64" s="10" t="s">
        <x:v>1876</x:v>
      </x:c>
      <x:c r="F64" s="166" t="s">
        <x:v>1287</x:v>
      </x:c>
      <x:c r="G64" s="10">
        <x:v>1</x:v>
      </x:c>
      <x:c r="H64" s="167">
        <x:v>8470000</x:v>
      </x:c>
      <x:c r="I64" s="167">
        <x:v>8470000</x:v>
      </x:c>
      <x:c r="J64" s="10">
        <x:v>10</x:v>
      </x:c>
    </x:row>
    <x:row r="65" spans="1:10">
      <x:c r="A65" s="10" t="s">
        <x:v>3269</x:v>
      </x:c>
      <x:c r="B65" s="166" t="s">
        <x:v>1509</x:v>
      </x:c>
      <x:c r="C65" s="166" t="s">
        <x:v>3173</x:v>
      </x:c>
      <x:c r="D65" s="10" t="s">
        <x:v>530</x:v>
      </x:c>
      <x:c r="E65" s="10" t="s">
        <x:v>1880</x:v>
      </x:c>
      <x:c r="F65" s="166" t="s">
        <x:v>1303</x:v>
      </x:c>
      <x:c r="G65" s="10">
        <x:v>1</x:v>
      </x:c>
      <x:c r="H65" s="167">
        <x:v>4752000</x:v>
      </x:c>
      <x:c r="I65" s="167">
        <x:v>4752000</x:v>
      </x:c>
      <x:c r="J65" s="10">
        <x:v>5</x:v>
      </x:c>
    </x:row>
    <x:row r="66" spans="1:10">
      <x:c r="A66" s="10" t="s">
        <x:v>3315</x:v>
      </x:c>
      <x:c r="B66" s="166" t="s">
        <x:v>1912</x:v>
      </x:c>
      <x:c r="C66" s="166" t="s">
        <x:v>3158</x:v>
      </x:c>
      <x:c r="D66" s="10" t="s">
        <x:v>545</x:v>
      </x:c>
      <x:c r="E66" s="10" t="s">
        <x:v>1876</x:v>
      </x:c>
      <x:c r="F66" s="166" t="s">
        <x:v>1303</x:v>
      </x:c>
      <x:c r="G66" s="10">
        <x:v>1</x:v>
      </x:c>
      <x:c r="H66" s="167">
        <x:v>630000</x:v>
      </x:c>
      <x:c r="I66" s="167">
        <x:v>630000</x:v>
      </x:c>
      <x:c r="J66" s="10">
        <x:v>5</x:v>
      </x:c>
    </x:row>
    <x:row r="67" spans="1:11">
      <x:c r="A67" s="163" t="s">
        <x:v>3318</x:v>
      </x:c>
      <x:c r="B67" s="164" t="s">
        <x:v>1899</x:v>
      </x:c>
      <x:c r="C67" s="164" t="s">
        <x:v>3139</x:v>
      </x:c>
      <x:c r="D67" s="163" t="s">
        <x:v>1591</x:v>
      </x:c>
      <x:c r="E67" s="163" t="s">
        <x:v>1876</x:v>
      </x:c>
      <x:c r="F67" s="164" t="s">
        <x:v>1303</x:v>
      </x:c>
      <x:c r="G67" s="163">
        <x:v>1</x:v>
      </x:c>
      <x:c r="H67" s="165">
        <x:v>542910</x:v>
      </x:c>
      <x:c r="I67" s="165">
        <x:v>542910</x:v>
      </x:c>
      <x:c r="J67" s="163">
        <x:v>5</x:v>
      </x:c>
      <x:c r="K67" s="163"/>
    </x:row>
    <x:row r="68" spans="1:11">
      <x:c r="A68" s="163" t="s">
        <x:v>3279</x:v>
      </x:c>
      <x:c r="B68" s="164" t="s">
        <x:v>1890</x:v>
      </x:c>
      <x:c r="C68" s="164" t="s">
        <x:v>3157</x:v>
      </x:c>
      <x:c r="D68" s="163" t="s">
        <x:v>1589</x:v>
      </x:c>
      <x:c r="E68" s="163" t="s">
        <x:v>1880</x:v>
      </x:c>
      <x:c r="F68" s="164" t="s">
        <x:v>1303</x:v>
      </x:c>
      <x:c r="G68" s="163">
        <x:v>1</x:v>
      </x:c>
      <x:c r="H68" s="165">
        <x:v>6746230</x:v>
      </x:c>
      <x:c r="I68" s="165">
        <x:v>6746230</x:v>
      </x:c>
      <x:c r="J68" s="163">
        <x:v>5</x:v>
      </x:c>
      <x:c r="K68" s="163"/>
    </x:row>
    <x:row r="69" spans="1:11">
      <x:c r="A69" s="160" t="s">
        <x:v>3253</x:v>
      </x:c>
      <x:c r="B69" s="161" t="s">
        <x:v>1899</x:v>
      </x:c>
      <x:c r="C69" s="161" t="s">
        <x:v>443</x:v>
      </x:c>
      <x:c r="D69" s="160" t="s">
        <x:v>12</x:v>
      </x:c>
      <x:c r="E69" s="160" t="s">
        <x:v>1880</x:v>
      </x:c>
      <x:c r="F69" s="161" t="s">
        <x:v>1932</x:v>
      </x:c>
      <x:c r="G69" s="160">
        <x:v>1</x:v>
      </x:c>
      <x:c r="H69" s="162">
        <x:v>663200</x:v>
      </x:c>
      <x:c r="I69" s="162">
        <x:v>663200</x:v>
      </x:c>
      <x:c r="J69" s="160">
        <x:v>5</x:v>
      </x:c>
      <x:c r="K69" s="160"/>
    </x:row>
    <x:row r="70" spans="1:11">
      <x:c r="A70" s="163" t="s">
        <x:v>3283</x:v>
      </x:c>
      <x:c r="B70" s="164" t="s">
        <x:v>1899</x:v>
      </x:c>
      <x:c r="C70" s="164" t="s">
        <x:v>106</x:v>
      </x:c>
      <x:c r="D70" s="169" t="s">
        <x:v>2</x:v>
      </x:c>
      <x:c r="E70" s="163" t="s">
        <x:v>1880</x:v>
      </x:c>
      <x:c r="F70" s="164" t="s">
        <x:v>1932</x:v>
      </x:c>
      <x:c r="G70" s="163">
        <x:v>1</x:v>
      </x:c>
      <x:c r="H70" s="165">
        <x:v>1105340</x:v>
      </x:c>
      <x:c r="I70" s="165">
        <x:v>1105340</x:v>
      </x:c>
      <x:c r="J70" s="163">
        <x:v>5</x:v>
      </x:c>
      <x:c r="K70" s="163"/>
    </x:row>
    <x:row r="71" spans="1:11">
      <x:c r="A71" s="163" t="s">
        <x:v>3302</x:v>
      </x:c>
      <x:c r="B71" s="164" t="s">
        <x:v>1899</x:v>
      </x:c>
      <x:c r="C71" s="164" t="s">
        <x:v>3160</x:v>
      </x:c>
      <x:c r="D71" s="163" t="s">
        <x:v>9</x:v>
      </x:c>
      <x:c r="E71" s="163" t="s">
        <x:v>1880</x:v>
      </x:c>
      <x:c r="F71" s="164" t="s">
        <x:v>1932</x:v>
      </x:c>
      <x:c r="G71" s="163">
        <x:v>1</x:v>
      </x:c>
      <x:c r="H71" s="165">
        <x:v>631780</x:v>
      </x:c>
      <x:c r="I71" s="165">
        <x:v>631780</x:v>
      </x:c>
      <x:c r="J71" s="163">
        <x:v>5</x:v>
      </x:c>
      <x:c r="K71" s="163" t="s">
        <x:v>1900</x:v>
      </x:c>
    </x:row>
    <x:row r="72" spans="1:10">
      <x:c r="A72" s="10" t="s">
        <x:v>3224</x:v>
      </x:c>
      <x:c r="B72" s="166" t="s">
        <x:v>1899</x:v>
      </x:c>
      <x:c r="C72" s="166" t="s">
        <x:v>3196</x:v>
      </x:c>
      <x:c r="D72" s="10" t="s">
        <x:v>670</x:v>
      </x:c>
      <x:c r="E72" s="10" t="s">
        <x:v>1876</x:v>
      </x:c>
      <x:c r="F72" s="166" t="s">
        <x:v>1272</x:v>
      </x:c>
      <x:c r="G72" s="10">
        <x:v>1</x:v>
      </x:c>
      <x:c r="H72" s="167">
        <x:v>374000</x:v>
      </x:c>
      <x:c r="I72" s="167">
        <x:v>374000</x:v>
      </x:c>
      <x:c r="J72" s="10">
        <x:v>5</x:v>
      </x:c>
    </x:row>
    <x:row r="73" spans="1:10">
      <x:c r="A73" s="10" t="s">
        <x:v>3328</x:v>
      </x:c>
      <x:c r="B73" s="166" t="s">
        <x:v>1887</x:v>
      </x:c>
      <x:c r="C73" s="166" t="s">
        <x:v>889</x:v>
      </x:c>
      <x:c r="D73" s="10" t="s">
        <x:v>489</x:v>
      </x:c>
      <x:c r="E73" s="10" t="s">
        <x:v>1876</x:v>
      </x:c>
      <x:c r="F73" s="166" t="s">
        <x:v>1902</x:v>
      </x:c>
      <x:c r="G73" s="10">
        <x:v>1</x:v>
      </x:c>
      <x:c r="H73" s="167">
        <x:v>197430</x:v>
      </x:c>
      <x:c r="I73" s="167">
        <x:v>197430</x:v>
      </x:c>
      <x:c r="J73" s="10">
        <x:v>5</x:v>
      </x:c>
    </x:row>
    <x:row r="74" spans="1:10">
      <x:c r="A74" s="10" t="s">
        <x:v>3224</x:v>
      </x:c>
      <x:c r="B74" s="166" t="s">
        <x:v>1899</x:v>
      </x:c>
      <x:c r="C74" s="166" t="s">
        <x:v>3196</x:v>
      </x:c>
      <x:c r="D74" s="10" t="s">
        <x:v>533</x:v>
      </x:c>
      <x:c r="E74" s="10" t="s">
        <x:v>1880</x:v>
      </x:c>
      <x:c r="F74" s="166" t="s">
        <x:v>514</x:v>
      </x:c>
      <x:c r="G74" s="10">
        <x:v>2</x:v>
      </x:c>
      <x:c r="H74" s="167">
        <x:v>567050</x:v>
      </x:c>
      <x:c r="I74" s="167">
        <x:v>1134100</x:v>
      </x:c>
      <x:c r="J74" s="10">
        <x:v>5</x:v>
      </x:c>
    </x:row>
    <x:row r="75" spans="1:10">
      <x:c r="A75" s="10" t="s">
        <x:v>3209</x:v>
      </x:c>
      <x:c r="B75" s="166" t="s">
        <x:v>1899</x:v>
      </x:c>
      <x:c r="C75" s="166" t="s">
        <x:v>3133</x:v>
      </x:c>
      <x:c r="D75" s="10" t="s">
        <x:v>827</x:v>
      </x:c>
      <x:c r="E75" s="10" t="s">
        <x:v>1880</x:v>
      </x:c>
      <x:c r="F75" s="166" t="s">
        <x:v>1877</x:v>
      </x:c>
      <x:c r="G75" s="10">
        <x:v>1</x:v>
      </x:c>
      <x:c r="H75" s="167">
        <x:v>880000</x:v>
      </x:c>
      <x:c r="I75" s="167">
        <x:v>880000</x:v>
      </x:c>
      <x:c r="J75" s="10">
        <x:v>5</x:v>
      </x:c>
    </x:row>
    <x:row r="76" spans="1:10">
      <x:c r="A76" s="10" t="s">
        <x:v>3246</x:v>
      </x:c>
      <x:c r="B76" s="166" t="s">
        <x:v>1914</x:v>
      </x:c>
      <x:c r="C76" s="166" t="s">
        <x:v>3159</x:v>
      </x:c>
      <x:c r="D76" s="10" t="s">
        <x:v>526</x:v>
      </x:c>
      <x:c r="E76" s="10" t="s">
        <x:v>1880</x:v>
      </x:c>
      <x:c r="F76" s="166" t="s">
        <x:v>1877</x:v>
      </x:c>
      <x:c r="G76" s="10">
        <x:v>1</x:v>
      </x:c>
      <x:c r="H76" s="167">
        <x:v>2475000</x:v>
      </x:c>
      <x:c r="I76" s="167">
        <x:v>2475000</x:v>
      </x:c>
      <x:c r="J76" s="10">
        <x:v>5</x:v>
      </x:c>
    </x:row>
    <x:row r="77" spans="1:10">
      <x:c r="A77" s="10" t="s">
        <x:v>3212</x:v>
      </x:c>
      <x:c r="B77" s="166" t="s">
        <x:v>1899</x:v>
      </x:c>
      <x:c r="C77" s="166" t="s">
        <x:v>892</x:v>
      </x:c>
      <x:c r="D77" s="10" t="s">
        <x:v>529</x:v>
      </x:c>
      <x:c r="E77" s="10" t="s">
        <x:v>1880</x:v>
      </x:c>
      <x:c r="F77" s="166" t="s">
        <x:v>1877</x:v>
      </x:c>
      <x:c r="G77" s="10">
        <x:v>1</x:v>
      </x:c>
      <x:c r="H77" s="167">
        <x:v>817300</x:v>
      </x:c>
      <x:c r="I77" s="167">
        <x:v>817300</x:v>
      </x:c>
      <x:c r="J77" s="10">
        <x:v>5</x:v>
      </x:c>
    </x:row>
    <x:row r="78" spans="1:11">
      <x:c r="A78" s="163" t="s">
        <x:v>3331</x:v>
      </x:c>
      <x:c r="B78" s="164" t="s">
        <x:v>1509</x:v>
      </x:c>
      <x:c r="C78" s="164" t="s">
        <x:v>454</x:v>
      </x:c>
      <x:c r="D78" s="163" t="s">
        <x:v>674</x:v>
      </x:c>
      <x:c r="E78" s="163" t="s">
        <x:v>1880</x:v>
      </x:c>
      <x:c r="F78" s="164" t="s">
        <x:v>1877</x:v>
      </x:c>
      <x:c r="G78" s="163">
        <x:v>1</x:v>
      </x:c>
      <x:c r="H78" s="165">
        <x:v>2999440</x:v>
      </x:c>
      <x:c r="I78" s="165">
        <x:v>2999440</x:v>
      </x:c>
      <x:c r="J78" s="163">
        <x:v>4</x:v>
      </x:c>
      <x:c r="K78" s="163"/>
    </x:row>
    <x:row r="79" spans="1:11">
      <x:c r="A79" s="163" t="s">
        <x:v>3284</x:v>
      </x:c>
      <x:c r="B79" s="164" t="s">
        <x:v>1899</x:v>
      </x:c>
      <x:c r="C79" s="164" t="s">
        <x:v>1611</x:v>
      </x:c>
      <x:c r="D79" s="163" t="s">
        <x:v>1599</x:v>
      </x:c>
      <x:c r="E79" s="163" t="s">
        <x:v>1880</x:v>
      </x:c>
      <x:c r="F79" s="164" t="s">
        <x:v>1877</x:v>
      </x:c>
      <x:c r="G79" s="163">
        <x:v>1</x:v>
      </x:c>
      <x:c r="H79" s="165">
        <x:v>2919680</x:v>
      </x:c>
      <x:c r="I79" s="165">
        <x:v>2919680</x:v>
      </x:c>
      <x:c r="J79" s="163">
        <x:v>5</x:v>
      </x:c>
      <x:c r="K79" s="163"/>
    </x:row>
    <x:row r="80" spans="1:10">
      <x:c r="A80" s="10" t="s">
        <x:v>3255</x:v>
      </x:c>
      <x:c r="B80" s="166" t="s">
        <x:v>1899</x:v>
      </x:c>
      <x:c r="C80" s="166" t="s">
        <x:v>3166</x:v>
      </x:c>
      <x:c r="D80" s="10" t="s">
        <x:v>494</x:v>
      </x:c>
      <x:c r="E80" s="10" t="s">
        <x:v>1876</x:v>
      </x:c>
      <x:c r="F80" s="166" t="s">
        <x:v>1894</x:v>
      </x:c>
      <x:c r="G80" s="10">
        <x:v>1</x:v>
      </x:c>
      <x:c r="H80" s="167">
        <x:v>380000</x:v>
      </x:c>
      <x:c r="I80" s="167">
        <x:v>380000</x:v>
      </x:c>
      <x:c r="J80" s="10">
        <x:v>5</x:v>
      </x:c>
    </x:row>
    <x:row r="81" spans="1:10">
      <x:c r="A81" s="10" t="s">
        <x:v>3252</x:v>
      </x:c>
      <x:c r="B81" s="166" t="s">
        <x:v>1912</x:v>
      </x:c>
      <x:c r="C81" s="166" t="s">
        <x:v>3161</x:v>
      </x:c>
      <x:c r="D81" s="10" t="s">
        <x:v>0</x:v>
      </x:c>
      <x:c r="E81" s="10" t="s">
        <x:v>1880</x:v>
      </x:c>
      <x:c r="F81" s="166" t="s">
        <x:v>1894</x:v>
      </x:c>
      <x:c r="G81" s="10">
        <x:v>1</x:v>
      </x:c>
      <x:c r="H81" s="167">
        <x:v>381700</x:v>
      </x:c>
      <x:c r="I81" s="167">
        <x:v>381700</x:v>
      </x:c>
      <x:c r="J81" s="10">
        <x:v>5</x:v>
      </x:c>
    </x:row>
    <x:row r="82" spans="1:11">
      <x:c r="A82" s="163" t="s">
        <x:v>3246</x:v>
      </x:c>
      <x:c r="B82" s="164" t="s">
        <x:v>1914</x:v>
      </x:c>
      <x:c r="C82" s="164" t="s">
        <x:v>3159</x:v>
      </x:c>
      <x:c r="D82" s="163" t="s">
        <x:v>0</x:v>
      </x:c>
      <x:c r="E82" s="163" t="s">
        <x:v>1880</x:v>
      </x:c>
      <x:c r="F82" s="164" t="s">
        <x:v>1894</x:v>
      </x:c>
      <x:c r="G82" s="163">
        <x:v>1</x:v>
      </x:c>
      <x:c r="H82" s="165">
        <x:v>2475000</x:v>
      </x:c>
      <x:c r="I82" s="165">
        <x:v>2475000</x:v>
      </x:c>
      <x:c r="J82" s="163">
        <x:v>5</x:v>
      </x:c>
      <x:c r="K82" s="163"/>
    </x:row>
    <x:row r="83" spans="1:11">
      <x:c r="A83" s="163" t="s">
        <x:v>3238</x:v>
      </x:c>
      <x:c r="B83" s="164" t="s">
        <x:v>1509</x:v>
      </x:c>
      <x:c r="C83" s="164" t="s">
        <x:v>3141</x:v>
      </x:c>
      <x:c r="D83" s="163" t="s">
        <x:v>1604</x:v>
      </x:c>
      <x:c r="E83" s="163" t="s">
        <x:v>1880</x:v>
      </x:c>
      <x:c r="F83" s="164" t="s">
        <x:v>1894</x:v>
      </x:c>
      <x:c r="G83" s="163">
        <x:v>1</x:v>
      </x:c>
      <x:c r="H83" s="165">
        <x:v>2896000</x:v>
      </x:c>
      <x:c r="I83" s="165">
        <x:v>2896000</x:v>
      </x:c>
      <x:c r="J83" s="163">
        <x:v>5</x:v>
      </x:c>
      <x:c r="K83" s="163"/>
    </x:row>
    <x:row r="84" spans="1:10">
      <x:c r="A84" s="10" t="s">
        <x:v>3179</x:v>
      </x:c>
      <x:c r="B84" s="166" t="s">
        <x:v>1914</x:v>
      </x:c>
      <x:c r="C84" s="166" t="s">
        <x:v>450</x:v>
      </x:c>
      <x:c r="D84" s="10" t="s">
        <x:v>826</x:v>
      </x:c>
      <x:c r="E84" s="10" t="s">
        <x:v>1892</x:v>
      </x:c>
      <x:c r="F84" s="166" t="s">
        <x:v>1894</x:v>
      </x:c>
      <x:c r="G84" s="10">
        <x:v>1</x:v>
      </x:c>
      <x:c r="H84" s="167">
        <x:v>825690</x:v>
      </x:c>
      <x:c r="I84" s="167">
        <x:v>825690</x:v>
      </x:c>
      <x:c r="J84" s="10">
        <x:v>5</x:v>
      </x:c>
    </x:row>
    <x:row r="85" spans="1:10">
      <x:c r="A85" s="10" t="s">
        <x:v>3224</x:v>
      </x:c>
      <x:c r="B85" s="166" t="s">
        <x:v>1899</x:v>
      </x:c>
      <x:c r="C85" s="166" t="s">
        <x:v>3196</x:v>
      </x:c>
      <x:c r="D85" s="10" t="s">
        <x:v>477</x:v>
      </x:c>
      <x:c r="E85" s="10" t="s">
        <x:v>1880</x:v>
      </x:c>
      <x:c r="F85" s="166" t="s">
        <x:v>1348</x:v>
      </x:c>
      <x:c r="G85" s="10">
        <x:v>1</x:v>
      </x:c>
      <x:c r="H85" s="167">
        <x:v>1464730</x:v>
      </x:c>
      <x:c r="I85" s="167">
        <x:v>1464730</x:v>
      </x:c>
      <x:c r="J85" s="10">
        <x:v>5</x:v>
      </x:c>
    </x:row>
    <x:row r="86" spans="1:10">
      <x:c r="A86" s="10" t="s">
        <x:v>3292</x:v>
      </x:c>
      <x:c r="B86" s="166" t="s">
        <x:v>1899</x:v>
      </x:c>
      <x:c r="C86" s="166" t="s">
        <x:v>3096</x:v>
      </x:c>
      <x:c r="D86" s="10" t="s">
        <x:v>831</x:v>
      </x:c>
      <x:c r="E86" s="10" t="s">
        <x:v>1876</x:v>
      </x:c>
      <x:c r="F86" s="166" t="s">
        <x:v>1348</x:v>
      </x:c>
      <x:c r="G86" s="10">
        <x:v>1</x:v>
      </x:c>
      <x:c r="H86" s="167">
        <x:v>187000</x:v>
      </x:c>
      <x:c r="I86" s="167">
        <x:v>187000</x:v>
      </x:c>
      <x:c r="J86" s="10">
        <x:v>5</x:v>
      </x:c>
    </x:row>
    <x:row r="87" spans="1:10">
      <x:c r="A87" s="10" t="s">
        <x:v>3209</x:v>
      </x:c>
      <x:c r="B87" s="166" t="s">
        <x:v>1899</x:v>
      </x:c>
      <x:c r="C87" s="166" t="s">
        <x:v>3133</x:v>
      </x:c>
      <x:c r="D87" s="10" t="s">
        <x:v>821</x:v>
      </x:c>
      <x:c r="E87" s="10" t="s">
        <x:v>1880</x:v>
      </x:c>
      <x:c r="F87" s="166" t="s">
        <x:v>1348</x:v>
      </x:c>
      <x:c r="G87" s="10">
        <x:v>1</x:v>
      </x:c>
      <x:c r="H87" s="167">
        <x:v>915200</x:v>
      </x:c>
      <x:c r="I87" s="167">
        <x:v>915200</x:v>
      </x:c>
      <x:c r="J87" s="10">
        <x:v>5</x:v>
      </x:c>
    </x:row>
    <x:row r="88" spans="1:10">
      <x:c r="A88" s="10" t="s">
        <x:v>3184</x:v>
      </x:c>
      <x:c r="B88" s="166" t="s">
        <x:v>1912</x:v>
      </x:c>
      <x:c r="C88" s="166" t="s">
        <x:v>890</x:v>
      </x:c>
      <x:c r="D88" s="10" t="s">
        <x:v>825</x:v>
      </x:c>
      <x:c r="E88" s="10" t="s">
        <x:v>1876</x:v>
      </x:c>
      <x:c r="F88" s="166" t="s">
        <x:v>1348</x:v>
      </x:c>
      <x:c r="G88" s="10">
        <x:v>1</x:v>
      </x:c>
      <x:c r="H88" s="167">
        <x:v>176000</x:v>
      </x:c>
      <x:c r="I88" s="167">
        <x:v>176000</x:v>
      </x:c>
      <x:c r="J88" s="10">
        <x:v>5</x:v>
      </x:c>
    </x:row>
    <x:row r="89" spans="1:10">
      <x:c r="A89" s="10" t="s">
        <x:v>3253</x:v>
      </x:c>
      <x:c r="B89" s="166" t="s">
        <x:v>1899</x:v>
      </x:c>
      <x:c r="C89" s="166" t="s">
        <x:v>443</x:v>
      </x:c>
      <x:c r="D89" s="10" t="s">
        <x:v>529</x:v>
      </x:c>
      <x:c r="E89" s="10" t="s">
        <x:v>1880</x:v>
      </x:c>
      <x:c r="F89" s="166" t="s">
        <x:v>1348</x:v>
      </x:c>
      <x:c r="G89" s="10">
        <x:v>1</x:v>
      </x:c>
      <x:c r="H89" s="167">
        <x:v>660000</x:v>
      </x:c>
      <x:c r="I89" s="167">
        <x:v>660000</x:v>
      </x:c>
      <x:c r="J89" s="10">
        <x:v>5</x:v>
      </x:c>
    </x:row>
    <x:row r="90" spans="1:11">
      <x:c r="A90" s="163" t="s">
        <x:v>3307</x:v>
      </x:c>
      <x:c r="B90" s="164" t="s">
        <x:v>1899</x:v>
      </x:c>
      <x:c r="C90" s="164" t="s">
        <x:v>442</x:v>
      </x:c>
      <x:c r="D90" s="163" t="s">
        <x:v>828</x:v>
      </x:c>
      <x:c r="E90" s="163" t="s">
        <x:v>1880</x:v>
      </x:c>
      <x:c r="F90" s="164" t="s">
        <x:v>1348</x:v>
      </x:c>
      <x:c r="G90" s="163">
        <x:v>1</x:v>
      </x:c>
      <x:c r="H90" s="165">
        <x:v>774150</x:v>
      </x:c>
      <x:c r="I90" s="165">
        <x:v>774150</x:v>
      </x:c>
      <x:c r="J90" s="163">
        <x:v>5</x:v>
      </x:c>
      <x:c r="K90" s="163"/>
    </x:row>
    <x:row r="91" spans="1:11">
      <x:c r="A91" s="163" t="s">
        <x:v>3302</x:v>
      </x:c>
      <x:c r="B91" s="164" t="s">
        <x:v>1899</x:v>
      </x:c>
      <x:c r="C91" s="164" t="s">
        <x:v>3160</x:v>
      </x:c>
      <x:c r="D91" s="163" t="s">
        <x:v>1588</x:v>
      </x:c>
      <x:c r="E91" s="163" t="s">
        <x:v>1880</x:v>
      </x:c>
      <x:c r="F91" s="164" t="s">
        <x:v>1348</x:v>
      </x:c>
      <x:c r="G91" s="163">
        <x:v>1</x:v>
      </x:c>
      <x:c r="H91" s="165">
        <x:v>586140</x:v>
      </x:c>
      <x:c r="I91" s="165">
        <x:v>586140</x:v>
      </x:c>
      <x:c r="J91" s="163">
        <x:v>5</x:v>
      </x:c>
      <x:c r="K91" s="163"/>
    </x:row>
    <x:row r="92" spans="1:11">
      <x:c r="A92" s="163" t="s">
        <x:v>3323</x:v>
      </x:c>
      <x:c r="B92" s="164" t="s">
        <x:v>1509</x:v>
      </x:c>
      <x:c r="C92" s="164" t="s">
        <x:v>455</x:v>
      </x:c>
      <x:c r="D92" s="163" t="s">
        <x:v>1597</x:v>
      </x:c>
      <x:c r="E92" s="163" t="s">
        <x:v>1880</x:v>
      </x:c>
      <x:c r="F92" s="164" t="s">
        <x:v>1348</x:v>
      </x:c>
      <x:c r="G92" s="163">
        <x:v>1</x:v>
      </x:c>
      <x:c r="H92" s="165">
        <x:v>2986780</x:v>
      </x:c>
      <x:c r="I92" s="165">
        <x:v>2986780</x:v>
      </x:c>
      <x:c r="J92" s="163">
        <x:v>5</x:v>
      </x:c>
      <x:c r="K92" s="163"/>
    </x:row>
    <x:row r="93" spans="1:10">
      <x:c r="A93" s="10" t="s">
        <x:v>3253</x:v>
      </x:c>
      <x:c r="B93" s="166" t="s">
        <x:v>1899</x:v>
      </x:c>
      <x:c r="C93" s="166" t="s">
        <x:v>443</x:v>
      </x:c>
      <x:c r="D93" s="10" t="s">
        <x:v>460</x:v>
      </x:c>
      <x:c r="E93" s="10" t="s">
        <x:v>1880</x:v>
      </x:c>
      <x:c r="F93" s="166" t="s">
        <x:v>1348</x:v>
      </x:c>
      <x:c r="G93" s="10">
        <x:v>1</x:v>
      </x:c>
      <x:c r="H93" s="167">
        <x:v>585830</x:v>
      </x:c>
      <x:c r="I93" s="167">
        <x:v>585830</x:v>
      </x:c>
      <x:c r="J93" s="10">
        <x:v>5</x:v>
      </x:c>
    </x:row>
    <x:row r="94" spans="1:11">
      <x:c r="A94" s="163" t="s">
        <x:v>3276</x:v>
      </x:c>
      <x:c r="B94" s="164" t="s">
        <x:v>1899</x:v>
      </x:c>
      <x:c r="C94" s="164" t="s">
        <x:v>885</x:v>
      </x:c>
      <x:c r="D94" s="163" t="s">
        <x:v>1596</x:v>
      </x:c>
      <x:c r="E94" s="163" t="s">
        <x:v>1880</x:v>
      </x:c>
      <x:c r="F94" s="164" t="s">
        <x:v>1348</x:v>
      </x:c>
      <x:c r="G94" s="163">
        <x:v>1</x:v>
      </x:c>
      <x:c r="H94" s="165">
        <x:v>1404540</x:v>
      </x:c>
      <x:c r="I94" s="165">
        <x:v>1404540</x:v>
      </x:c>
      <x:c r="J94" s="163">
        <x:v>6</x:v>
      </x:c>
      <x:c r="K94" s="163"/>
    </x:row>
    <x:row r="101" spans="1:1">
      <x:c r="A101" s="70" t="s">
        <x:v>2249</x:v>
      </x:c>
    </x:row>
    <x:row r="102" spans="1:1">
      <x:c r="A102" s="70" t="s">
        <x:v>2279</x:v>
      </x:c>
    </x:row>
    <x:row r="103" spans="1:1">
      <x:c r="A103" s="70" t="s">
        <x:v>2255</x:v>
      </x:c>
    </x:row>
    <x:row r="104" spans="1:1">
      <x:c r="A104" s="70" t="s">
        <x:v>2267</x:v>
      </x:c>
    </x:row>
    <x:row r="105" spans="1:1">
      <x:c r="A105" s="70" t="s">
        <x:v>2227</x:v>
      </x:c>
    </x:row>
    <x:row r="106" spans="1:1">
      <x:c r="A106" s="70" t="s">
        <x:v>2206</x:v>
      </x:c>
    </x:row>
    <x:row r="107" spans="1:1">
      <x:c r="A107" s="70" t="s">
        <x:v>2246</x:v>
      </x:c>
    </x:row>
    <x:row r="108" spans="1:1">
      <x:c r="A108" s="70" t="s">
        <x:v>2252</x:v>
      </x:c>
    </x:row>
  </x:sheetData>
  <x:sortState columnSort="0" caseSensitive="0" ref="A2:K94">
    <x:sortCondition descending="0" sortBy="value" ref="F2:F94"/>
    <x:sortCondition descending="0" sortBy="value" ref="D2:D94"/>
  </x:sortState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2" baseType="lpstr">
      <vt:lpstr>PC</vt:lpstr>
      <vt:lpstr>메일머지용</vt:lpstr>
      <vt:lpstr>교직원용 IP</vt:lpstr>
      <vt:lpstr>학생용 IP</vt:lpstr>
      <vt:lpstr>정보화기기 명부</vt:lpstr>
      <vt:lpstr>인창고 관련 사이트</vt:lpstr>
      <vt:lpstr>프린터 IP</vt:lpstr>
      <vt:lpstr>AP현황</vt:lpstr>
      <vt:lpstr>전자칠판</vt:lpstr>
      <vt:lpstr>교실충전함</vt:lpstr>
      <vt:lpstr>Sheet2</vt:lpstr>
      <vt:lpstr>Sheet1</vt:lpstr>
    </vt:vector>
  </ep:TitlesOfParts>
  <ep:TotalTime>408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진국현</dc:creator>
  <cp:lastModifiedBy>user</cp:lastModifiedBy>
  <cp:revision>100</cp:revision>
  <cp:lastPrinted>2025-09-26T03:22:33.000</cp:lastPrinted>
  <dcterms:created xsi:type="dcterms:W3CDTF">2018-02-06T01:38:01.000</dcterms:created>
  <dcterms:modified xsi:type="dcterms:W3CDTF">2026-04-21T02:55:38.597</dcterms:modified>
  <cp:version>1300.0100.01</cp:version>
</cp:coreProperties>
</file>