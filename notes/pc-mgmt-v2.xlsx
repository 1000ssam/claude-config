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J:\내 드라이브\PC 백업\TASKS\정보부 인수인계\0.중요대장\"/>
    </mc:Choice>
  </mc:AlternateContent>
  <xr:revisionPtr revIDLastSave="0" documentId="13_ncr:1_{6B7BFAD3-7866-4DF4-A492-21BEE103245D}" xr6:coauthVersionLast="47" xr6:coauthVersionMax="47" xr10:uidLastSave="{00000000-0000-0000-0000-000000000000}"/>
  <bookViews>
    <workbookView xWindow="-110" yWindow="-110" windowWidth="25820" windowHeight="15500" tabRatio="847" activeTab="1" xr2:uid="{00000000-000D-0000-FFFF-FFFF00000000}"/>
  </bookViews>
  <sheets>
    <sheet name="PC" sheetId="1" r:id="rId1"/>
    <sheet name="메일머지용" sheetId="2" r:id="rId2"/>
    <sheet name="교직원용 IP" sheetId="3" r:id="rId3"/>
    <sheet name="학생용 IP" sheetId="4" r:id="rId4"/>
    <sheet name="정보화기기 명부" sheetId="5" r:id="rId5"/>
    <sheet name="인창고 관련 사이트" sheetId="6" r:id="rId6"/>
    <sheet name="프린터 IP" sheetId="7" r:id="rId7"/>
    <sheet name="AP현황" sheetId="8" r:id="rId8"/>
    <sheet name="전자칠판" sheetId="9" r:id="rId9"/>
    <sheet name="교실충전함" sheetId="10" r:id="rId10"/>
    <sheet name="Sheet2" sheetId="11" r:id="rId11"/>
    <sheet name="Sheet1" sheetId="12" r:id="rId12"/>
  </sheets>
  <definedNames>
    <definedName name="_xlnm._FilterDatabase" localSheetId="0" hidden="1">PC!$A$1:$Z$961</definedName>
    <definedName name="_xlnm._FilterDatabase" localSheetId="2" hidden="1">'교직원용 IP'!$A$1:$N$238</definedName>
    <definedName name="_xlnm._FilterDatabase" localSheetId="4" hidden="1">'정보화기기 명부'!$A$1:$B$133</definedName>
    <definedName name="_xlnm._FilterDatabase" localSheetId="6" hidden="1">'프린터 IP'!$A$2:$I$62</definedName>
    <definedName name="_xlnm.Print_Area" localSheetId="2">'교직원용 IP'!$A$1:$G$174</definedName>
    <definedName name="_xlnm.Print_Area" localSheetId="6">'프린터 IP'!$A$2:$E$55</definedName>
    <definedName name="_xlnm.Print_Area" localSheetId="3">'학생용 IP'!$A$206:$I$218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I2" i="1"/>
  <c r="B2" i="1"/>
  <c r="B3" i="1"/>
  <c r="BH82" i="11"/>
  <c r="BB82" i="11"/>
  <c r="AV82" i="11"/>
  <c r="AP82" i="11"/>
  <c r="AJ82" i="11"/>
  <c r="AD82" i="11"/>
  <c r="X82" i="11"/>
  <c r="R82" i="11"/>
  <c r="L82" i="11"/>
  <c r="F82" i="11"/>
  <c r="AJ66" i="11"/>
  <c r="AD66" i="11"/>
  <c r="X66" i="11"/>
  <c r="R66" i="11"/>
  <c r="F66" i="11"/>
  <c r="X51" i="11"/>
  <c r="R51" i="11"/>
  <c r="L51" i="11"/>
  <c r="F51" i="11"/>
  <c r="L18" i="1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R7" i="1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F7" i="11"/>
  <c r="L6" i="1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G201" i="4"/>
  <c r="I226" i="1" s="1"/>
  <c r="G200" i="4"/>
  <c r="G199" i="4"/>
  <c r="G198" i="4"/>
  <c r="G197" i="4"/>
  <c r="G196" i="4"/>
  <c r="I231" i="1" s="1"/>
  <c r="G195" i="4"/>
  <c r="G194" i="4"/>
  <c r="G193" i="4"/>
  <c r="G192" i="4"/>
  <c r="G191" i="4"/>
  <c r="I236" i="1" s="1"/>
  <c r="G190" i="4"/>
  <c r="I237" i="1" s="1"/>
  <c r="G189" i="4"/>
  <c r="I238" i="1" s="1"/>
  <c r="G188" i="4"/>
  <c r="G187" i="4"/>
  <c r="G186" i="4"/>
  <c r="G185" i="4"/>
  <c r="G184" i="4"/>
  <c r="G183" i="4"/>
  <c r="G182" i="4"/>
  <c r="I245" i="1" s="1"/>
  <c r="G181" i="4"/>
  <c r="I246" i="1" s="1"/>
  <c r="G180" i="4"/>
  <c r="G179" i="4"/>
  <c r="G178" i="4"/>
  <c r="G177" i="4"/>
  <c r="G176" i="4"/>
  <c r="I251" i="1" s="1"/>
  <c r="G175" i="4"/>
  <c r="G174" i="4"/>
  <c r="G173" i="4"/>
  <c r="G172" i="4"/>
  <c r="G171" i="4"/>
  <c r="I256" i="1" s="1"/>
  <c r="G170" i="4"/>
  <c r="I257" i="1" s="1"/>
  <c r="G169" i="4"/>
  <c r="I258" i="1" s="1"/>
  <c r="G168" i="4"/>
  <c r="G167" i="4"/>
  <c r="G166" i="4"/>
  <c r="G165" i="4"/>
  <c r="I225" i="1" s="1"/>
  <c r="G164" i="4"/>
  <c r="G163" i="4"/>
  <c r="G162" i="4"/>
  <c r="G161" i="4"/>
  <c r="G160" i="4"/>
  <c r="G159" i="4"/>
  <c r="G158" i="4"/>
  <c r="G157" i="4"/>
  <c r="G156" i="4"/>
  <c r="G155" i="4"/>
  <c r="G154" i="4"/>
  <c r="G153" i="4"/>
  <c r="I121" i="1" s="1"/>
  <c r="G152" i="4"/>
  <c r="G151" i="4"/>
  <c r="G150" i="4"/>
  <c r="I124" i="1" s="1"/>
  <c r="G149" i="4"/>
  <c r="G148" i="4"/>
  <c r="G147" i="4"/>
  <c r="G146" i="4"/>
  <c r="I128" i="1" s="1"/>
  <c r="G145" i="4"/>
  <c r="G144" i="4"/>
  <c r="G143" i="4"/>
  <c r="G142" i="4"/>
  <c r="I132" i="1" s="1"/>
  <c r="G141" i="4"/>
  <c r="I133" i="1" s="1"/>
  <c r="G140" i="4"/>
  <c r="G139" i="4"/>
  <c r="I135" i="1" s="1"/>
  <c r="G138" i="4"/>
  <c r="G137" i="4"/>
  <c r="G136" i="4"/>
  <c r="G135" i="4"/>
  <c r="I139" i="1" s="1"/>
  <c r="G134" i="4"/>
  <c r="I140" i="1" s="1"/>
  <c r="G133" i="4"/>
  <c r="I141" i="1" s="1"/>
  <c r="G132" i="4"/>
  <c r="G131" i="4"/>
  <c r="G130" i="4"/>
  <c r="G129" i="4"/>
  <c r="G128" i="4"/>
  <c r="G127" i="4"/>
  <c r="G126" i="4"/>
  <c r="I148" i="1" s="1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I223" i="1" s="1"/>
  <c r="G84" i="4"/>
  <c r="I113" i="1" s="1"/>
  <c r="G83" i="4"/>
  <c r="G82" i="4"/>
  <c r="G81" i="4"/>
  <c r="G80" i="4"/>
  <c r="G79" i="4"/>
  <c r="G78" i="4"/>
  <c r="G77" i="4"/>
  <c r="G76" i="4"/>
  <c r="G75" i="4"/>
  <c r="I174" i="1" s="1"/>
  <c r="G74" i="4"/>
  <c r="I175" i="1" s="1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I70" i="1" s="1"/>
  <c r="G20" i="4"/>
  <c r="I71" i="1" s="1"/>
  <c r="G19" i="4"/>
  <c r="G18" i="4"/>
  <c r="G17" i="4"/>
  <c r="G16" i="4"/>
  <c r="G15" i="4"/>
  <c r="G14" i="4"/>
  <c r="G13" i="4"/>
  <c r="I85" i="1" s="1"/>
  <c r="G12" i="4"/>
  <c r="I84" i="1" s="1"/>
  <c r="G11" i="4"/>
  <c r="I169" i="1" s="1"/>
  <c r="G10" i="4"/>
  <c r="G9" i="4"/>
  <c r="G8" i="4"/>
  <c r="G7" i="4"/>
  <c r="G6" i="4"/>
  <c r="G5" i="4"/>
  <c r="G4" i="4"/>
  <c r="G3" i="4"/>
  <c r="G2" i="4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I288" i="1" s="1"/>
  <c r="D189" i="3"/>
  <c r="H188" i="3"/>
  <c r="D188" i="3"/>
  <c r="H187" i="3"/>
  <c r="I199" i="1" s="1"/>
  <c r="D187" i="3"/>
  <c r="H186" i="3"/>
  <c r="D186" i="3"/>
  <c r="H185" i="3"/>
  <c r="I216" i="1" s="1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H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H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H115" i="3"/>
  <c r="D115" i="3"/>
  <c r="H114" i="3"/>
  <c r="D114" i="3"/>
  <c r="H113" i="3"/>
  <c r="D113" i="3"/>
  <c r="H112" i="3"/>
  <c r="I116" i="1" s="1"/>
  <c r="D112" i="3"/>
  <c r="H111" i="3"/>
  <c r="D111" i="3"/>
  <c r="H110" i="3"/>
  <c r="D110" i="3"/>
  <c r="H109" i="3"/>
  <c r="D109" i="3"/>
  <c r="H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I221" i="1" s="1"/>
  <c r="D91" i="3"/>
  <c r="H90" i="3"/>
  <c r="D90" i="3"/>
  <c r="H89" i="3"/>
  <c r="D89" i="3"/>
  <c r="H88" i="3"/>
  <c r="H87" i="3"/>
  <c r="G87" i="3"/>
  <c r="E87" i="3"/>
  <c r="D87" i="3"/>
  <c r="H86" i="3"/>
  <c r="I303" i="1" s="1"/>
  <c r="D86" i="3"/>
  <c r="H85" i="3"/>
  <c r="H84" i="3"/>
  <c r="D84" i="3"/>
  <c r="H83" i="3"/>
  <c r="D83" i="3"/>
  <c r="H82" i="3"/>
  <c r="D82" i="3"/>
  <c r="H81" i="3"/>
  <c r="I211" i="1" s="1"/>
  <c r="D81" i="3"/>
  <c r="H80" i="3"/>
  <c r="I18" i="1" s="1"/>
  <c r="D80" i="3"/>
  <c r="H79" i="3"/>
  <c r="I220" i="1" s="1"/>
  <c r="D79" i="3"/>
  <c r="H78" i="3"/>
  <c r="D78" i="3"/>
  <c r="H77" i="3"/>
  <c r="D77" i="3"/>
  <c r="H76" i="3"/>
  <c r="D76" i="3"/>
  <c r="H75" i="3"/>
  <c r="D75" i="3"/>
  <c r="H74" i="3"/>
  <c r="D74" i="3"/>
  <c r="H73" i="3"/>
  <c r="I46" i="1" s="1"/>
  <c r="D73" i="3"/>
  <c r="H72" i="3"/>
  <c r="D72" i="3"/>
  <c r="H71" i="3"/>
  <c r="D71" i="3"/>
  <c r="H70" i="3"/>
  <c r="D70" i="3"/>
  <c r="H69" i="3"/>
  <c r="H68" i="3"/>
  <c r="D68" i="3"/>
  <c r="H67" i="3"/>
  <c r="D67" i="3"/>
  <c r="H66" i="3"/>
  <c r="D66" i="3"/>
  <c r="H65" i="3"/>
  <c r="D65" i="3"/>
  <c r="H64" i="3"/>
  <c r="I56" i="1" s="1"/>
  <c r="D64" i="3"/>
  <c r="H63" i="3"/>
  <c r="I55" i="1" s="1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I8" i="1" s="1"/>
  <c r="D56" i="3"/>
  <c r="H55" i="3"/>
  <c r="D55" i="3"/>
  <c r="H54" i="3"/>
  <c r="D54" i="3"/>
  <c r="H53" i="3"/>
  <c r="D53" i="3"/>
  <c r="H52" i="3"/>
  <c r="I47" i="1" s="1"/>
  <c r="D52" i="3"/>
  <c r="H51" i="3"/>
  <c r="I27" i="1" s="1"/>
  <c r="D51" i="3"/>
  <c r="H50" i="3"/>
  <c r="D50" i="3"/>
  <c r="H49" i="3"/>
  <c r="D49" i="3"/>
  <c r="H48" i="3"/>
  <c r="D48" i="3"/>
  <c r="H47" i="3"/>
  <c r="I9" i="1" s="1"/>
  <c r="D47" i="3"/>
  <c r="H46" i="3"/>
  <c r="I11" i="1" s="1"/>
  <c r="D46" i="3"/>
  <c r="H45" i="3"/>
  <c r="D45" i="3"/>
  <c r="H44" i="3"/>
  <c r="D44" i="3"/>
  <c r="H43" i="3"/>
  <c r="D43" i="3"/>
  <c r="H42" i="3"/>
  <c r="I222" i="1" s="1"/>
  <c r="D42" i="3"/>
  <c r="H41" i="3"/>
  <c r="I179" i="1" s="1"/>
  <c r="D41" i="3"/>
  <c r="H40" i="3"/>
  <c r="D40" i="3"/>
  <c r="H39" i="3"/>
  <c r="D39" i="3"/>
  <c r="H38" i="3"/>
  <c r="D38" i="3"/>
  <c r="H37" i="3"/>
  <c r="D37" i="3"/>
  <c r="H36" i="3"/>
  <c r="D36" i="3"/>
  <c r="H35" i="3"/>
  <c r="I24" i="1" s="1"/>
  <c r="D35" i="3"/>
  <c r="H34" i="3"/>
  <c r="D34" i="3"/>
  <c r="H33" i="3"/>
  <c r="I48" i="1" s="1"/>
  <c r="D33" i="3"/>
  <c r="H32" i="3"/>
  <c r="D32" i="3"/>
  <c r="H31" i="3"/>
  <c r="D31" i="3"/>
  <c r="H30" i="3"/>
  <c r="I22" i="1" s="1"/>
  <c r="D30" i="3"/>
  <c r="H29" i="3"/>
  <c r="I191" i="1" s="1"/>
  <c r="D29" i="3"/>
  <c r="H28" i="3"/>
  <c r="D28" i="3"/>
  <c r="H27" i="3"/>
  <c r="I32" i="1" s="1"/>
  <c r="D27" i="3"/>
  <c r="H26" i="3"/>
  <c r="I12" i="1" s="1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I164" i="1" s="1"/>
  <c r="D11" i="3"/>
  <c r="H10" i="3"/>
  <c r="D10" i="3"/>
  <c r="H9" i="3"/>
  <c r="D9" i="3"/>
  <c r="H8" i="3"/>
  <c r="D8" i="3"/>
  <c r="H7" i="3"/>
  <c r="I82" i="1" s="1"/>
  <c r="D7" i="3"/>
  <c r="H6" i="3"/>
  <c r="D6" i="3"/>
  <c r="H5" i="3"/>
  <c r="D5" i="3"/>
  <c r="H4" i="3"/>
  <c r="D4" i="3"/>
  <c r="H3" i="3"/>
  <c r="I65" i="1" s="1"/>
  <c r="D3" i="3"/>
  <c r="H2" i="3"/>
  <c r="D2" i="3"/>
  <c r="H1" i="2"/>
  <c r="G1" i="2"/>
  <c r="F1" i="2"/>
  <c r="E1" i="2"/>
  <c r="D1" i="2"/>
  <c r="C1" i="2"/>
  <c r="B1" i="2"/>
  <c r="A1" i="2"/>
  <c r="H961" i="1"/>
  <c r="B961" i="1"/>
  <c r="A961" i="1"/>
  <c r="H960" i="1"/>
  <c r="B960" i="1"/>
  <c r="A960" i="1"/>
  <c r="H959" i="1"/>
  <c r="B959" i="1"/>
  <c r="A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A940" i="1"/>
  <c r="H939" i="1"/>
  <c r="B939" i="1"/>
  <c r="A939" i="1"/>
  <c r="H938" i="1"/>
  <c r="B938" i="1"/>
  <c r="H937" i="1"/>
  <c r="B937" i="1"/>
  <c r="A937" i="1"/>
  <c r="H936" i="1"/>
  <c r="B936" i="1"/>
  <c r="A936" i="1"/>
  <c r="H935" i="1"/>
  <c r="B935" i="1"/>
  <c r="A935" i="1"/>
  <c r="H934" i="1"/>
  <c r="B934" i="1"/>
  <c r="A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A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A914" i="1"/>
  <c r="H913" i="1"/>
  <c r="B913" i="1"/>
  <c r="A913" i="1"/>
  <c r="H912" i="1"/>
  <c r="B912" i="1"/>
  <c r="A912" i="1"/>
  <c r="H911" i="1"/>
  <c r="B911" i="1"/>
  <c r="A911" i="1"/>
  <c r="H910" i="1"/>
  <c r="B910" i="1"/>
  <c r="A910" i="1"/>
  <c r="H909" i="1"/>
  <c r="B909" i="1"/>
  <c r="A909" i="1"/>
  <c r="H908" i="1"/>
  <c r="B908" i="1"/>
  <c r="A908" i="1"/>
  <c r="H907" i="1"/>
  <c r="B907" i="1"/>
  <c r="A907" i="1"/>
  <c r="H906" i="1"/>
  <c r="B906" i="1"/>
  <c r="A906" i="1"/>
  <c r="H905" i="1"/>
  <c r="B905" i="1"/>
  <c r="A905" i="1"/>
  <c r="H904" i="1"/>
  <c r="B904" i="1"/>
  <c r="A904" i="1"/>
  <c r="H903" i="1"/>
  <c r="B903" i="1"/>
  <c r="A903" i="1"/>
  <c r="H902" i="1"/>
  <c r="B902" i="1"/>
  <c r="A902" i="1"/>
  <c r="H901" i="1"/>
  <c r="B901" i="1"/>
  <c r="A901" i="1"/>
  <c r="H900" i="1"/>
  <c r="B900" i="1"/>
  <c r="A900" i="1"/>
  <c r="H899" i="1"/>
  <c r="B899" i="1"/>
  <c r="A899" i="1"/>
  <c r="H898" i="1"/>
  <c r="B898" i="1"/>
  <c r="A898" i="1"/>
  <c r="H897" i="1"/>
  <c r="B897" i="1"/>
  <c r="A897" i="1"/>
  <c r="H896" i="1"/>
  <c r="B896" i="1"/>
  <c r="A896" i="1"/>
  <c r="H895" i="1"/>
  <c r="B895" i="1"/>
  <c r="A895" i="1"/>
  <c r="H894" i="1"/>
  <c r="B894" i="1"/>
  <c r="A894" i="1"/>
  <c r="H893" i="1"/>
  <c r="B893" i="1"/>
  <c r="A893" i="1"/>
  <c r="H892" i="1"/>
  <c r="B892" i="1"/>
  <c r="A892" i="1"/>
  <c r="H891" i="1"/>
  <c r="B891" i="1"/>
  <c r="A891" i="1"/>
  <c r="H890" i="1"/>
  <c r="B890" i="1"/>
  <c r="A890" i="1"/>
  <c r="H889" i="1"/>
  <c r="B889" i="1"/>
  <c r="A889" i="1"/>
  <c r="H888" i="1"/>
  <c r="B888" i="1"/>
  <c r="A888" i="1"/>
  <c r="H887" i="1"/>
  <c r="B887" i="1"/>
  <c r="A887" i="1"/>
  <c r="H886" i="1"/>
  <c r="B886" i="1"/>
  <c r="A886" i="1"/>
  <c r="H885" i="1"/>
  <c r="B885" i="1"/>
  <c r="A885" i="1"/>
  <c r="H884" i="1"/>
  <c r="B884" i="1"/>
  <c r="A884" i="1"/>
  <c r="H883" i="1"/>
  <c r="B883" i="1"/>
  <c r="A883" i="1"/>
  <c r="H882" i="1"/>
  <c r="B882" i="1"/>
  <c r="A882" i="1"/>
  <c r="H881" i="1"/>
  <c r="B881" i="1"/>
  <c r="A881" i="1"/>
  <c r="H880" i="1"/>
  <c r="B880" i="1"/>
  <c r="A880" i="1"/>
  <c r="H879" i="1"/>
  <c r="B879" i="1"/>
  <c r="A879" i="1"/>
  <c r="H878" i="1"/>
  <c r="B878" i="1"/>
  <c r="A878" i="1"/>
  <c r="H877" i="1"/>
  <c r="B877" i="1"/>
  <c r="A877" i="1"/>
  <c r="H876" i="1"/>
  <c r="B876" i="1"/>
  <c r="A876" i="1"/>
  <c r="H875" i="1"/>
  <c r="B875" i="1"/>
  <c r="A875" i="1"/>
  <c r="H874" i="1"/>
  <c r="B874" i="1"/>
  <c r="A874" i="1"/>
  <c r="H873" i="1"/>
  <c r="B873" i="1"/>
  <c r="A873" i="1"/>
  <c r="H872" i="1"/>
  <c r="B872" i="1"/>
  <c r="A872" i="1"/>
  <c r="H871" i="1"/>
  <c r="B871" i="1"/>
  <c r="A871" i="1"/>
  <c r="H870" i="1"/>
  <c r="B870" i="1"/>
  <c r="A870" i="1"/>
  <c r="H869" i="1"/>
  <c r="B869" i="1"/>
  <c r="A869" i="1"/>
  <c r="H868" i="1"/>
  <c r="B868" i="1"/>
  <c r="A868" i="1"/>
  <c r="H867" i="1"/>
  <c r="B867" i="1"/>
  <c r="A867" i="1"/>
  <c r="H866" i="1"/>
  <c r="B866" i="1"/>
  <c r="A866" i="1"/>
  <c r="H865" i="1"/>
  <c r="B865" i="1"/>
  <c r="A865" i="1"/>
  <c r="H864" i="1"/>
  <c r="B864" i="1"/>
  <c r="A864" i="1"/>
  <c r="H863" i="1"/>
  <c r="B863" i="1"/>
  <c r="A863" i="1"/>
  <c r="H862" i="1"/>
  <c r="B862" i="1"/>
  <c r="A862" i="1"/>
  <c r="H861" i="1"/>
  <c r="B861" i="1"/>
  <c r="A861" i="1"/>
  <c r="H860" i="1"/>
  <c r="B860" i="1"/>
  <c r="A860" i="1"/>
  <c r="H859" i="1"/>
  <c r="B859" i="1"/>
  <c r="A859" i="1"/>
  <c r="H858" i="1"/>
  <c r="B858" i="1"/>
  <c r="A858" i="1"/>
  <c r="H857" i="1"/>
  <c r="B857" i="1"/>
  <c r="A857" i="1"/>
  <c r="H856" i="1"/>
  <c r="B856" i="1"/>
  <c r="A856" i="1"/>
  <c r="H855" i="1"/>
  <c r="B855" i="1"/>
  <c r="A855" i="1"/>
  <c r="H854" i="1"/>
  <c r="B854" i="1"/>
  <c r="A854" i="1"/>
  <c r="H853" i="1"/>
  <c r="B853" i="1"/>
  <c r="A853" i="1"/>
  <c r="H852" i="1"/>
  <c r="B852" i="1"/>
  <c r="A852" i="1"/>
  <c r="H851" i="1"/>
  <c r="B851" i="1"/>
  <c r="A851" i="1"/>
  <c r="H850" i="1"/>
  <c r="B850" i="1"/>
  <c r="A850" i="1"/>
  <c r="H849" i="1"/>
  <c r="B849" i="1"/>
  <c r="A849" i="1"/>
  <c r="H848" i="1"/>
  <c r="B848" i="1"/>
  <c r="A848" i="1"/>
  <c r="H847" i="1"/>
  <c r="B847" i="1"/>
  <c r="A847" i="1"/>
  <c r="H846" i="1"/>
  <c r="B846" i="1"/>
  <c r="A846" i="1"/>
  <c r="H845" i="1"/>
  <c r="B845" i="1"/>
  <c r="A845" i="1"/>
  <c r="H844" i="1"/>
  <c r="B844" i="1"/>
  <c r="A844" i="1"/>
  <c r="H843" i="1"/>
  <c r="B843" i="1"/>
  <c r="A843" i="1"/>
  <c r="H842" i="1"/>
  <c r="B842" i="1"/>
  <c r="A842" i="1"/>
  <c r="H841" i="1"/>
  <c r="B841" i="1"/>
  <c r="A841" i="1"/>
  <c r="H840" i="1"/>
  <c r="B840" i="1"/>
  <c r="A840" i="1"/>
  <c r="H839" i="1"/>
  <c r="B839" i="1"/>
  <c r="A839" i="1"/>
  <c r="H838" i="1"/>
  <c r="B838" i="1"/>
  <c r="A838" i="1"/>
  <c r="H837" i="1"/>
  <c r="B837" i="1"/>
  <c r="A837" i="1"/>
  <c r="H836" i="1"/>
  <c r="B836" i="1"/>
  <c r="A836" i="1"/>
  <c r="H835" i="1"/>
  <c r="B835" i="1"/>
  <c r="A835" i="1"/>
  <c r="H834" i="1"/>
  <c r="B834" i="1"/>
  <c r="A834" i="1"/>
  <c r="H833" i="1"/>
  <c r="B833" i="1"/>
  <c r="A833" i="1"/>
  <c r="H832" i="1"/>
  <c r="B832" i="1"/>
  <c r="A832" i="1"/>
  <c r="H831" i="1"/>
  <c r="B831" i="1"/>
  <c r="A831" i="1"/>
  <c r="H830" i="1"/>
  <c r="B830" i="1"/>
  <c r="A830" i="1"/>
  <c r="H829" i="1"/>
  <c r="B829" i="1"/>
  <c r="A829" i="1"/>
  <c r="H828" i="1"/>
  <c r="B828" i="1"/>
  <c r="A828" i="1"/>
  <c r="H827" i="1"/>
  <c r="B827" i="1"/>
  <c r="A827" i="1"/>
  <c r="H826" i="1"/>
  <c r="B826" i="1"/>
  <c r="A826" i="1"/>
  <c r="H825" i="1"/>
  <c r="B825" i="1"/>
  <c r="A825" i="1"/>
  <c r="H824" i="1"/>
  <c r="B824" i="1"/>
  <c r="A824" i="1"/>
  <c r="H823" i="1"/>
  <c r="B823" i="1"/>
  <c r="A823" i="1"/>
  <c r="H822" i="1"/>
  <c r="B822" i="1"/>
  <c r="A822" i="1"/>
  <c r="H821" i="1"/>
  <c r="B821" i="1"/>
  <c r="A821" i="1"/>
  <c r="H820" i="1"/>
  <c r="B820" i="1"/>
  <c r="A820" i="1"/>
  <c r="H819" i="1"/>
  <c r="B819" i="1"/>
  <c r="A819" i="1"/>
  <c r="H818" i="1"/>
  <c r="B818" i="1"/>
  <c r="A818" i="1"/>
  <c r="H817" i="1"/>
  <c r="B817" i="1"/>
  <c r="A817" i="1"/>
  <c r="H816" i="1"/>
  <c r="B816" i="1"/>
  <c r="A816" i="1"/>
  <c r="H815" i="1"/>
  <c r="B815" i="1"/>
  <c r="A815" i="1"/>
  <c r="H814" i="1"/>
  <c r="B814" i="1"/>
  <c r="A814" i="1"/>
  <c r="H813" i="1"/>
  <c r="B813" i="1"/>
  <c r="A813" i="1"/>
  <c r="H812" i="1"/>
  <c r="B812" i="1"/>
  <c r="A812" i="1"/>
  <c r="H811" i="1"/>
  <c r="B811" i="1"/>
  <c r="A811" i="1"/>
  <c r="H810" i="1"/>
  <c r="B810" i="1"/>
  <c r="A810" i="1"/>
  <c r="H809" i="1"/>
  <c r="B809" i="1"/>
  <c r="A809" i="1"/>
  <c r="H808" i="1"/>
  <c r="B808" i="1"/>
  <c r="A808" i="1"/>
  <c r="H807" i="1"/>
  <c r="B807" i="1"/>
  <c r="A807" i="1"/>
  <c r="H806" i="1"/>
  <c r="B806" i="1"/>
  <c r="A806" i="1"/>
  <c r="H805" i="1"/>
  <c r="B805" i="1"/>
  <c r="A805" i="1"/>
  <c r="H804" i="1"/>
  <c r="B804" i="1"/>
  <c r="A804" i="1"/>
  <c r="H803" i="1"/>
  <c r="B803" i="1"/>
  <c r="A803" i="1"/>
  <c r="H802" i="1"/>
  <c r="B802" i="1"/>
  <c r="A802" i="1"/>
  <c r="H801" i="1"/>
  <c r="B801" i="1"/>
  <c r="A801" i="1"/>
  <c r="H800" i="1"/>
  <c r="B800" i="1"/>
  <c r="A800" i="1"/>
  <c r="H799" i="1"/>
  <c r="B799" i="1"/>
  <c r="A799" i="1"/>
  <c r="H798" i="1"/>
  <c r="B798" i="1"/>
  <c r="A798" i="1"/>
  <c r="H797" i="1"/>
  <c r="B797" i="1"/>
  <c r="A797" i="1"/>
  <c r="H796" i="1"/>
  <c r="B796" i="1"/>
  <c r="A796" i="1"/>
  <c r="H795" i="1"/>
  <c r="B795" i="1"/>
  <c r="A795" i="1"/>
  <c r="H794" i="1"/>
  <c r="B794" i="1"/>
  <c r="A794" i="1"/>
  <c r="H793" i="1"/>
  <c r="B793" i="1"/>
  <c r="A793" i="1"/>
  <c r="H792" i="1"/>
  <c r="B792" i="1"/>
  <c r="A792" i="1"/>
  <c r="H791" i="1"/>
  <c r="B791" i="1"/>
  <c r="A791" i="1"/>
  <c r="H790" i="1"/>
  <c r="B790" i="1"/>
  <c r="A790" i="1"/>
  <c r="H789" i="1"/>
  <c r="B789" i="1"/>
  <c r="A789" i="1"/>
  <c r="H788" i="1"/>
  <c r="B788" i="1"/>
  <c r="A788" i="1"/>
  <c r="H787" i="1"/>
  <c r="B787" i="1"/>
  <c r="A787" i="1"/>
  <c r="H786" i="1"/>
  <c r="B786" i="1"/>
  <c r="A786" i="1"/>
  <c r="H785" i="1"/>
  <c r="B785" i="1"/>
  <c r="A785" i="1"/>
  <c r="H784" i="1"/>
  <c r="B784" i="1"/>
  <c r="A784" i="1"/>
  <c r="H783" i="1"/>
  <c r="B783" i="1"/>
  <c r="A783" i="1"/>
  <c r="H782" i="1"/>
  <c r="B782" i="1"/>
  <c r="A782" i="1"/>
  <c r="H781" i="1"/>
  <c r="B781" i="1"/>
  <c r="A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A772" i="1"/>
  <c r="H771" i="1"/>
  <c r="B771" i="1"/>
  <c r="A771" i="1"/>
  <c r="H770" i="1"/>
  <c r="B770" i="1"/>
  <c r="A770" i="1"/>
  <c r="H769" i="1"/>
  <c r="B769" i="1"/>
  <c r="A769" i="1"/>
  <c r="H768" i="1"/>
  <c r="B768" i="1"/>
  <c r="A768" i="1"/>
  <c r="H767" i="1"/>
  <c r="B767" i="1"/>
  <c r="A767" i="1"/>
  <c r="H766" i="1"/>
  <c r="B766" i="1"/>
  <c r="A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A756" i="1"/>
  <c r="H755" i="1"/>
  <c r="B755" i="1"/>
  <c r="A755" i="1"/>
  <c r="H754" i="1"/>
  <c r="B754" i="1"/>
  <c r="A754" i="1"/>
  <c r="H753" i="1"/>
  <c r="B753" i="1"/>
  <c r="A753" i="1"/>
  <c r="H752" i="1"/>
  <c r="B752" i="1"/>
  <c r="A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A733" i="1"/>
  <c r="H732" i="1"/>
  <c r="B732" i="1"/>
  <c r="A732" i="1"/>
  <c r="H731" i="1"/>
  <c r="B731" i="1"/>
  <c r="A731" i="1"/>
  <c r="H730" i="1"/>
  <c r="B730" i="1"/>
  <c r="A730" i="1"/>
  <c r="H729" i="1"/>
  <c r="B729" i="1"/>
  <c r="A729" i="1"/>
  <c r="H728" i="1"/>
  <c r="B728" i="1"/>
  <c r="H727" i="1"/>
  <c r="B727" i="1"/>
  <c r="A727" i="1"/>
  <c r="H726" i="1"/>
  <c r="B726" i="1"/>
  <c r="A726" i="1"/>
  <c r="H725" i="1"/>
  <c r="B725" i="1"/>
  <c r="A725" i="1"/>
  <c r="H724" i="1"/>
  <c r="B724" i="1"/>
  <c r="A724" i="1"/>
  <c r="H723" i="1"/>
  <c r="B723" i="1"/>
  <c r="A723" i="1"/>
  <c r="H722" i="1"/>
  <c r="B722" i="1"/>
  <c r="A722" i="1"/>
  <c r="H721" i="1"/>
  <c r="B721" i="1"/>
  <c r="A721" i="1"/>
  <c r="H720" i="1"/>
  <c r="B720" i="1"/>
  <c r="A720" i="1"/>
  <c r="H719" i="1"/>
  <c r="B719" i="1"/>
  <c r="H718" i="1"/>
  <c r="B718" i="1"/>
  <c r="A718" i="1"/>
  <c r="H717" i="1"/>
  <c r="B717" i="1"/>
  <c r="A717" i="1"/>
  <c r="H716" i="1"/>
  <c r="B716" i="1"/>
  <c r="A716" i="1"/>
  <c r="H715" i="1"/>
  <c r="B715" i="1"/>
  <c r="A715" i="1"/>
  <c r="H714" i="1"/>
  <c r="B714" i="1"/>
  <c r="A714" i="1"/>
  <c r="H713" i="1"/>
  <c r="B713" i="1"/>
  <c r="A713" i="1"/>
  <c r="H712" i="1"/>
  <c r="B712" i="1"/>
  <c r="A712" i="1"/>
  <c r="H711" i="1"/>
  <c r="B711" i="1"/>
  <c r="A711" i="1"/>
  <c r="H710" i="1"/>
  <c r="B710" i="1"/>
  <c r="H709" i="1"/>
  <c r="B709" i="1"/>
  <c r="H708" i="1"/>
  <c r="B708" i="1"/>
  <c r="A708" i="1"/>
  <c r="H707" i="1"/>
  <c r="B707" i="1"/>
  <c r="A707" i="1"/>
  <c r="H706" i="1"/>
  <c r="B706" i="1"/>
  <c r="H705" i="1"/>
  <c r="B705" i="1"/>
  <c r="A705" i="1"/>
  <c r="H704" i="1"/>
  <c r="B704" i="1"/>
  <c r="A704" i="1"/>
  <c r="H703" i="1"/>
  <c r="B703" i="1"/>
  <c r="A703" i="1"/>
  <c r="H702" i="1"/>
  <c r="B702" i="1"/>
  <c r="A702" i="1"/>
  <c r="H701" i="1"/>
  <c r="B701" i="1"/>
  <c r="A701" i="1"/>
  <c r="H700" i="1"/>
  <c r="B700" i="1"/>
  <c r="A700" i="1"/>
  <c r="H699" i="1"/>
  <c r="B699" i="1"/>
  <c r="A699" i="1"/>
  <c r="H698" i="1"/>
  <c r="B698" i="1"/>
  <c r="A698" i="1"/>
  <c r="H697" i="1"/>
  <c r="B697" i="1"/>
  <c r="A697" i="1"/>
  <c r="H696" i="1"/>
  <c r="B696" i="1"/>
  <c r="A696" i="1"/>
  <c r="H695" i="1"/>
  <c r="B695" i="1"/>
  <c r="A695" i="1"/>
  <c r="H694" i="1"/>
  <c r="B694" i="1"/>
  <c r="A694" i="1"/>
  <c r="H693" i="1"/>
  <c r="B693" i="1"/>
  <c r="A693" i="1"/>
  <c r="H692" i="1"/>
  <c r="B692" i="1"/>
  <c r="A692" i="1"/>
  <c r="H691" i="1"/>
  <c r="B691" i="1"/>
  <c r="A691" i="1"/>
  <c r="H690" i="1"/>
  <c r="B690" i="1"/>
  <c r="A690" i="1"/>
  <c r="H689" i="1"/>
  <c r="B689" i="1"/>
  <c r="A689" i="1"/>
  <c r="H688" i="1"/>
  <c r="B688" i="1"/>
  <c r="A688" i="1"/>
  <c r="H687" i="1"/>
  <c r="B687" i="1"/>
  <c r="A687" i="1"/>
  <c r="H686" i="1"/>
  <c r="B686" i="1"/>
  <c r="A686" i="1"/>
  <c r="H685" i="1"/>
  <c r="B685" i="1"/>
  <c r="A685" i="1"/>
  <c r="H684" i="1"/>
  <c r="B684" i="1"/>
  <c r="A684" i="1"/>
  <c r="H683" i="1"/>
  <c r="B683" i="1"/>
  <c r="A683" i="1"/>
  <c r="H682" i="1"/>
  <c r="B682" i="1"/>
  <c r="A682" i="1"/>
  <c r="H681" i="1"/>
  <c r="B681" i="1"/>
  <c r="A681" i="1"/>
  <c r="H680" i="1"/>
  <c r="B680" i="1"/>
  <c r="A680" i="1"/>
  <c r="H679" i="1"/>
  <c r="B679" i="1"/>
  <c r="A679" i="1"/>
  <c r="H678" i="1"/>
  <c r="B678" i="1"/>
  <c r="A678" i="1"/>
  <c r="H677" i="1"/>
  <c r="B677" i="1"/>
  <c r="A677" i="1"/>
  <c r="H676" i="1"/>
  <c r="B676" i="1"/>
  <c r="A676" i="1"/>
  <c r="H675" i="1"/>
  <c r="B675" i="1"/>
  <c r="A675" i="1"/>
  <c r="H674" i="1"/>
  <c r="B674" i="1"/>
  <c r="A674" i="1"/>
  <c r="H673" i="1"/>
  <c r="B673" i="1"/>
  <c r="A673" i="1"/>
  <c r="H672" i="1"/>
  <c r="B672" i="1"/>
  <c r="A672" i="1"/>
  <c r="H671" i="1"/>
  <c r="B671" i="1"/>
  <c r="A671" i="1"/>
  <c r="H670" i="1"/>
  <c r="B670" i="1"/>
  <c r="A670" i="1"/>
  <c r="H669" i="1"/>
  <c r="B669" i="1"/>
  <c r="A669" i="1"/>
  <c r="H668" i="1"/>
  <c r="B668" i="1"/>
  <c r="A668" i="1"/>
  <c r="H667" i="1"/>
  <c r="B667" i="1"/>
  <c r="A667" i="1"/>
  <c r="H666" i="1"/>
  <c r="B666" i="1"/>
  <c r="A666" i="1"/>
  <c r="H665" i="1"/>
  <c r="B665" i="1"/>
  <c r="A665" i="1"/>
  <c r="H664" i="1"/>
  <c r="B664" i="1"/>
  <c r="A664" i="1"/>
  <c r="H663" i="1"/>
  <c r="B663" i="1"/>
  <c r="A663" i="1"/>
  <c r="H662" i="1"/>
  <c r="B662" i="1"/>
  <c r="A662" i="1"/>
  <c r="H661" i="1"/>
  <c r="B661" i="1"/>
  <c r="A661" i="1"/>
  <c r="H660" i="1"/>
  <c r="B660" i="1"/>
  <c r="A660" i="1"/>
  <c r="H659" i="1"/>
  <c r="B659" i="1"/>
  <c r="A659" i="1"/>
  <c r="H658" i="1"/>
  <c r="B658" i="1"/>
  <c r="A658" i="1"/>
  <c r="H657" i="1"/>
  <c r="B657" i="1"/>
  <c r="A657" i="1"/>
  <c r="H656" i="1"/>
  <c r="B656" i="1"/>
  <c r="A656" i="1"/>
  <c r="H655" i="1"/>
  <c r="B655" i="1"/>
  <c r="A655" i="1"/>
  <c r="H654" i="1"/>
  <c r="B654" i="1"/>
  <c r="A654" i="1"/>
  <c r="H653" i="1"/>
  <c r="B653" i="1"/>
  <c r="A653" i="1"/>
  <c r="H652" i="1"/>
  <c r="B652" i="1"/>
  <c r="A652" i="1"/>
  <c r="H651" i="1"/>
  <c r="B651" i="1"/>
  <c r="A651" i="1"/>
  <c r="H650" i="1"/>
  <c r="B650" i="1"/>
  <c r="A650" i="1"/>
  <c r="H649" i="1"/>
  <c r="B649" i="1"/>
  <c r="A649" i="1"/>
  <c r="H648" i="1"/>
  <c r="B648" i="1"/>
  <c r="A648" i="1"/>
  <c r="H647" i="1"/>
  <c r="B647" i="1"/>
  <c r="A647" i="1"/>
  <c r="H646" i="1"/>
  <c r="B646" i="1"/>
  <c r="A646" i="1"/>
  <c r="H645" i="1"/>
  <c r="B645" i="1"/>
  <c r="A645" i="1"/>
  <c r="H644" i="1"/>
  <c r="B644" i="1"/>
  <c r="A644" i="1"/>
  <c r="H643" i="1"/>
  <c r="B643" i="1"/>
  <c r="A643" i="1"/>
  <c r="H642" i="1"/>
  <c r="B642" i="1"/>
  <c r="A642" i="1"/>
  <c r="H641" i="1"/>
  <c r="B641" i="1"/>
  <c r="A641" i="1"/>
  <c r="H640" i="1"/>
  <c r="B640" i="1"/>
  <c r="A640" i="1"/>
  <c r="H639" i="1"/>
  <c r="B639" i="1"/>
  <c r="A639" i="1"/>
  <c r="H638" i="1"/>
  <c r="B638" i="1"/>
  <c r="A638" i="1"/>
  <c r="H637" i="1"/>
  <c r="B637" i="1"/>
  <c r="A637" i="1"/>
  <c r="H636" i="1"/>
  <c r="B636" i="1"/>
  <c r="A636" i="1"/>
  <c r="H635" i="1"/>
  <c r="B635" i="1"/>
  <c r="A635" i="1"/>
  <c r="H634" i="1"/>
  <c r="B634" i="1"/>
  <c r="H633" i="1"/>
  <c r="B633" i="1"/>
  <c r="A633" i="1"/>
  <c r="H632" i="1"/>
  <c r="B632" i="1"/>
  <c r="A632" i="1"/>
  <c r="H631" i="1"/>
  <c r="B631" i="1"/>
  <c r="A631" i="1"/>
  <c r="H630" i="1"/>
  <c r="B630" i="1"/>
  <c r="A630" i="1"/>
  <c r="H629" i="1"/>
  <c r="B629" i="1"/>
  <c r="A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A586" i="1"/>
  <c r="H585" i="1"/>
  <c r="B585" i="1"/>
  <c r="A585" i="1"/>
  <c r="H584" i="1"/>
  <c r="B584" i="1"/>
  <c r="A584" i="1"/>
  <c r="H583" i="1"/>
  <c r="B583" i="1"/>
  <c r="A583" i="1"/>
  <c r="H582" i="1"/>
  <c r="B582" i="1"/>
  <c r="A582" i="1"/>
  <c r="H581" i="1"/>
  <c r="B581" i="1"/>
  <c r="A581" i="1"/>
  <c r="H580" i="1"/>
  <c r="B580" i="1"/>
  <c r="A580" i="1"/>
  <c r="H579" i="1"/>
  <c r="B579" i="1"/>
  <c r="A579" i="1"/>
  <c r="H578" i="1"/>
  <c r="B578" i="1"/>
  <c r="A578" i="1"/>
  <c r="H577" i="1"/>
  <c r="B577" i="1"/>
  <c r="A577" i="1"/>
  <c r="H576" i="1"/>
  <c r="B576" i="1"/>
  <c r="A576" i="1"/>
  <c r="H575" i="1"/>
  <c r="B575" i="1"/>
  <c r="A575" i="1"/>
  <c r="H574" i="1"/>
  <c r="B574" i="1"/>
  <c r="A574" i="1"/>
  <c r="H573" i="1"/>
  <c r="B573" i="1"/>
  <c r="A573" i="1"/>
  <c r="H572" i="1"/>
  <c r="B572" i="1"/>
  <c r="A572" i="1"/>
  <c r="H571" i="1"/>
  <c r="B571" i="1"/>
  <c r="A571" i="1"/>
  <c r="H570" i="1"/>
  <c r="B570" i="1"/>
  <c r="A570" i="1"/>
  <c r="H569" i="1"/>
  <c r="B569" i="1"/>
  <c r="A569" i="1"/>
  <c r="H568" i="1"/>
  <c r="B568" i="1"/>
  <c r="A568" i="1"/>
  <c r="H567" i="1"/>
  <c r="B567" i="1"/>
  <c r="A567" i="1"/>
  <c r="H566" i="1"/>
  <c r="B566" i="1"/>
  <c r="A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A558" i="1"/>
  <c r="H557" i="1"/>
  <c r="B557" i="1"/>
  <c r="A557" i="1"/>
  <c r="H556" i="1"/>
  <c r="B556" i="1"/>
  <c r="A556" i="1"/>
  <c r="H555" i="1"/>
  <c r="B555" i="1"/>
  <c r="A555" i="1"/>
  <c r="H554" i="1"/>
  <c r="B554" i="1"/>
  <c r="A554" i="1"/>
  <c r="H553" i="1"/>
  <c r="B553" i="1"/>
  <c r="A553" i="1"/>
  <c r="H552" i="1"/>
  <c r="B552" i="1"/>
  <c r="A552" i="1"/>
  <c r="H551" i="1"/>
  <c r="B551" i="1"/>
  <c r="A551" i="1"/>
  <c r="H550" i="1"/>
  <c r="B550" i="1"/>
  <c r="H549" i="1"/>
  <c r="B549" i="1"/>
  <c r="H548" i="1"/>
  <c r="B548" i="1"/>
  <c r="A548" i="1"/>
  <c r="H547" i="1"/>
  <c r="B547" i="1"/>
  <c r="A547" i="1"/>
  <c r="H546" i="1"/>
  <c r="B546" i="1"/>
  <c r="A546" i="1"/>
  <c r="H545" i="1"/>
  <c r="B545" i="1"/>
  <c r="A545" i="1"/>
  <c r="H544" i="1"/>
  <c r="B544" i="1"/>
  <c r="A544" i="1"/>
  <c r="H543" i="1"/>
  <c r="B543" i="1"/>
  <c r="A543" i="1"/>
  <c r="H542" i="1"/>
  <c r="B542" i="1"/>
  <c r="A542" i="1"/>
  <c r="H541" i="1"/>
  <c r="B541" i="1"/>
  <c r="A541" i="1"/>
  <c r="H540" i="1"/>
  <c r="B540" i="1"/>
  <c r="A540" i="1"/>
  <c r="H539" i="1"/>
  <c r="B539" i="1"/>
  <c r="A539" i="1"/>
  <c r="H538" i="1"/>
  <c r="B538" i="1"/>
  <c r="A538" i="1"/>
  <c r="H537" i="1"/>
  <c r="B537" i="1"/>
  <c r="A537" i="1"/>
  <c r="H536" i="1"/>
  <c r="B536" i="1"/>
  <c r="A536" i="1"/>
  <c r="H535" i="1"/>
  <c r="B535" i="1"/>
  <c r="A535" i="1"/>
  <c r="H534" i="1"/>
  <c r="B534" i="1"/>
  <c r="A534" i="1"/>
  <c r="H533" i="1"/>
  <c r="B533" i="1"/>
  <c r="A533" i="1"/>
  <c r="H532" i="1"/>
  <c r="B532" i="1"/>
  <c r="A532" i="1"/>
  <c r="H531" i="1"/>
  <c r="B531" i="1"/>
  <c r="A531" i="1"/>
  <c r="H530" i="1"/>
  <c r="B530" i="1"/>
  <c r="A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A516" i="1"/>
  <c r="H515" i="1"/>
  <c r="B515" i="1"/>
  <c r="A515" i="1"/>
  <c r="H514" i="1"/>
  <c r="B514" i="1"/>
  <c r="A514" i="1"/>
  <c r="H513" i="1"/>
  <c r="B513" i="1"/>
  <c r="A513" i="1"/>
  <c r="H512" i="1"/>
  <c r="B512" i="1"/>
  <c r="A512" i="1"/>
  <c r="H511" i="1"/>
  <c r="B511" i="1"/>
  <c r="A511" i="1"/>
  <c r="H510" i="1"/>
  <c r="B510" i="1"/>
  <c r="A510" i="1"/>
  <c r="H509" i="1"/>
  <c r="B509" i="1"/>
  <c r="A509" i="1"/>
  <c r="H508" i="1"/>
  <c r="B508" i="1"/>
  <c r="A508" i="1"/>
  <c r="H507" i="1"/>
  <c r="B507" i="1"/>
  <c r="A507" i="1"/>
  <c r="H506" i="1"/>
  <c r="B506" i="1"/>
  <c r="A506" i="1"/>
  <c r="H505" i="1"/>
  <c r="B505" i="1"/>
  <c r="A505" i="1"/>
  <c r="H504" i="1"/>
  <c r="B504" i="1"/>
  <c r="A504" i="1"/>
  <c r="H503" i="1"/>
  <c r="B503" i="1"/>
  <c r="A503" i="1"/>
  <c r="H502" i="1"/>
  <c r="B502" i="1"/>
  <c r="A502" i="1"/>
  <c r="H501" i="1"/>
  <c r="B501" i="1"/>
  <c r="A501" i="1"/>
  <c r="H500" i="1"/>
  <c r="B500" i="1"/>
  <c r="A500" i="1"/>
  <c r="H499" i="1"/>
  <c r="B499" i="1"/>
  <c r="A499" i="1"/>
  <c r="H498" i="1"/>
  <c r="B498" i="1"/>
  <c r="A498" i="1"/>
  <c r="H497" i="1"/>
  <c r="B497" i="1"/>
  <c r="A497" i="1"/>
  <c r="H496" i="1"/>
  <c r="B496" i="1"/>
  <c r="A496" i="1"/>
  <c r="H495" i="1"/>
  <c r="B495" i="1"/>
  <c r="A495" i="1"/>
  <c r="H494" i="1"/>
  <c r="B494" i="1"/>
  <c r="A494" i="1"/>
  <c r="H493" i="1"/>
  <c r="B493" i="1"/>
  <c r="A493" i="1"/>
  <c r="H492" i="1"/>
  <c r="B492" i="1"/>
  <c r="A492" i="1"/>
  <c r="H491" i="1"/>
  <c r="B491" i="1"/>
  <c r="A491" i="1"/>
  <c r="H490" i="1"/>
  <c r="B490" i="1"/>
  <c r="A490" i="1"/>
  <c r="H489" i="1"/>
  <c r="B489" i="1"/>
  <c r="A489" i="1"/>
  <c r="H488" i="1"/>
  <c r="B488" i="1"/>
  <c r="A488" i="1"/>
  <c r="H487" i="1"/>
  <c r="B487" i="1"/>
  <c r="A487" i="1"/>
  <c r="H486" i="1"/>
  <c r="B486" i="1"/>
  <c r="A486" i="1"/>
  <c r="H485" i="1"/>
  <c r="B485" i="1"/>
  <c r="A485" i="1"/>
  <c r="H484" i="1"/>
  <c r="B484" i="1"/>
  <c r="A484" i="1"/>
  <c r="H483" i="1"/>
  <c r="B483" i="1"/>
  <c r="A483" i="1"/>
  <c r="H482" i="1"/>
  <c r="B482" i="1"/>
  <c r="A482" i="1"/>
  <c r="H481" i="1"/>
  <c r="B481" i="1"/>
  <c r="A481" i="1"/>
  <c r="H480" i="1"/>
  <c r="B480" i="1"/>
  <c r="A480" i="1"/>
  <c r="H479" i="1"/>
  <c r="B479" i="1"/>
  <c r="A479" i="1"/>
  <c r="H478" i="1"/>
  <c r="B478" i="1"/>
  <c r="A478" i="1"/>
  <c r="H477" i="1"/>
  <c r="B477" i="1"/>
  <c r="A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A471" i="1"/>
  <c r="H470" i="1"/>
  <c r="B470" i="1"/>
  <c r="A470" i="1"/>
  <c r="H469" i="1"/>
  <c r="B469" i="1"/>
  <c r="A469" i="1"/>
  <c r="H468" i="1"/>
  <c r="B468" i="1"/>
  <c r="A468" i="1"/>
  <c r="H467" i="1"/>
  <c r="B467" i="1"/>
  <c r="H466" i="1"/>
  <c r="B466" i="1"/>
  <c r="H465" i="1"/>
  <c r="B465" i="1"/>
  <c r="H464" i="1"/>
  <c r="B464" i="1"/>
  <c r="H463" i="1"/>
  <c r="B463" i="1"/>
  <c r="A463" i="1"/>
  <c r="H462" i="1"/>
  <c r="B462" i="1"/>
  <c r="A462" i="1"/>
  <c r="H461" i="1"/>
  <c r="B461" i="1"/>
  <c r="A461" i="1"/>
  <c r="H460" i="1"/>
  <c r="B460" i="1"/>
  <c r="A460" i="1"/>
  <c r="H459" i="1"/>
  <c r="B459" i="1"/>
  <c r="A459" i="1"/>
  <c r="H458" i="1"/>
  <c r="B458" i="1"/>
  <c r="A458" i="1"/>
  <c r="H457" i="1"/>
  <c r="B457" i="1"/>
  <c r="A457" i="1"/>
  <c r="H456" i="1"/>
  <c r="B456" i="1"/>
  <c r="A456" i="1"/>
  <c r="H455" i="1"/>
  <c r="B455" i="1"/>
  <c r="A455" i="1"/>
  <c r="H454" i="1"/>
  <c r="B454" i="1"/>
  <c r="A454" i="1"/>
  <c r="H453" i="1"/>
  <c r="B453" i="1"/>
  <c r="A453" i="1"/>
  <c r="H452" i="1"/>
  <c r="B452" i="1"/>
  <c r="A452" i="1"/>
  <c r="H451" i="1"/>
  <c r="B451" i="1"/>
  <c r="A451" i="1"/>
  <c r="H450" i="1"/>
  <c r="B450" i="1"/>
  <c r="A450" i="1"/>
  <c r="H449" i="1"/>
  <c r="B449" i="1"/>
  <c r="A449" i="1"/>
  <c r="H448" i="1"/>
  <c r="B448" i="1"/>
  <c r="A448" i="1"/>
  <c r="H447" i="1"/>
  <c r="B447" i="1"/>
  <c r="A447" i="1"/>
  <c r="H446" i="1"/>
  <c r="B446" i="1"/>
  <c r="A446" i="1"/>
  <c r="H445" i="1"/>
  <c r="B445" i="1"/>
  <c r="A445" i="1"/>
  <c r="H444" i="1"/>
  <c r="B444" i="1"/>
  <c r="A444" i="1"/>
  <c r="H443" i="1"/>
  <c r="B443" i="1"/>
  <c r="A443" i="1"/>
  <c r="H442" i="1"/>
  <c r="B442" i="1"/>
  <c r="A442" i="1"/>
  <c r="H441" i="1"/>
  <c r="B441" i="1"/>
  <c r="A441" i="1"/>
  <c r="H440" i="1"/>
  <c r="B440" i="1"/>
  <c r="A440" i="1"/>
  <c r="H439" i="1"/>
  <c r="B439" i="1"/>
  <c r="A439" i="1"/>
  <c r="H438" i="1"/>
  <c r="B438" i="1"/>
  <c r="A438" i="1"/>
  <c r="H437" i="1"/>
  <c r="B437" i="1"/>
  <c r="A437" i="1"/>
  <c r="H436" i="1"/>
  <c r="B436" i="1"/>
  <c r="A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A425" i="1"/>
  <c r="H424" i="1"/>
  <c r="B424" i="1"/>
  <c r="H423" i="1"/>
  <c r="B423" i="1"/>
  <c r="H422" i="1"/>
  <c r="B422" i="1"/>
  <c r="H421" i="1"/>
  <c r="B421" i="1"/>
  <c r="H420" i="1"/>
  <c r="B420" i="1"/>
  <c r="A420" i="1"/>
  <c r="H419" i="1"/>
  <c r="B419" i="1"/>
  <c r="A419" i="1"/>
  <c r="H418" i="1"/>
  <c r="B418" i="1"/>
  <c r="A418" i="1"/>
  <c r="H417" i="1"/>
  <c r="B417" i="1"/>
  <c r="A417" i="1"/>
  <c r="H416" i="1"/>
  <c r="B416" i="1"/>
  <c r="A416" i="1"/>
  <c r="H415" i="1"/>
  <c r="B415" i="1"/>
  <c r="A415" i="1"/>
  <c r="H414" i="1"/>
  <c r="B414" i="1"/>
  <c r="A414" i="1"/>
  <c r="H413" i="1"/>
  <c r="B413" i="1"/>
  <c r="A413" i="1"/>
  <c r="H412" i="1"/>
  <c r="B412" i="1"/>
  <c r="A412" i="1"/>
  <c r="H411" i="1"/>
  <c r="B411" i="1"/>
  <c r="H410" i="1"/>
  <c r="B410" i="1"/>
  <c r="H409" i="1"/>
  <c r="B409" i="1"/>
  <c r="A409" i="1"/>
  <c r="H408" i="1"/>
  <c r="B408" i="1"/>
  <c r="A408" i="1"/>
  <c r="H407" i="1"/>
  <c r="B407" i="1"/>
  <c r="H406" i="1"/>
  <c r="B406" i="1"/>
  <c r="A406" i="1"/>
  <c r="H405" i="1"/>
  <c r="B405" i="1"/>
  <c r="A405" i="1"/>
  <c r="H404" i="1"/>
  <c r="B404" i="1"/>
  <c r="A404" i="1"/>
  <c r="H403" i="1"/>
  <c r="B403" i="1"/>
  <c r="A403" i="1"/>
  <c r="H402" i="1"/>
  <c r="B402" i="1"/>
  <c r="A402" i="1"/>
  <c r="H401" i="1"/>
  <c r="B401" i="1"/>
  <c r="A401" i="1"/>
  <c r="H400" i="1"/>
  <c r="B400" i="1"/>
  <c r="A400" i="1"/>
  <c r="H399" i="1"/>
  <c r="B399" i="1"/>
  <c r="A399" i="1"/>
  <c r="H398" i="1"/>
  <c r="B398" i="1"/>
  <c r="A398" i="1"/>
  <c r="H397" i="1"/>
  <c r="B397" i="1"/>
  <c r="A397" i="1"/>
  <c r="H396" i="1"/>
  <c r="B396" i="1"/>
  <c r="A396" i="1"/>
  <c r="H395" i="1"/>
  <c r="B395" i="1"/>
  <c r="A395" i="1"/>
  <c r="H394" i="1"/>
  <c r="B394" i="1"/>
  <c r="A394" i="1"/>
  <c r="H393" i="1"/>
  <c r="B393" i="1"/>
  <c r="A393" i="1"/>
  <c r="H392" i="1"/>
  <c r="B392" i="1"/>
  <c r="A392" i="1"/>
  <c r="H391" i="1"/>
  <c r="B391" i="1"/>
  <c r="A391" i="1"/>
  <c r="H390" i="1"/>
  <c r="B390" i="1"/>
  <c r="A390" i="1"/>
  <c r="H389" i="1"/>
  <c r="B389" i="1"/>
  <c r="A389" i="1"/>
  <c r="H388" i="1"/>
  <c r="B388" i="1"/>
  <c r="A388" i="1"/>
  <c r="H387" i="1"/>
  <c r="B387" i="1"/>
  <c r="A387" i="1"/>
  <c r="H386" i="1"/>
  <c r="B386" i="1"/>
  <c r="A386" i="1"/>
  <c r="H385" i="1"/>
  <c r="B385" i="1"/>
  <c r="A385" i="1"/>
  <c r="H384" i="1"/>
  <c r="B384" i="1"/>
  <c r="A384" i="1"/>
  <c r="H383" i="1"/>
  <c r="B383" i="1"/>
  <c r="A383" i="1"/>
  <c r="H382" i="1"/>
  <c r="B382" i="1"/>
  <c r="A382" i="1"/>
  <c r="H381" i="1"/>
  <c r="B381" i="1"/>
  <c r="A381" i="1"/>
  <c r="H380" i="1"/>
  <c r="B380" i="1"/>
  <c r="A380" i="1"/>
  <c r="H379" i="1"/>
  <c r="B379" i="1"/>
  <c r="A379" i="1"/>
  <c r="H378" i="1"/>
  <c r="B378" i="1"/>
  <c r="A378" i="1"/>
  <c r="H377" i="1"/>
  <c r="B377" i="1"/>
  <c r="A377" i="1"/>
  <c r="H376" i="1"/>
  <c r="B376" i="1"/>
  <c r="A376" i="1"/>
  <c r="H375" i="1"/>
  <c r="B375" i="1"/>
  <c r="A375" i="1"/>
  <c r="H374" i="1"/>
  <c r="B374" i="1"/>
  <c r="A374" i="1"/>
  <c r="H373" i="1"/>
  <c r="B373" i="1"/>
  <c r="A373" i="1"/>
  <c r="H372" i="1"/>
  <c r="B372" i="1"/>
  <c r="A372" i="1"/>
  <c r="H371" i="1"/>
  <c r="B371" i="1"/>
  <c r="A371" i="1"/>
  <c r="H370" i="1"/>
  <c r="B370" i="1"/>
  <c r="A370" i="1"/>
  <c r="H369" i="1"/>
  <c r="B369" i="1"/>
  <c r="A369" i="1"/>
  <c r="H368" i="1"/>
  <c r="B368" i="1"/>
  <c r="A368" i="1"/>
  <c r="H367" i="1"/>
  <c r="B367" i="1"/>
  <c r="A367" i="1"/>
  <c r="H366" i="1"/>
  <c r="B366" i="1"/>
  <c r="A366" i="1"/>
  <c r="H365" i="1"/>
  <c r="B365" i="1"/>
  <c r="A365" i="1"/>
  <c r="H364" i="1"/>
  <c r="B364" i="1"/>
  <c r="A364" i="1"/>
  <c r="H363" i="1"/>
  <c r="B363" i="1"/>
  <c r="A363" i="1"/>
  <c r="H362" i="1"/>
  <c r="B362" i="1"/>
  <c r="A362" i="1"/>
  <c r="H361" i="1"/>
  <c r="B361" i="1"/>
  <c r="A361" i="1"/>
  <c r="H360" i="1"/>
  <c r="B360" i="1"/>
  <c r="A360" i="1"/>
  <c r="H359" i="1"/>
  <c r="B359" i="1"/>
  <c r="A359" i="1"/>
  <c r="H358" i="1"/>
  <c r="B358" i="1"/>
  <c r="A358" i="1"/>
  <c r="H357" i="1"/>
  <c r="B357" i="1"/>
  <c r="A357" i="1"/>
  <c r="H356" i="1"/>
  <c r="B356" i="1"/>
  <c r="A356" i="1"/>
  <c r="H355" i="1"/>
  <c r="B355" i="1"/>
  <c r="A355" i="1"/>
  <c r="H354" i="1"/>
  <c r="B354" i="1"/>
  <c r="A354" i="1"/>
  <c r="H353" i="1"/>
  <c r="B353" i="1"/>
  <c r="A353" i="1"/>
  <c r="H352" i="1"/>
  <c r="B352" i="1"/>
  <c r="A352" i="1"/>
  <c r="H351" i="1"/>
  <c r="B351" i="1"/>
  <c r="A351" i="1"/>
  <c r="H350" i="1"/>
  <c r="B350" i="1"/>
  <c r="A350" i="1"/>
  <c r="H349" i="1"/>
  <c r="B349" i="1"/>
  <c r="A349" i="1"/>
  <c r="H348" i="1"/>
  <c r="B348" i="1"/>
  <c r="A348" i="1"/>
  <c r="H347" i="1"/>
  <c r="B347" i="1"/>
  <c r="A347" i="1"/>
  <c r="H346" i="1"/>
  <c r="B346" i="1"/>
  <c r="A346" i="1"/>
  <c r="H345" i="1"/>
  <c r="B345" i="1"/>
  <c r="A345" i="1"/>
  <c r="H344" i="1"/>
  <c r="B344" i="1"/>
  <c r="A344" i="1"/>
  <c r="H343" i="1"/>
  <c r="B343" i="1"/>
  <c r="A343" i="1"/>
  <c r="H342" i="1"/>
  <c r="B342" i="1"/>
  <c r="A342" i="1"/>
  <c r="H341" i="1"/>
  <c r="B341" i="1"/>
  <c r="A341" i="1"/>
  <c r="H340" i="1"/>
  <c r="B340" i="1"/>
  <c r="A340" i="1"/>
  <c r="H339" i="1"/>
  <c r="B339" i="1"/>
  <c r="A339" i="1"/>
  <c r="H338" i="1"/>
  <c r="B338" i="1"/>
  <c r="A338" i="1"/>
  <c r="H337" i="1"/>
  <c r="B337" i="1"/>
  <c r="A337" i="1"/>
  <c r="H336" i="1"/>
  <c r="B336" i="1"/>
  <c r="A336" i="1"/>
  <c r="H335" i="1"/>
  <c r="B335" i="1"/>
  <c r="A335" i="1"/>
  <c r="H334" i="1"/>
  <c r="B334" i="1"/>
  <c r="A334" i="1"/>
  <c r="H333" i="1"/>
  <c r="B333" i="1"/>
  <c r="A333" i="1"/>
  <c r="H332" i="1"/>
  <c r="B332" i="1"/>
  <c r="A332" i="1"/>
  <c r="H331" i="1"/>
  <c r="B331" i="1"/>
  <c r="A331" i="1"/>
  <c r="H330" i="1"/>
  <c r="B330" i="1"/>
  <c r="A330" i="1"/>
  <c r="H329" i="1"/>
  <c r="B329" i="1"/>
  <c r="A329" i="1"/>
  <c r="H328" i="1"/>
  <c r="B328" i="1"/>
  <c r="A328" i="1"/>
  <c r="H327" i="1"/>
  <c r="B327" i="1"/>
  <c r="A327" i="1"/>
  <c r="H326" i="1"/>
  <c r="B326" i="1"/>
  <c r="A326" i="1"/>
  <c r="H325" i="1"/>
  <c r="B325" i="1"/>
  <c r="A325" i="1"/>
  <c r="H324" i="1"/>
  <c r="B324" i="1"/>
  <c r="A324" i="1"/>
  <c r="H323" i="1"/>
  <c r="B323" i="1"/>
  <c r="A323" i="1"/>
  <c r="H322" i="1"/>
  <c r="B322" i="1"/>
  <c r="A322" i="1"/>
  <c r="H321" i="1"/>
  <c r="B321" i="1"/>
  <c r="A321" i="1"/>
  <c r="H320" i="1"/>
  <c r="B320" i="1"/>
  <c r="A320" i="1"/>
  <c r="H319" i="1"/>
  <c r="B319" i="1"/>
  <c r="A319" i="1"/>
  <c r="H318" i="1"/>
  <c r="B318" i="1"/>
  <c r="A318" i="1"/>
  <c r="H317" i="1"/>
  <c r="B317" i="1"/>
  <c r="A317" i="1"/>
  <c r="H316" i="1"/>
  <c r="B316" i="1"/>
  <c r="A316" i="1"/>
  <c r="H315" i="1"/>
  <c r="B315" i="1"/>
  <c r="A315" i="1"/>
  <c r="H314" i="1"/>
  <c r="B314" i="1"/>
  <c r="A314" i="1"/>
  <c r="H313" i="1"/>
  <c r="B313" i="1"/>
  <c r="A313" i="1"/>
  <c r="H312" i="1"/>
  <c r="B312" i="1"/>
  <c r="A312" i="1"/>
  <c r="H311" i="1"/>
  <c r="B311" i="1"/>
  <c r="A311" i="1"/>
  <c r="I310" i="1"/>
  <c r="H310" i="1"/>
  <c r="B310" i="1"/>
  <c r="A310" i="1"/>
  <c r="I309" i="1"/>
  <c r="H309" i="1"/>
  <c r="B309" i="1"/>
  <c r="A309" i="1"/>
  <c r="I308" i="1"/>
  <c r="H308" i="1"/>
  <c r="B308" i="1"/>
  <c r="A308" i="1"/>
  <c r="H307" i="1"/>
  <c r="B307" i="1"/>
  <c r="A307" i="1"/>
  <c r="I306" i="1"/>
  <c r="H306" i="1"/>
  <c r="B306" i="1"/>
  <c r="A306" i="1"/>
  <c r="I305" i="1"/>
  <c r="H305" i="1"/>
  <c r="B305" i="1"/>
  <c r="A305" i="1"/>
  <c r="I304" i="1"/>
  <c r="H304" i="1"/>
  <c r="B304" i="1"/>
  <c r="A304" i="1"/>
  <c r="H303" i="1"/>
  <c r="B303" i="1"/>
  <c r="A303" i="1"/>
  <c r="H302" i="1"/>
  <c r="B302" i="1"/>
  <c r="A302" i="1"/>
  <c r="I301" i="1"/>
  <c r="H301" i="1"/>
  <c r="B301" i="1"/>
  <c r="A301" i="1"/>
  <c r="H300" i="1"/>
  <c r="B300" i="1"/>
  <c r="A300" i="1"/>
  <c r="I299" i="1"/>
  <c r="H299" i="1"/>
  <c r="B299" i="1"/>
  <c r="A299" i="1"/>
  <c r="I298" i="1"/>
  <c r="H298" i="1"/>
  <c r="B298" i="1"/>
  <c r="A298" i="1"/>
  <c r="I297" i="1"/>
  <c r="H297" i="1"/>
  <c r="B297" i="1"/>
  <c r="A297" i="1"/>
  <c r="I296" i="1"/>
  <c r="H296" i="1"/>
  <c r="B296" i="1"/>
  <c r="A296" i="1"/>
  <c r="I295" i="1"/>
  <c r="H295" i="1"/>
  <c r="B295" i="1"/>
  <c r="A295" i="1"/>
  <c r="I294" i="1"/>
  <c r="H294" i="1"/>
  <c r="B294" i="1"/>
  <c r="A294" i="1"/>
  <c r="H293" i="1"/>
  <c r="B293" i="1"/>
  <c r="A293" i="1"/>
  <c r="I292" i="1"/>
  <c r="H292" i="1"/>
  <c r="B292" i="1"/>
  <c r="A292" i="1"/>
  <c r="I291" i="1"/>
  <c r="H291" i="1"/>
  <c r="B291" i="1"/>
  <c r="A291" i="1"/>
  <c r="I290" i="1"/>
  <c r="H290" i="1"/>
  <c r="B290" i="1"/>
  <c r="A290" i="1"/>
  <c r="I289" i="1"/>
  <c r="H289" i="1"/>
  <c r="B289" i="1"/>
  <c r="A289" i="1"/>
  <c r="H288" i="1"/>
  <c r="B288" i="1"/>
  <c r="A288" i="1"/>
  <c r="I287" i="1"/>
  <c r="H287" i="1"/>
  <c r="B287" i="1"/>
  <c r="A287" i="1"/>
  <c r="I286" i="1"/>
  <c r="H286" i="1"/>
  <c r="B286" i="1"/>
  <c r="A286" i="1"/>
  <c r="I285" i="1"/>
  <c r="H285" i="1"/>
  <c r="B285" i="1"/>
  <c r="A285" i="1"/>
  <c r="I284" i="1"/>
  <c r="H284" i="1"/>
  <c r="B284" i="1"/>
  <c r="A284" i="1"/>
  <c r="I283" i="1"/>
  <c r="H283" i="1"/>
  <c r="B283" i="1"/>
  <c r="A283" i="1"/>
  <c r="I282" i="1"/>
  <c r="H282" i="1"/>
  <c r="B282" i="1"/>
  <c r="A282" i="1"/>
  <c r="I281" i="1"/>
  <c r="H281" i="1"/>
  <c r="B281" i="1"/>
  <c r="A281" i="1"/>
  <c r="I280" i="1"/>
  <c r="H280" i="1"/>
  <c r="B280" i="1"/>
  <c r="A280" i="1"/>
  <c r="I279" i="1"/>
  <c r="H279" i="1"/>
  <c r="B279" i="1"/>
  <c r="A279" i="1"/>
  <c r="I278" i="1"/>
  <c r="H278" i="1"/>
  <c r="B278" i="1"/>
  <c r="A278" i="1"/>
  <c r="I277" i="1"/>
  <c r="H277" i="1"/>
  <c r="B277" i="1"/>
  <c r="A277" i="1"/>
  <c r="I276" i="1"/>
  <c r="H276" i="1"/>
  <c r="B276" i="1"/>
  <c r="A276" i="1"/>
  <c r="I275" i="1"/>
  <c r="H275" i="1"/>
  <c r="B275" i="1"/>
  <c r="A275" i="1"/>
  <c r="I274" i="1"/>
  <c r="H274" i="1"/>
  <c r="B274" i="1"/>
  <c r="A274" i="1"/>
  <c r="H273" i="1"/>
  <c r="B273" i="1"/>
  <c r="A273" i="1"/>
  <c r="I273" i="1" s="1"/>
  <c r="H272" i="1"/>
  <c r="B272" i="1"/>
  <c r="A272" i="1"/>
  <c r="I272" i="1" s="1"/>
  <c r="H271" i="1"/>
  <c r="B271" i="1"/>
  <c r="A271" i="1"/>
  <c r="I271" i="1" s="1"/>
  <c r="H270" i="1"/>
  <c r="B270" i="1"/>
  <c r="A270" i="1"/>
  <c r="I270" i="1" s="1"/>
  <c r="H269" i="1"/>
  <c r="B269" i="1"/>
  <c r="A269" i="1"/>
  <c r="I269" i="1" s="1"/>
  <c r="H268" i="1"/>
  <c r="B268" i="1"/>
  <c r="A268" i="1"/>
  <c r="I268" i="1" s="1"/>
  <c r="H267" i="1"/>
  <c r="B267" i="1"/>
  <c r="A267" i="1"/>
  <c r="I267" i="1" s="1"/>
  <c r="H266" i="1"/>
  <c r="B266" i="1"/>
  <c r="A266" i="1"/>
  <c r="I266" i="1" s="1"/>
  <c r="H265" i="1"/>
  <c r="B265" i="1"/>
  <c r="A265" i="1"/>
  <c r="I265" i="1" s="1"/>
  <c r="B264" i="1"/>
  <c r="A264" i="1"/>
  <c r="I264" i="1" s="1"/>
  <c r="H263" i="1"/>
  <c r="B263" i="1"/>
  <c r="A263" i="1"/>
  <c r="I263" i="1" s="1"/>
  <c r="H262" i="1"/>
  <c r="B262" i="1"/>
  <c r="A262" i="1"/>
  <c r="I262" i="1" s="1"/>
  <c r="I261" i="1"/>
  <c r="H261" i="1"/>
  <c r="B261" i="1"/>
  <c r="A261" i="1"/>
  <c r="I260" i="1"/>
  <c r="B260" i="1"/>
  <c r="A260" i="1"/>
  <c r="I259" i="1"/>
  <c r="B259" i="1"/>
  <c r="A259" i="1"/>
  <c r="B258" i="1"/>
  <c r="A258" i="1"/>
  <c r="B257" i="1"/>
  <c r="A257" i="1"/>
  <c r="B256" i="1"/>
  <c r="A256" i="1"/>
  <c r="I255" i="1"/>
  <c r="B255" i="1"/>
  <c r="A255" i="1"/>
  <c r="I254" i="1"/>
  <c r="B254" i="1"/>
  <c r="A254" i="1"/>
  <c r="I253" i="1"/>
  <c r="B253" i="1"/>
  <c r="A253" i="1"/>
  <c r="I252" i="1"/>
  <c r="B252" i="1"/>
  <c r="A252" i="1"/>
  <c r="B251" i="1"/>
  <c r="A251" i="1"/>
  <c r="I250" i="1"/>
  <c r="B250" i="1"/>
  <c r="A250" i="1"/>
  <c r="I249" i="1"/>
  <c r="B249" i="1"/>
  <c r="A249" i="1"/>
  <c r="I248" i="1"/>
  <c r="B248" i="1"/>
  <c r="A248" i="1"/>
  <c r="I247" i="1"/>
  <c r="B247" i="1"/>
  <c r="A247" i="1"/>
  <c r="B246" i="1"/>
  <c r="A246" i="1"/>
  <c r="B245" i="1"/>
  <c r="A245" i="1"/>
  <c r="I244" i="1"/>
  <c r="B244" i="1"/>
  <c r="A244" i="1"/>
  <c r="I243" i="1"/>
  <c r="B243" i="1"/>
  <c r="A243" i="1"/>
  <c r="I242" i="1"/>
  <c r="B242" i="1"/>
  <c r="A242" i="1"/>
  <c r="I241" i="1"/>
  <c r="B241" i="1"/>
  <c r="A241" i="1"/>
  <c r="I240" i="1"/>
  <c r="B240" i="1"/>
  <c r="A240" i="1"/>
  <c r="I239" i="1"/>
  <c r="B239" i="1"/>
  <c r="A239" i="1"/>
  <c r="B238" i="1"/>
  <c r="A238" i="1"/>
  <c r="B237" i="1"/>
  <c r="A237" i="1"/>
  <c r="B236" i="1"/>
  <c r="A236" i="1"/>
  <c r="I235" i="1"/>
  <c r="B235" i="1"/>
  <c r="A235" i="1"/>
  <c r="I234" i="1"/>
  <c r="B234" i="1"/>
  <c r="A234" i="1"/>
  <c r="I233" i="1"/>
  <c r="B233" i="1"/>
  <c r="A233" i="1"/>
  <c r="I232" i="1"/>
  <c r="B232" i="1"/>
  <c r="A232" i="1"/>
  <c r="B231" i="1"/>
  <c r="A231" i="1"/>
  <c r="I230" i="1"/>
  <c r="B230" i="1"/>
  <c r="A230" i="1"/>
  <c r="I229" i="1"/>
  <c r="B229" i="1"/>
  <c r="A229" i="1"/>
  <c r="I228" i="1"/>
  <c r="B228" i="1"/>
  <c r="A228" i="1"/>
  <c r="I227" i="1"/>
  <c r="B227" i="1"/>
  <c r="A227" i="1"/>
  <c r="B226" i="1"/>
  <c r="A226" i="1"/>
  <c r="B225" i="1"/>
  <c r="A225" i="1"/>
  <c r="I224" i="1"/>
  <c r="B224" i="1"/>
  <c r="A224" i="1"/>
  <c r="H223" i="1"/>
  <c r="B223" i="1"/>
  <c r="A223" i="1"/>
  <c r="H222" i="1"/>
  <c r="B222" i="1"/>
  <c r="A222" i="1"/>
  <c r="H221" i="1"/>
  <c r="B221" i="1"/>
  <c r="A221" i="1"/>
  <c r="H220" i="1"/>
  <c r="B220" i="1"/>
  <c r="A220" i="1"/>
  <c r="I219" i="1"/>
  <c r="H219" i="1"/>
  <c r="B219" i="1"/>
  <c r="A219" i="1"/>
  <c r="I218" i="1"/>
  <c r="H218" i="1"/>
  <c r="B218" i="1"/>
  <c r="A218" i="1"/>
  <c r="I217" i="1"/>
  <c r="H217" i="1"/>
  <c r="B217" i="1"/>
  <c r="A217" i="1"/>
  <c r="H216" i="1"/>
  <c r="B216" i="1"/>
  <c r="A216" i="1"/>
  <c r="I215" i="1"/>
  <c r="H215" i="1"/>
  <c r="B215" i="1"/>
  <c r="A215" i="1"/>
  <c r="I214" i="1"/>
  <c r="H214" i="1"/>
  <c r="B214" i="1"/>
  <c r="I213" i="1"/>
  <c r="H213" i="1"/>
  <c r="B213" i="1"/>
  <c r="A213" i="1"/>
  <c r="I212" i="1"/>
  <c r="H212" i="1"/>
  <c r="B212" i="1"/>
  <c r="A212" i="1"/>
  <c r="H211" i="1"/>
  <c r="B211" i="1"/>
  <c r="A211" i="1"/>
  <c r="I210" i="1"/>
  <c r="H210" i="1"/>
  <c r="B210" i="1"/>
  <c r="A210" i="1"/>
  <c r="I209" i="1"/>
  <c r="H209" i="1"/>
  <c r="B209" i="1"/>
  <c r="A209" i="1"/>
  <c r="I208" i="1"/>
  <c r="H208" i="1"/>
  <c r="B208" i="1"/>
  <c r="A208" i="1"/>
  <c r="I207" i="1"/>
  <c r="H207" i="1"/>
  <c r="B207" i="1"/>
  <c r="A207" i="1"/>
  <c r="I206" i="1"/>
  <c r="H206" i="1"/>
  <c r="B206" i="1"/>
  <c r="A206" i="1"/>
  <c r="I205" i="1"/>
  <c r="H205" i="1"/>
  <c r="B205" i="1"/>
  <c r="A205" i="1"/>
  <c r="I204" i="1"/>
  <c r="H204" i="1"/>
  <c r="B204" i="1"/>
  <c r="A204" i="1"/>
  <c r="I203" i="1"/>
  <c r="H203" i="1"/>
  <c r="B203" i="1"/>
  <c r="A203" i="1"/>
  <c r="I202" i="1"/>
  <c r="H202" i="1"/>
  <c r="B202" i="1"/>
  <c r="A202" i="1"/>
  <c r="I201" i="1"/>
  <c r="H201" i="1"/>
  <c r="B201" i="1"/>
  <c r="A201" i="1"/>
  <c r="I200" i="1"/>
  <c r="H200" i="1"/>
  <c r="B200" i="1"/>
  <c r="A200" i="1"/>
  <c r="H199" i="1"/>
  <c r="B199" i="1"/>
  <c r="A199" i="1"/>
  <c r="I198" i="1"/>
  <c r="H198" i="1"/>
  <c r="B198" i="1"/>
  <c r="A198" i="1"/>
  <c r="I197" i="1"/>
  <c r="H197" i="1"/>
  <c r="B197" i="1"/>
  <c r="A197" i="1"/>
  <c r="I196" i="1"/>
  <c r="H196" i="1"/>
  <c r="B196" i="1"/>
  <c r="A196" i="1"/>
  <c r="I195" i="1"/>
  <c r="H195" i="1"/>
  <c r="B195" i="1"/>
  <c r="A195" i="1"/>
  <c r="I194" i="1"/>
  <c r="H194" i="1"/>
  <c r="B194" i="1"/>
  <c r="A194" i="1"/>
  <c r="I193" i="1"/>
  <c r="H193" i="1"/>
  <c r="B193" i="1"/>
  <c r="A193" i="1"/>
  <c r="I192" i="1"/>
  <c r="H192" i="1"/>
  <c r="B192" i="1"/>
  <c r="A192" i="1"/>
  <c r="H191" i="1"/>
  <c r="B191" i="1"/>
  <c r="A191" i="1"/>
  <c r="H190" i="1"/>
  <c r="B190" i="1"/>
  <c r="A190" i="1"/>
  <c r="I189" i="1"/>
  <c r="H189" i="1"/>
  <c r="B189" i="1"/>
  <c r="A189" i="1"/>
  <c r="I188" i="1"/>
  <c r="H188" i="1"/>
  <c r="B188" i="1"/>
  <c r="A188" i="1"/>
  <c r="I187" i="1"/>
  <c r="H187" i="1"/>
  <c r="B187" i="1"/>
  <c r="A187" i="1"/>
  <c r="I186" i="1"/>
  <c r="H186" i="1"/>
  <c r="B186" i="1"/>
  <c r="A186" i="1"/>
  <c r="I185" i="1"/>
  <c r="H185" i="1"/>
  <c r="B185" i="1"/>
  <c r="A185" i="1"/>
  <c r="I184" i="1"/>
  <c r="H184" i="1"/>
  <c r="B184" i="1"/>
  <c r="A184" i="1"/>
  <c r="I183" i="1"/>
  <c r="H183" i="1"/>
  <c r="B183" i="1"/>
  <c r="A183" i="1"/>
  <c r="I182" i="1"/>
  <c r="H182" i="1"/>
  <c r="B182" i="1"/>
  <c r="A182" i="1"/>
  <c r="I181" i="1"/>
  <c r="H181" i="1"/>
  <c r="B181" i="1"/>
  <c r="A181" i="1"/>
  <c r="I180" i="1"/>
  <c r="H180" i="1"/>
  <c r="B180" i="1"/>
  <c r="A180" i="1"/>
  <c r="H179" i="1"/>
  <c r="B179" i="1"/>
  <c r="A179" i="1"/>
  <c r="H178" i="1"/>
  <c r="B178" i="1"/>
  <c r="A178" i="1"/>
  <c r="I177" i="1"/>
  <c r="H177" i="1"/>
  <c r="B177" i="1"/>
  <c r="A177" i="1"/>
  <c r="I176" i="1"/>
  <c r="H176" i="1"/>
  <c r="B176" i="1"/>
  <c r="A176" i="1"/>
  <c r="H175" i="1"/>
  <c r="B175" i="1"/>
  <c r="A175" i="1"/>
  <c r="H174" i="1"/>
  <c r="B174" i="1"/>
  <c r="A174" i="1"/>
  <c r="I173" i="1"/>
  <c r="H173" i="1"/>
  <c r="B173" i="1"/>
  <c r="A173" i="1"/>
  <c r="I172" i="1"/>
  <c r="H172" i="1"/>
  <c r="B172" i="1"/>
  <c r="A172" i="1"/>
  <c r="I171" i="1"/>
  <c r="H171" i="1"/>
  <c r="B171" i="1"/>
  <c r="A171" i="1"/>
  <c r="I170" i="1"/>
  <c r="H170" i="1"/>
  <c r="B170" i="1"/>
  <c r="A170" i="1"/>
  <c r="H169" i="1"/>
  <c r="B169" i="1"/>
  <c r="A169" i="1"/>
  <c r="I168" i="1"/>
  <c r="H168" i="1"/>
  <c r="B168" i="1"/>
  <c r="A168" i="1"/>
  <c r="I167" i="1"/>
  <c r="H167" i="1"/>
  <c r="B167" i="1"/>
  <c r="A167" i="1"/>
  <c r="H166" i="1"/>
  <c r="B166" i="1"/>
  <c r="A166" i="1"/>
  <c r="I166" i="1" s="1"/>
  <c r="H165" i="1"/>
  <c r="B165" i="1"/>
  <c r="A165" i="1"/>
  <c r="H164" i="1"/>
  <c r="B164" i="1"/>
  <c r="H163" i="1"/>
  <c r="B163" i="1"/>
  <c r="A163" i="1"/>
  <c r="I163" i="1" s="1"/>
  <c r="H162" i="1"/>
  <c r="B162" i="1"/>
  <c r="A162" i="1"/>
  <c r="I162" i="1" s="1"/>
  <c r="H161" i="1"/>
  <c r="B161" i="1"/>
  <c r="A161" i="1"/>
  <c r="I161" i="1" s="1"/>
  <c r="H160" i="1"/>
  <c r="B160" i="1"/>
  <c r="A160" i="1"/>
  <c r="H159" i="1"/>
  <c r="B159" i="1"/>
  <c r="A159" i="1"/>
  <c r="H158" i="1"/>
  <c r="B158" i="1"/>
  <c r="A158" i="1"/>
  <c r="I158" i="1" s="1"/>
  <c r="H157" i="1"/>
  <c r="B157" i="1"/>
  <c r="A157" i="1"/>
  <c r="I157" i="1" s="1"/>
  <c r="H156" i="1"/>
  <c r="B156" i="1"/>
  <c r="A156" i="1"/>
  <c r="I156" i="1" s="1"/>
  <c r="I155" i="1"/>
  <c r="H155" i="1"/>
  <c r="B155" i="1"/>
  <c r="H154" i="1"/>
  <c r="B154" i="1"/>
  <c r="A154" i="1"/>
  <c r="I154" i="1" s="1"/>
  <c r="H153" i="1"/>
  <c r="B153" i="1"/>
  <c r="A153" i="1"/>
  <c r="H152" i="1"/>
  <c r="B152" i="1"/>
  <c r="A152" i="1"/>
  <c r="I152" i="1" s="1"/>
  <c r="I151" i="1"/>
  <c r="H151" i="1"/>
  <c r="B151" i="1"/>
  <c r="A151" i="1"/>
  <c r="I150" i="1"/>
  <c r="B150" i="1"/>
  <c r="A150" i="1"/>
  <c r="I149" i="1"/>
  <c r="B149" i="1"/>
  <c r="A149" i="1"/>
  <c r="B148" i="1"/>
  <c r="A148" i="1"/>
  <c r="I147" i="1"/>
  <c r="B147" i="1"/>
  <c r="A147" i="1"/>
  <c r="I146" i="1"/>
  <c r="B146" i="1"/>
  <c r="A146" i="1"/>
  <c r="I145" i="1"/>
  <c r="B145" i="1"/>
  <c r="A145" i="1"/>
  <c r="I144" i="1"/>
  <c r="B144" i="1"/>
  <c r="A144" i="1"/>
  <c r="I143" i="1"/>
  <c r="B143" i="1"/>
  <c r="A143" i="1"/>
  <c r="I142" i="1"/>
  <c r="B142" i="1"/>
  <c r="A142" i="1"/>
  <c r="B141" i="1"/>
  <c r="A141" i="1"/>
  <c r="B140" i="1"/>
  <c r="A140" i="1"/>
  <c r="B139" i="1"/>
  <c r="A139" i="1"/>
  <c r="I138" i="1"/>
  <c r="B138" i="1"/>
  <c r="A138" i="1"/>
  <c r="I137" i="1"/>
  <c r="B137" i="1"/>
  <c r="A137" i="1"/>
  <c r="I136" i="1"/>
  <c r="B136" i="1"/>
  <c r="A136" i="1"/>
  <c r="B135" i="1"/>
  <c r="A135" i="1"/>
  <c r="I134" i="1"/>
  <c r="B134" i="1"/>
  <c r="A134" i="1"/>
  <c r="B133" i="1"/>
  <c r="A133" i="1"/>
  <c r="B132" i="1"/>
  <c r="A132" i="1"/>
  <c r="I131" i="1"/>
  <c r="B131" i="1"/>
  <c r="A131" i="1"/>
  <c r="I130" i="1"/>
  <c r="B130" i="1"/>
  <c r="A130" i="1"/>
  <c r="I129" i="1"/>
  <c r="B129" i="1"/>
  <c r="A129" i="1"/>
  <c r="B128" i="1"/>
  <c r="A128" i="1"/>
  <c r="I127" i="1"/>
  <c r="B127" i="1"/>
  <c r="A127" i="1"/>
  <c r="I126" i="1"/>
  <c r="B126" i="1"/>
  <c r="A126" i="1"/>
  <c r="I125" i="1"/>
  <c r="B125" i="1"/>
  <c r="A125" i="1"/>
  <c r="B124" i="1"/>
  <c r="A124" i="1"/>
  <c r="I123" i="1"/>
  <c r="B123" i="1"/>
  <c r="A123" i="1"/>
  <c r="I122" i="1"/>
  <c r="B122" i="1"/>
  <c r="A122" i="1"/>
  <c r="B121" i="1"/>
  <c r="A121" i="1"/>
  <c r="I120" i="1"/>
  <c r="B120" i="1"/>
  <c r="A120" i="1"/>
  <c r="I119" i="1"/>
  <c r="B119" i="1"/>
  <c r="A119" i="1"/>
  <c r="I118" i="1"/>
  <c r="H118" i="1"/>
  <c r="B118" i="1"/>
  <c r="A118" i="1"/>
  <c r="I117" i="1"/>
  <c r="H117" i="1"/>
  <c r="B117" i="1"/>
  <c r="A117" i="1"/>
  <c r="H116" i="1"/>
  <c r="B116" i="1"/>
  <c r="A116" i="1"/>
  <c r="I115" i="1"/>
  <c r="H115" i="1"/>
  <c r="B115" i="1"/>
  <c r="A115" i="1"/>
  <c r="I114" i="1"/>
  <c r="H114" i="1"/>
  <c r="B114" i="1"/>
  <c r="A114" i="1"/>
  <c r="H113" i="1"/>
  <c r="B113" i="1"/>
  <c r="A113" i="1"/>
  <c r="I112" i="1"/>
  <c r="H112" i="1"/>
  <c r="B112" i="1"/>
  <c r="A112" i="1"/>
  <c r="I111" i="1"/>
  <c r="H111" i="1"/>
  <c r="B111" i="1"/>
  <c r="A111" i="1"/>
  <c r="I110" i="1"/>
  <c r="H110" i="1"/>
  <c r="B110" i="1"/>
  <c r="A110" i="1"/>
  <c r="I109" i="1"/>
  <c r="H109" i="1"/>
  <c r="B109" i="1"/>
  <c r="A109" i="1"/>
  <c r="I108" i="1"/>
  <c r="H108" i="1"/>
  <c r="B108" i="1"/>
  <c r="A108" i="1"/>
  <c r="I107" i="1"/>
  <c r="H107" i="1"/>
  <c r="B107" i="1"/>
  <c r="A107" i="1"/>
  <c r="I106" i="1"/>
  <c r="H106" i="1"/>
  <c r="B106" i="1"/>
  <c r="A106" i="1"/>
  <c r="I105" i="1"/>
  <c r="H105" i="1"/>
  <c r="B105" i="1"/>
  <c r="A105" i="1"/>
  <c r="I104" i="1"/>
  <c r="H104" i="1"/>
  <c r="B104" i="1"/>
  <c r="A104" i="1"/>
  <c r="I103" i="1"/>
  <c r="H103" i="1"/>
  <c r="B103" i="1"/>
  <c r="A103" i="1"/>
  <c r="I102" i="1"/>
  <c r="H102" i="1"/>
  <c r="B102" i="1"/>
  <c r="A102" i="1"/>
  <c r="I101" i="1"/>
  <c r="H101" i="1"/>
  <c r="B101" i="1"/>
  <c r="A101" i="1"/>
  <c r="I100" i="1"/>
  <c r="H100" i="1"/>
  <c r="B100" i="1"/>
  <c r="A100" i="1"/>
  <c r="I99" i="1"/>
  <c r="H99" i="1"/>
  <c r="B99" i="1"/>
  <c r="A99" i="1"/>
  <c r="I98" i="1"/>
  <c r="H98" i="1"/>
  <c r="B98" i="1"/>
  <c r="A98" i="1"/>
  <c r="I97" i="1"/>
  <c r="H97" i="1"/>
  <c r="B97" i="1"/>
  <c r="A97" i="1"/>
  <c r="I96" i="1"/>
  <c r="H96" i="1"/>
  <c r="B96" i="1"/>
  <c r="A96" i="1"/>
  <c r="I95" i="1"/>
  <c r="H95" i="1"/>
  <c r="B95" i="1"/>
  <c r="A95" i="1"/>
  <c r="I94" i="1"/>
  <c r="H94" i="1"/>
  <c r="B94" i="1"/>
  <c r="A94" i="1"/>
  <c r="I93" i="1"/>
  <c r="H93" i="1"/>
  <c r="B93" i="1"/>
  <c r="A93" i="1"/>
  <c r="I92" i="1"/>
  <c r="H92" i="1"/>
  <c r="B92" i="1"/>
  <c r="A92" i="1"/>
  <c r="I91" i="1"/>
  <c r="H91" i="1"/>
  <c r="B91" i="1"/>
  <c r="A91" i="1"/>
  <c r="I90" i="1"/>
  <c r="H90" i="1"/>
  <c r="B90" i="1"/>
  <c r="A90" i="1"/>
  <c r="I89" i="1"/>
  <c r="H89" i="1"/>
  <c r="B89" i="1"/>
  <c r="A89" i="1"/>
  <c r="I88" i="1"/>
  <c r="H88" i="1"/>
  <c r="B88" i="1"/>
  <c r="A88" i="1"/>
  <c r="I87" i="1"/>
  <c r="H87" i="1"/>
  <c r="B87" i="1"/>
  <c r="A87" i="1"/>
  <c r="I86" i="1"/>
  <c r="H86" i="1"/>
  <c r="B86" i="1"/>
  <c r="A86" i="1"/>
  <c r="H85" i="1"/>
  <c r="B85" i="1"/>
  <c r="A85" i="1"/>
  <c r="H84" i="1"/>
  <c r="B84" i="1"/>
  <c r="A84" i="1"/>
  <c r="H83" i="1"/>
  <c r="B83" i="1"/>
  <c r="A83" i="1"/>
  <c r="H82" i="1"/>
  <c r="B82" i="1"/>
  <c r="A82" i="1"/>
  <c r="I81" i="1"/>
  <c r="H81" i="1"/>
  <c r="B81" i="1"/>
  <c r="A81" i="1"/>
  <c r="I80" i="1"/>
  <c r="H80" i="1"/>
  <c r="B80" i="1"/>
  <c r="A80" i="1"/>
  <c r="I79" i="1"/>
  <c r="H79" i="1"/>
  <c r="B79" i="1"/>
  <c r="A79" i="1"/>
  <c r="I78" i="1"/>
  <c r="H78" i="1"/>
  <c r="B78" i="1"/>
  <c r="A78" i="1"/>
  <c r="I77" i="1"/>
  <c r="H77" i="1"/>
  <c r="B77" i="1"/>
  <c r="A77" i="1"/>
  <c r="I76" i="1"/>
  <c r="H76" i="1"/>
  <c r="B76" i="1"/>
  <c r="A76" i="1"/>
  <c r="I75" i="1"/>
  <c r="H75" i="1"/>
  <c r="B75" i="1"/>
  <c r="A75" i="1"/>
  <c r="I74" i="1"/>
  <c r="H74" i="1"/>
  <c r="B74" i="1"/>
  <c r="A74" i="1"/>
  <c r="I73" i="1"/>
  <c r="H73" i="1"/>
  <c r="B73" i="1"/>
  <c r="A73" i="1"/>
  <c r="I72" i="1"/>
  <c r="H72" i="1"/>
  <c r="B72" i="1"/>
  <c r="A72" i="1"/>
  <c r="H71" i="1"/>
  <c r="B71" i="1"/>
  <c r="A71" i="1"/>
  <c r="H70" i="1"/>
  <c r="B70" i="1"/>
  <c r="A70" i="1"/>
  <c r="I69" i="1"/>
  <c r="H69" i="1"/>
  <c r="B69" i="1"/>
  <c r="A69" i="1"/>
  <c r="I68" i="1"/>
  <c r="H68" i="1"/>
  <c r="B68" i="1"/>
  <c r="A68" i="1"/>
  <c r="I67" i="1"/>
  <c r="H67" i="1"/>
  <c r="B67" i="1"/>
  <c r="A67" i="1"/>
  <c r="I66" i="1"/>
  <c r="H66" i="1"/>
  <c r="B66" i="1"/>
  <c r="B65" i="1"/>
  <c r="A65" i="1"/>
  <c r="I64" i="1"/>
  <c r="B64" i="1"/>
  <c r="A64" i="1"/>
  <c r="B63" i="1"/>
  <c r="A63" i="1"/>
  <c r="I62" i="1"/>
  <c r="B62" i="1"/>
  <c r="A62" i="1"/>
  <c r="B61" i="1"/>
  <c r="A61" i="1"/>
  <c r="I57" i="1"/>
  <c r="H57" i="1"/>
  <c r="B57" i="1"/>
  <c r="A57" i="1"/>
  <c r="H56" i="1"/>
  <c r="B56" i="1"/>
  <c r="A56" i="1"/>
  <c r="H55" i="1"/>
  <c r="B55" i="1"/>
  <c r="A55" i="1"/>
  <c r="I54" i="1"/>
  <c r="H54" i="1"/>
  <c r="B54" i="1"/>
  <c r="A54" i="1"/>
  <c r="I53" i="1"/>
  <c r="H53" i="1"/>
  <c r="B53" i="1"/>
  <c r="A53" i="1"/>
  <c r="I52" i="1"/>
  <c r="H52" i="1"/>
  <c r="B52" i="1"/>
  <c r="A52" i="1"/>
  <c r="I51" i="1"/>
  <c r="H51" i="1"/>
  <c r="B51" i="1"/>
  <c r="A51" i="1"/>
  <c r="I50" i="1"/>
  <c r="H50" i="1"/>
  <c r="B50" i="1"/>
  <c r="A50" i="1"/>
  <c r="I49" i="1"/>
  <c r="H49" i="1"/>
  <c r="B49" i="1"/>
  <c r="A49" i="1"/>
  <c r="H48" i="1"/>
  <c r="B48" i="1"/>
  <c r="A48" i="1"/>
  <c r="H47" i="1"/>
  <c r="B47" i="1"/>
  <c r="A47" i="1"/>
  <c r="H46" i="1"/>
  <c r="B46" i="1"/>
  <c r="A46" i="1"/>
  <c r="I45" i="1"/>
  <c r="H45" i="1"/>
  <c r="B45" i="1"/>
  <c r="A45" i="1"/>
  <c r="H44" i="1"/>
  <c r="B44" i="1"/>
  <c r="A44" i="1"/>
  <c r="I44" i="1" s="1"/>
  <c r="H43" i="1"/>
  <c r="B43" i="1"/>
  <c r="A43" i="1"/>
  <c r="I43" i="1" s="1"/>
  <c r="H42" i="1"/>
  <c r="B42" i="1"/>
  <c r="A42" i="1"/>
  <c r="I42" i="1" s="1"/>
  <c r="H41" i="1"/>
  <c r="A41" i="1"/>
  <c r="H40" i="1"/>
  <c r="A40" i="1"/>
  <c r="I40" i="1" s="1"/>
  <c r="H39" i="1"/>
  <c r="A39" i="1"/>
  <c r="I39" i="1" s="1"/>
  <c r="P38" i="1"/>
  <c r="I38" i="1"/>
  <c r="H38" i="1"/>
  <c r="B38" i="1"/>
  <c r="A38" i="1"/>
  <c r="P37" i="1"/>
  <c r="P36" i="1" s="1"/>
  <c r="B36" i="1" s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H27" i="1"/>
  <c r="A27" i="1"/>
  <c r="I26" i="1"/>
  <c r="H26" i="1"/>
  <c r="A26" i="1"/>
  <c r="I25" i="1"/>
  <c r="H25" i="1"/>
  <c r="A25" i="1"/>
  <c r="H24" i="1"/>
  <c r="A24" i="1"/>
  <c r="I23" i="1"/>
  <c r="H23" i="1"/>
  <c r="A23" i="1"/>
  <c r="H22" i="1"/>
  <c r="A22" i="1"/>
  <c r="I21" i="1"/>
  <c r="H21" i="1"/>
  <c r="A21" i="1"/>
  <c r="I20" i="1"/>
  <c r="H20" i="1"/>
  <c r="A20" i="1"/>
  <c r="I19" i="1"/>
  <c r="H19" i="1"/>
  <c r="A19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H12" i="1"/>
  <c r="A12" i="1"/>
  <c r="H11" i="1"/>
  <c r="A11" i="1"/>
  <c r="I10" i="1"/>
  <c r="H10" i="1"/>
  <c r="A10" i="1"/>
  <c r="H9" i="1"/>
  <c r="A9" i="1"/>
  <c r="H8" i="1"/>
  <c r="A8" i="1"/>
  <c r="I7" i="1"/>
  <c r="H7" i="1"/>
  <c r="A7" i="1"/>
  <c r="I6" i="1"/>
  <c r="H6" i="1"/>
  <c r="A6" i="1"/>
  <c r="I5" i="1"/>
  <c r="H5" i="1"/>
  <c r="B5" i="1"/>
  <c r="A5" i="1"/>
  <c r="I4" i="1"/>
  <c r="H4" i="1"/>
  <c r="B4" i="1"/>
  <c r="A4" i="1"/>
  <c r="A13" i="2" l="1"/>
  <c r="F14" i="2"/>
  <c r="A15" i="2"/>
  <c r="G14" i="2"/>
  <c r="F15" i="2"/>
  <c r="E15" i="2"/>
  <c r="D15" i="2"/>
  <c r="C15" i="2"/>
  <c r="B15" i="2"/>
  <c r="E14" i="2"/>
  <c r="D14" i="2"/>
  <c r="C14" i="2"/>
  <c r="B14" i="2"/>
  <c r="C11" i="2"/>
  <c r="F13" i="2"/>
  <c r="A14" i="2"/>
  <c r="D11" i="2"/>
  <c r="E8" i="2"/>
  <c r="E13" i="2"/>
  <c r="G13" i="2"/>
  <c r="D8" i="2"/>
  <c r="D13" i="2"/>
  <c r="F5" i="2"/>
  <c r="C13" i="2"/>
  <c r="E5" i="2"/>
  <c r="B13" i="2"/>
  <c r="G15" i="2"/>
  <c r="A3" i="2"/>
  <c r="B11" i="2"/>
  <c r="C8" i="2"/>
  <c r="D5" i="2"/>
  <c r="A2" i="2"/>
  <c r="A11" i="2"/>
  <c r="B8" i="2"/>
  <c r="C5" i="2"/>
  <c r="B2" i="2"/>
  <c r="G10" i="2"/>
  <c r="A8" i="2"/>
  <c r="B5" i="2"/>
  <c r="F10" i="2"/>
  <c r="F7" i="2"/>
  <c r="G2" i="2"/>
  <c r="B10" i="2"/>
  <c r="C7" i="2"/>
  <c r="D4" i="2"/>
  <c r="G12" i="2"/>
  <c r="A10" i="2"/>
  <c r="B7" i="2"/>
  <c r="C4" i="2"/>
  <c r="E7" i="2"/>
  <c r="F12" i="2"/>
  <c r="G9" i="2"/>
  <c r="A7" i="2"/>
  <c r="B4" i="2"/>
  <c r="F2" i="2"/>
  <c r="E12" i="2"/>
  <c r="A4" i="2"/>
  <c r="D12" i="2"/>
  <c r="E9" i="2"/>
  <c r="F6" i="2"/>
  <c r="G3" i="2"/>
  <c r="C2" i="2"/>
  <c r="G4" i="2"/>
  <c r="E2" i="2"/>
  <c r="C10" i="2"/>
  <c r="G6" i="2"/>
  <c r="C12" i="2"/>
  <c r="D9" i="2"/>
  <c r="E6" i="2"/>
  <c r="F3" i="2"/>
  <c r="F9" i="2"/>
  <c r="B12" i="2"/>
  <c r="C9" i="2"/>
  <c r="D6" i="2"/>
  <c r="E3" i="2"/>
  <c r="A12" i="2"/>
  <c r="B9" i="2"/>
  <c r="C6" i="2"/>
  <c r="D3" i="2"/>
  <c r="G11" i="2"/>
  <c r="A9" i="2"/>
  <c r="B6" i="2"/>
  <c r="C3" i="2"/>
  <c r="A5" i="2"/>
  <c r="D2" i="2"/>
  <c r="D10" i="2"/>
  <c r="D7" i="2"/>
  <c r="F11" i="2"/>
  <c r="G8" i="2"/>
  <c r="A6" i="2"/>
  <c r="B3" i="2"/>
  <c r="G7" i="2"/>
  <c r="E10" i="2"/>
  <c r="F4" i="2"/>
  <c r="E4" i="2"/>
  <c r="E11" i="2"/>
  <c r="F8" i="2"/>
  <c r="G5" i="2"/>
  <c r="F13" i="3"/>
  <c r="G80" i="3"/>
  <c r="I160" i="1"/>
  <c r="E133" i="4"/>
  <c r="P35" i="1"/>
  <c r="B35" i="1" s="1"/>
  <c r="E153" i="4"/>
  <c r="I159" i="1"/>
  <c r="F80" i="3"/>
  <c r="I165" i="1"/>
  <c r="I41" i="1"/>
  <c r="E190" i="4"/>
  <c r="F296" i="3"/>
  <c r="E296" i="3"/>
  <c r="F3" i="3"/>
  <c r="F35" i="3"/>
  <c r="F68" i="3"/>
  <c r="F93" i="3"/>
  <c r="E128" i="3"/>
  <c r="D21" i="4"/>
  <c r="D153" i="4"/>
  <c r="E93" i="3"/>
  <c r="G3" i="3"/>
  <c r="F19" i="3"/>
  <c r="E52" i="3"/>
  <c r="E111" i="3"/>
  <c r="F128" i="3"/>
  <c r="E227" i="3"/>
  <c r="F254" i="3"/>
  <c r="D163" i="4"/>
  <c r="D84" i="4"/>
  <c r="D162" i="4"/>
  <c r="G19" i="3"/>
  <c r="G52" i="3"/>
  <c r="G69" i="3"/>
  <c r="F111" i="3"/>
  <c r="E202" i="3"/>
  <c r="E246" i="3"/>
  <c r="F282" i="3"/>
  <c r="D181" i="4"/>
  <c r="I61" i="1"/>
  <c r="I190" i="1"/>
  <c r="F167" i="3"/>
  <c r="G86" i="3"/>
  <c r="F246" i="3"/>
  <c r="D133" i="4"/>
  <c r="E181" i="4"/>
  <c r="G47" i="3"/>
  <c r="E180" i="3"/>
  <c r="F267" i="3"/>
  <c r="E84" i="4"/>
  <c r="D171" i="4"/>
  <c r="G30" i="3"/>
  <c r="D172" i="4"/>
  <c r="F81" i="3"/>
  <c r="G215" i="3"/>
  <c r="D124" i="4"/>
  <c r="E9" i="3"/>
  <c r="F135" i="3"/>
  <c r="E174" i="3"/>
  <c r="D72" i="4"/>
  <c r="D142" i="4"/>
  <c r="D190" i="4"/>
  <c r="E186" i="3"/>
  <c r="E220" i="3"/>
  <c r="F104" i="3"/>
  <c r="E11" i="4"/>
  <c r="E14" i="3"/>
  <c r="F63" i="3"/>
  <c r="G122" i="3"/>
  <c r="G179" i="3"/>
  <c r="F239" i="3"/>
  <c r="F196" i="3"/>
  <c r="G14" i="3"/>
  <c r="E105" i="3"/>
  <c r="F142" i="3"/>
  <c r="E276" i="3"/>
  <c r="D13" i="4"/>
  <c r="E64" i="3"/>
  <c r="F98" i="3"/>
  <c r="G115" i="3"/>
  <c r="F180" i="3"/>
  <c r="E197" i="3"/>
  <c r="F304" i="3"/>
  <c r="D123" i="4"/>
  <c r="E40" i="3"/>
  <c r="E81" i="3"/>
  <c r="F232" i="3"/>
  <c r="D85" i="4"/>
  <c r="G15" i="3"/>
  <c r="G116" i="3"/>
  <c r="F9" i="3"/>
  <c r="E25" i="3"/>
  <c r="F41" i="3"/>
  <c r="F58" i="3"/>
  <c r="E75" i="3"/>
  <c r="E191" i="3"/>
  <c r="D55" i="4"/>
  <c r="E72" i="4"/>
  <c r="E142" i="4"/>
  <c r="D183" i="4"/>
  <c r="F14" i="3"/>
  <c r="D195" i="4"/>
  <c r="E155" i="4"/>
  <c r="D184" i="4"/>
  <c r="F76" i="3"/>
  <c r="F31" i="3"/>
  <c r="D136" i="4"/>
  <c r="E24" i="4"/>
  <c r="E14" i="4"/>
  <c r="E306" i="3"/>
  <c r="F277" i="3"/>
  <c r="G187" i="3"/>
  <c r="F169" i="3"/>
  <c r="F153" i="3"/>
  <c r="F137" i="3"/>
  <c r="F129" i="3"/>
  <c r="E124" i="3"/>
  <c r="E112" i="3"/>
  <c r="G100" i="3"/>
  <c r="E89" i="3"/>
  <c r="G76" i="3"/>
  <c r="F71" i="3"/>
  <c r="F15" i="3"/>
  <c r="E126" i="4"/>
  <c r="F291" i="3"/>
  <c r="F284" i="3"/>
  <c r="D165" i="4"/>
  <c r="F241" i="3"/>
  <c r="F210" i="3"/>
  <c r="E256" i="3"/>
  <c r="F216" i="3"/>
  <c r="E199" i="3"/>
  <c r="G59" i="3"/>
  <c r="E54" i="3"/>
  <c r="G42" i="3"/>
  <c r="F37" i="3"/>
  <c r="E74" i="4"/>
  <c r="D14" i="4"/>
  <c r="F234" i="3"/>
  <c r="E222" i="3"/>
  <c r="F187" i="3"/>
  <c r="E129" i="3"/>
  <c r="G117" i="3"/>
  <c r="F100" i="3"/>
  <c r="F59" i="3"/>
  <c r="G48" i="3"/>
  <c r="F42" i="3"/>
  <c r="F136" i="3"/>
  <c r="E117" i="3"/>
  <c r="E10" i="3"/>
  <c r="E216" i="3"/>
  <c r="D192" i="4"/>
  <c r="E183" i="4"/>
  <c r="D135" i="4"/>
  <c r="D22" i="4"/>
  <c r="E13" i="4"/>
  <c r="F276" i="3"/>
  <c r="F269" i="3"/>
  <c r="F227" i="3"/>
  <c r="E204" i="3"/>
  <c r="E192" i="3"/>
  <c r="E194" i="4"/>
  <c r="D155" i="4"/>
  <c r="E184" i="4"/>
  <c r="D175" i="4"/>
  <c r="F25" i="3"/>
  <c r="G41" i="3"/>
  <c r="G58" i="3"/>
  <c r="F75" i="3"/>
  <c r="F191" i="3"/>
  <c r="E261" i="3"/>
  <c r="F297" i="3"/>
  <c r="E55" i="4"/>
  <c r="E104" i="3"/>
  <c r="F220" i="3"/>
  <c r="D11" i="4"/>
  <c r="G104" i="3"/>
  <c r="F122" i="3"/>
  <c r="F150" i="3"/>
  <c r="F247" i="3"/>
  <c r="F30" i="3"/>
  <c r="E201" i="4"/>
  <c r="E215" i="3"/>
  <c r="F215" i="3"/>
  <c r="G2" i="3"/>
  <c r="G75" i="3"/>
  <c r="E175" i="3"/>
  <c r="G191" i="3"/>
  <c r="E209" i="3"/>
  <c r="F261" i="3"/>
  <c r="F289" i="3"/>
  <c r="D20" i="4"/>
  <c r="E73" i="4"/>
  <c r="D143" i="4"/>
  <c r="D191" i="4"/>
  <c r="G63" i="3"/>
  <c r="D201" i="4"/>
  <c r="I83" i="1"/>
  <c r="I63" i="1"/>
  <c r="G18" i="3"/>
  <c r="F175" i="3"/>
  <c r="F209" i="3"/>
  <c r="E226" i="3"/>
  <c r="E20" i="4"/>
  <c r="F140" i="3"/>
  <c r="F148" i="3"/>
  <c r="E178" i="3"/>
  <c r="E224" i="3"/>
  <c r="F244" i="3"/>
  <c r="F251" i="3"/>
  <c r="F294" i="3"/>
  <c r="F301" i="3"/>
  <c r="D18" i="4"/>
  <c r="E129" i="4"/>
  <c r="D188" i="4"/>
  <c r="D197" i="4"/>
  <c r="E39" i="3"/>
  <c r="G67" i="3"/>
  <c r="G73" i="3"/>
  <c r="F79" i="3"/>
  <c r="G120" i="3"/>
  <c r="F156" i="3"/>
  <c r="F164" i="3"/>
  <c r="F195" i="3"/>
  <c r="E201" i="3"/>
  <c r="E219" i="3"/>
  <c r="F224" i="3"/>
  <c r="F237" i="3"/>
  <c r="E266" i="3"/>
  <c r="F287" i="3"/>
  <c r="E18" i="4"/>
  <c r="D140" i="4"/>
  <c r="D149" i="4"/>
  <c r="E169" i="4"/>
  <c r="E178" i="4"/>
  <c r="E188" i="4"/>
  <c r="E197" i="4"/>
  <c r="G6" i="3"/>
  <c r="F17" i="3"/>
  <c r="G55" i="3"/>
  <c r="F67" i="3"/>
  <c r="E73" i="3"/>
  <c r="G90" i="3"/>
  <c r="G108" i="3"/>
  <c r="E230" i="3"/>
  <c r="F34" i="3"/>
  <c r="F39" i="3"/>
  <c r="G45" i="3"/>
  <c r="F62" i="3"/>
  <c r="G79" i="3"/>
  <c r="E103" i="3"/>
  <c r="F126" i="3"/>
  <c r="F133" i="3"/>
  <c r="E184" i="3"/>
  <c r="E190" i="3"/>
  <c r="F201" i="3"/>
  <c r="E207" i="3"/>
  <c r="F219" i="3"/>
  <c r="F259" i="3"/>
  <c r="F266" i="3"/>
  <c r="E130" i="4"/>
  <c r="E140" i="4"/>
  <c r="E149" i="4"/>
  <c r="D194" i="4"/>
  <c r="E2" i="3"/>
  <c r="F7" i="3"/>
  <c r="E18" i="3"/>
  <c r="F23" i="3"/>
  <c r="F29" i="3"/>
  <c r="G34" i="3"/>
  <c r="F51" i="3"/>
  <c r="G62" i="3"/>
  <c r="E91" i="3"/>
  <c r="F109" i="3"/>
  <c r="E115" i="3"/>
  <c r="G126" i="3"/>
  <c r="F141" i="3"/>
  <c r="F149" i="3"/>
  <c r="E179" i="3"/>
  <c r="F184" i="3"/>
  <c r="G219" i="3"/>
  <c r="E231" i="3"/>
  <c r="F252" i="3"/>
  <c r="E281" i="3"/>
  <c r="F302" i="3"/>
  <c r="E19" i="4"/>
  <c r="E52" i="4"/>
  <c r="D160" i="4"/>
  <c r="D170" i="4"/>
  <c r="E189" i="4"/>
  <c r="E198" i="4"/>
  <c r="G22" i="3"/>
  <c r="E195" i="3"/>
  <c r="F2" i="3"/>
  <c r="G7" i="3"/>
  <c r="F18" i="3"/>
  <c r="G23" i="3"/>
  <c r="G29" i="3"/>
  <c r="G51" i="3"/>
  <c r="E68" i="3"/>
  <c r="E86" i="3"/>
  <c r="G91" i="3"/>
  <c r="G109" i="3"/>
  <c r="F115" i="3"/>
  <c r="F121" i="3"/>
  <c r="F157" i="3"/>
  <c r="F179" i="3"/>
  <c r="E196" i="3"/>
  <c r="E214" i="3"/>
  <c r="F231" i="3"/>
  <c r="F274" i="3"/>
  <c r="F281" i="3"/>
  <c r="E141" i="4"/>
  <c r="E150" i="4"/>
  <c r="E160" i="4"/>
  <c r="E170" i="4"/>
  <c r="E31" i="3"/>
  <c r="F48" i="3"/>
  <c r="F64" i="3"/>
  <c r="G93" i="3"/>
  <c r="E100" i="3"/>
  <c r="F105" i="3"/>
  <c r="F117" i="3"/>
  <c r="F160" i="3"/>
  <c r="G175" i="3"/>
  <c r="E187" i="3"/>
  <c r="F192" i="3"/>
  <c r="F204" i="3"/>
  <c r="E210" i="3"/>
  <c r="G227" i="3"/>
  <c r="E241" i="3"/>
  <c r="F262" i="3"/>
  <c r="E291" i="3"/>
  <c r="D74" i="4"/>
  <c r="E135" i="4"/>
  <c r="D144" i="4"/>
  <c r="D164" i="4"/>
  <c r="E174" i="4"/>
  <c r="E5" i="3"/>
  <c r="F124" i="3"/>
  <c r="G129" i="3"/>
  <c r="F161" i="3"/>
  <c r="E176" i="3"/>
  <c r="E182" i="3"/>
  <c r="I153" i="1"/>
  <c r="F5" i="3"/>
  <c r="G10" i="3"/>
  <c r="F21" i="3"/>
  <c r="E32" i="3"/>
  <c r="G54" i="3"/>
  <c r="F83" i="3"/>
  <c r="G89" i="3"/>
  <c r="F94" i="3"/>
  <c r="E118" i="3"/>
  <c r="F146" i="3"/>
  <c r="F176" i="3"/>
  <c r="F205" i="3"/>
  <c r="E211" i="3"/>
  <c r="E223" i="3"/>
  <c r="F228" i="3"/>
  <c r="F242" i="3"/>
  <c r="E271" i="3"/>
  <c r="F292" i="3"/>
  <c r="D15" i="4"/>
  <c r="D25" i="4"/>
  <c r="D156" i="4"/>
  <c r="D176" i="4"/>
  <c r="D185" i="4"/>
  <c r="F10" i="3"/>
  <c r="E21" i="3"/>
  <c r="G26" i="3"/>
  <c r="G37" i="3"/>
  <c r="F54" i="3"/>
  <c r="F89" i="3"/>
  <c r="F112" i="3"/>
  <c r="F199" i="3"/>
  <c r="E205" i="3"/>
  <c r="E228" i="3"/>
  <c r="F249" i="3"/>
  <c r="F256" i="3"/>
  <c r="F299" i="3"/>
  <c r="F306" i="3"/>
  <c r="D75" i="4"/>
  <c r="D127" i="4"/>
  <c r="E136" i="4"/>
  <c r="E146" i="4"/>
  <c r="E165" i="4"/>
  <c r="E192" i="4"/>
  <c r="D179" i="4"/>
  <c r="E144" i="4"/>
  <c r="E124" i="4"/>
  <c r="F202" i="3"/>
  <c r="G184" i="3"/>
  <c r="F118" i="3"/>
  <c r="G105" i="3"/>
  <c r="E78" i="3"/>
  <c r="E61" i="3"/>
  <c r="E57" i="3"/>
  <c r="D199" i="4"/>
  <c r="E172" i="4"/>
  <c r="D151" i="4"/>
  <c r="D131" i="4"/>
  <c r="E76" i="4"/>
  <c r="D53" i="4"/>
  <c r="E22" i="4"/>
  <c r="G228" i="3"/>
  <c r="G224" i="3"/>
  <c r="G220" i="3"/>
  <c r="G216" i="3"/>
  <c r="F212" i="3"/>
  <c r="F207" i="3"/>
  <c r="F197" i="3"/>
  <c r="G192" i="3"/>
  <c r="G188" i="3"/>
  <c r="G180" i="3"/>
  <c r="G176" i="3"/>
  <c r="F144" i="3"/>
  <c r="G101" i="3"/>
  <c r="E82" i="3"/>
  <c r="E44" i="3"/>
  <c r="B37" i="1"/>
  <c r="E83" i="3" s="1"/>
  <c r="E60" i="3"/>
  <c r="F66" i="3"/>
  <c r="G83" i="3"/>
  <c r="G94" i="3"/>
  <c r="E101" i="3"/>
  <c r="E107" i="3"/>
  <c r="F162" i="3"/>
  <c r="F170" i="3"/>
  <c r="E188" i="3"/>
  <c r="E194" i="3"/>
  <c r="F211" i="3"/>
  <c r="F223" i="3"/>
  <c r="F264" i="3"/>
  <c r="F271" i="3"/>
  <c r="E15" i="4"/>
  <c r="D76" i="4"/>
  <c r="D128" i="4"/>
  <c r="D137" i="4"/>
  <c r="D147" i="4"/>
  <c r="E156" i="4"/>
  <c r="E176" i="4"/>
  <c r="E185" i="4"/>
  <c r="F38" i="3"/>
  <c r="F43" i="3"/>
  <c r="F60" i="3"/>
  <c r="G66" i="3"/>
  <c r="G72" i="3"/>
  <c r="F101" i="3"/>
  <c r="E113" i="3"/>
  <c r="E125" i="3"/>
  <c r="G130" i="3"/>
  <c r="E183" i="3"/>
  <c r="F188" i="3"/>
  <c r="F194" i="3"/>
  <c r="E200" i="3"/>
  <c r="G223" i="3"/>
  <c r="E236" i="3"/>
  <c r="F257" i="3"/>
  <c r="E286" i="3"/>
  <c r="F307" i="3"/>
  <c r="E128" i="4"/>
  <c r="E137" i="4"/>
  <c r="D196" i="4"/>
  <c r="E6" i="3"/>
  <c r="F11" i="3"/>
  <c r="G27" i="3"/>
  <c r="F33" i="3"/>
  <c r="G38" i="3"/>
  <c r="F50" i="3"/>
  <c r="E55" i="3"/>
  <c r="E90" i="3"/>
  <c r="E108" i="3"/>
  <c r="G113" i="3"/>
  <c r="G119" i="3"/>
  <c r="F125" i="3"/>
  <c r="F155" i="3"/>
  <c r="F163" i="3"/>
  <c r="F183" i="3"/>
  <c r="F200" i="3"/>
  <c r="E206" i="3"/>
  <c r="E218" i="3"/>
  <c r="F236" i="3"/>
  <c r="F279" i="3"/>
  <c r="F286" i="3"/>
  <c r="D148" i="4"/>
  <c r="D157" i="4"/>
  <c r="D168" i="4"/>
  <c r="D177" i="4"/>
  <c r="E196" i="4"/>
  <c r="F6" i="3"/>
  <c r="G11" i="3"/>
  <c r="E17" i="3"/>
  <c r="F22" i="3"/>
  <c r="G33" i="3"/>
  <c r="G50" i="3"/>
  <c r="F55" i="3"/>
  <c r="F84" i="3"/>
  <c r="F90" i="3"/>
  <c r="F95" i="3"/>
  <c r="F108" i="3"/>
  <c r="G125" i="3"/>
  <c r="F171" i="3"/>
  <c r="G183" i="3"/>
  <c r="F206" i="3"/>
  <c r="E212" i="3"/>
  <c r="E251" i="3"/>
  <c r="F272" i="3"/>
  <c r="E301" i="3"/>
  <c r="D129" i="4"/>
  <c r="E148" i="4"/>
  <c r="E157" i="4"/>
  <c r="E168" i="4"/>
  <c r="E177" i="4"/>
  <c r="G5" i="3"/>
  <c r="G9" i="3"/>
  <c r="G13" i="3"/>
  <c r="G17" i="3"/>
  <c r="G21" i="3"/>
  <c r="G25" i="3"/>
  <c r="G71" i="3"/>
  <c r="E99" i="3"/>
  <c r="F103" i="3"/>
  <c r="F107" i="3"/>
  <c r="G111" i="3"/>
  <c r="E120" i="3"/>
  <c r="G124" i="3"/>
  <c r="G128" i="3"/>
  <c r="F147" i="3"/>
  <c r="F174" i="3"/>
  <c r="F178" i="3"/>
  <c r="F182" i="3"/>
  <c r="F186" i="3"/>
  <c r="F190" i="3"/>
  <c r="F214" i="3"/>
  <c r="F218" i="3"/>
  <c r="F222" i="3"/>
  <c r="F226" i="3"/>
  <c r="F230" i="3"/>
  <c r="E235" i="3"/>
  <c r="E240" i="3"/>
  <c r="E245" i="3"/>
  <c r="E250" i="3"/>
  <c r="E255" i="3"/>
  <c r="E260" i="3"/>
  <c r="E265" i="3"/>
  <c r="E270" i="3"/>
  <c r="E275" i="3"/>
  <c r="E280" i="3"/>
  <c r="E285" i="3"/>
  <c r="E290" i="3"/>
  <c r="E295" i="3"/>
  <c r="E300" i="3"/>
  <c r="E305" i="3"/>
  <c r="D12" i="4"/>
  <c r="E25" i="4"/>
  <c r="D56" i="4"/>
  <c r="D82" i="4"/>
  <c r="E127" i="4"/>
  <c r="D134" i="4"/>
  <c r="E147" i="4"/>
  <c r="D154" i="4"/>
  <c r="E175" i="4"/>
  <c r="D182" i="4"/>
  <c r="E195" i="4"/>
  <c r="D206" i="4"/>
  <c r="E38" i="3"/>
  <c r="E42" i="3"/>
  <c r="G46" i="3"/>
  <c r="E59" i="3"/>
  <c r="E63" i="3"/>
  <c r="E67" i="3"/>
  <c r="E84" i="3"/>
  <c r="F99" i="3"/>
  <c r="G103" i="3"/>
  <c r="G107" i="3"/>
  <c r="F116" i="3"/>
  <c r="F120" i="3"/>
  <c r="F134" i="3"/>
  <c r="F154" i="3"/>
  <c r="F168" i="3"/>
  <c r="G174" i="3"/>
  <c r="G178" i="3"/>
  <c r="G182" i="3"/>
  <c r="G186" i="3"/>
  <c r="G190" i="3"/>
  <c r="G214" i="3"/>
  <c r="G218" i="3"/>
  <c r="G222" i="3"/>
  <c r="G226" i="3"/>
  <c r="G230" i="3"/>
  <c r="F235" i="3"/>
  <c r="F240" i="3"/>
  <c r="F245" i="3"/>
  <c r="F250" i="3"/>
  <c r="F255" i="3"/>
  <c r="F260" i="3"/>
  <c r="F265" i="3"/>
  <c r="F270" i="3"/>
  <c r="F275" i="3"/>
  <c r="F280" i="3"/>
  <c r="F285" i="3"/>
  <c r="F290" i="3"/>
  <c r="F295" i="3"/>
  <c r="F300" i="3"/>
  <c r="F305" i="3"/>
  <c r="E12" i="4"/>
  <c r="D19" i="4"/>
  <c r="E56" i="4"/>
  <c r="D73" i="4"/>
  <c r="E82" i="4"/>
  <c r="E134" i="4"/>
  <c r="D141" i="4"/>
  <c r="E154" i="4"/>
  <c r="D161" i="4"/>
  <c r="D169" i="4"/>
  <c r="E182" i="4"/>
  <c r="D189" i="4"/>
  <c r="E206" i="4"/>
  <c r="E3" i="3"/>
  <c r="E7" i="3"/>
  <c r="E11" i="3"/>
  <c r="E15" i="3"/>
  <c r="E19" i="3"/>
  <c r="F27" i="3"/>
  <c r="G31" i="3"/>
  <c r="G35" i="3"/>
  <c r="G39" i="3"/>
  <c r="G43" i="3"/>
  <c r="E48" i="3"/>
  <c r="F52" i="3"/>
  <c r="G56" i="3"/>
  <c r="G60" i="3"/>
  <c r="G64" i="3"/>
  <c r="G68" i="3"/>
  <c r="F73" i="3"/>
  <c r="G77" i="3"/>
  <c r="G81" i="3"/>
  <c r="F86" i="3"/>
  <c r="F91" i="3"/>
  <c r="E109" i="3"/>
  <c r="F113" i="3"/>
  <c r="E122" i="3"/>
  <c r="E126" i="3"/>
  <c r="F143" i="3"/>
  <c r="E232" i="3"/>
  <c r="E237" i="3"/>
  <c r="E242" i="3"/>
  <c r="E247" i="3"/>
  <c r="E252" i="3"/>
  <c r="E257" i="3"/>
  <c r="E262" i="3"/>
  <c r="E267" i="3"/>
  <c r="E272" i="3"/>
  <c r="E277" i="3"/>
  <c r="E282" i="3"/>
  <c r="E287" i="3"/>
  <c r="E292" i="3"/>
  <c r="E297" i="3"/>
  <c r="E302" i="3"/>
  <c r="E307" i="3"/>
  <c r="E21" i="4"/>
  <c r="D52" i="4"/>
  <c r="E75" i="4"/>
  <c r="E85" i="4"/>
  <c r="E123" i="4"/>
  <c r="D130" i="4"/>
  <c r="E143" i="4"/>
  <c r="D150" i="4"/>
  <c r="E171" i="4"/>
  <c r="D178" i="4"/>
  <c r="E191" i="4"/>
  <c r="D198" i="4"/>
  <c r="F32" i="3"/>
  <c r="F36" i="3"/>
  <c r="F40" i="3"/>
  <c r="G44" i="3"/>
  <c r="F57" i="3"/>
  <c r="F61" i="3"/>
  <c r="F65" i="3"/>
  <c r="F78" i="3"/>
  <c r="F82" i="3"/>
  <c r="E92" i="3"/>
  <c r="E97" i="3"/>
  <c r="E114" i="3"/>
  <c r="G118" i="3"/>
  <c r="E131" i="3"/>
  <c r="F151" i="3"/>
  <c r="F165" i="3"/>
  <c r="E233" i="3"/>
  <c r="E238" i="3"/>
  <c r="E243" i="3"/>
  <c r="E248" i="3"/>
  <c r="E253" i="3"/>
  <c r="E258" i="3"/>
  <c r="E263" i="3"/>
  <c r="E268" i="3"/>
  <c r="E273" i="3"/>
  <c r="E278" i="3"/>
  <c r="E283" i="3"/>
  <c r="E288" i="3"/>
  <c r="E293" i="3"/>
  <c r="E298" i="3"/>
  <c r="E303" i="3"/>
  <c r="D16" i="4"/>
  <c r="E53" i="4"/>
  <c r="E131" i="4"/>
  <c r="D138" i="4"/>
  <c r="E151" i="4"/>
  <c r="D158" i="4"/>
  <c r="D166" i="4"/>
  <c r="E179" i="4"/>
  <c r="D186" i="4"/>
  <c r="E199" i="4"/>
  <c r="E4" i="3"/>
  <c r="E8" i="3"/>
  <c r="E12" i="3"/>
  <c r="E16" i="3"/>
  <c r="E24" i="3"/>
  <c r="G28" i="3"/>
  <c r="G32" i="3"/>
  <c r="G36" i="3"/>
  <c r="G40" i="3"/>
  <c r="E49" i="3"/>
  <c r="F53" i="3"/>
  <c r="G57" i="3"/>
  <c r="G61" i="3"/>
  <c r="G65" i="3"/>
  <c r="F74" i="3"/>
  <c r="G78" i="3"/>
  <c r="G82" i="3"/>
  <c r="F92" i="3"/>
  <c r="F97" i="3"/>
  <c r="E110" i="3"/>
  <c r="F114" i="3"/>
  <c r="E123" i="3"/>
  <c r="E127" i="3"/>
  <c r="F131" i="3"/>
  <c r="F138" i="3"/>
  <c r="F158" i="3"/>
  <c r="F172" i="3"/>
  <c r="F233" i="3"/>
  <c r="F238" i="3"/>
  <c r="F243" i="3"/>
  <c r="F248" i="3"/>
  <c r="F253" i="3"/>
  <c r="F258" i="3"/>
  <c r="F263" i="3"/>
  <c r="F268" i="3"/>
  <c r="F273" i="3"/>
  <c r="F278" i="3"/>
  <c r="F283" i="3"/>
  <c r="F288" i="3"/>
  <c r="F293" i="3"/>
  <c r="F298" i="3"/>
  <c r="F303" i="3"/>
  <c r="E16" i="4"/>
  <c r="D23" i="4"/>
  <c r="D77" i="4"/>
  <c r="D125" i="4"/>
  <c r="E138" i="4"/>
  <c r="D145" i="4"/>
  <c r="E158" i="4"/>
  <c r="E166" i="4"/>
  <c r="D173" i="4"/>
  <c r="E186" i="4"/>
  <c r="D193" i="4"/>
  <c r="F4" i="3"/>
  <c r="F8" i="3"/>
  <c r="F12" i="3"/>
  <c r="F16" i="3"/>
  <c r="F20" i="3"/>
  <c r="F24" i="3"/>
  <c r="G49" i="3"/>
  <c r="G53" i="3"/>
  <c r="F70" i="3"/>
  <c r="G74" i="3"/>
  <c r="G92" i="3"/>
  <c r="E102" i="3"/>
  <c r="E106" i="3"/>
  <c r="F110" i="3"/>
  <c r="G114" i="3"/>
  <c r="F123" i="3"/>
  <c r="F127" i="3"/>
  <c r="G131" i="3"/>
  <c r="F145" i="3"/>
  <c r="E177" i="3"/>
  <c r="E181" i="3"/>
  <c r="E185" i="3"/>
  <c r="E189" i="3"/>
  <c r="E193" i="3"/>
  <c r="E198" i="3"/>
  <c r="E203" i="3"/>
  <c r="E208" i="3"/>
  <c r="E213" i="3"/>
  <c r="E217" i="3"/>
  <c r="E221" i="3"/>
  <c r="E225" i="3"/>
  <c r="E229" i="3"/>
  <c r="E23" i="4"/>
  <c r="D54" i="4"/>
  <c r="E77" i="4"/>
  <c r="E125" i="4"/>
  <c r="D132" i="4"/>
  <c r="E145" i="4"/>
  <c r="D152" i="4"/>
  <c r="E173" i="4"/>
  <c r="D180" i="4"/>
  <c r="E193" i="4"/>
  <c r="D200" i="4"/>
  <c r="G4" i="3"/>
  <c r="G8" i="3"/>
  <c r="G12" i="3"/>
  <c r="G16" i="3"/>
  <c r="G20" i="3"/>
  <c r="G24" i="3"/>
  <c r="E45" i="3"/>
  <c r="G70" i="3"/>
  <c r="F102" i="3"/>
  <c r="F106" i="3"/>
  <c r="G110" i="3"/>
  <c r="E119" i="3"/>
  <c r="G123" i="3"/>
  <c r="G127" i="3"/>
  <c r="F152" i="3"/>
  <c r="F166" i="3"/>
  <c r="F177" i="3"/>
  <c r="F181" i="3"/>
  <c r="F185" i="3"/>
  <c r="F189" i="3"/>
  <c r="F193" i="3"/>
  <c r="F198" i="3"/>
  <c r="F203" i="3"/>
  <c r="F208" i="3"/>
  <c r="F213" i="3"/>
  <c r="F217" i="3"/>
  <c r="F221" i="3"/>
  <c r="F225" i="3"/>
  <c r="F229" i="3"/>
  <c r="D17" i="4"/>
  <c r="E54" i="4"/>
  <c r="E132" i="4"/>
  <c r="D139" i="4"/>
  <c r="E152" i="4"/>
  <c r="D159" i="4"/>
  <c r="D167" i="4"/>
  <c r="E180" i="4"/>
  <c r="D187" i="4"/>
  <c r="E200" i="4"/>
  <c r="E29" i="3"/>
  <c r="E33" i="3"/>
  <c r="E37" i="3"/>
  <c r="E41" i="3"/>
  <c r="F45" i="3"/>
  <c r="E58" i="3"/>
  <c r="E62" i="3"/>
  <c r="E66" i="3"/>
  <c r="E79" i="3"/>
  <c r="E98" i="3"/>
  <c r="G102" i="3"/>
  <c r="G106" i="3"/>
  <c r="F119" i="3"/>
  <c r="F132" i="3"/>
  <c r="F139" i="3"/>
  <c r="F159" i="3"/>
  <c r="F173" i="3"/>
  <c r="G177" i="3"/>
  <c r="G181" i="3"/>
  <c r="G185" i="3"/>
  <c r="G189" i="3"/>
  <c r="G213" i="3"/>
  <c r="G217" i="3"/>
  <c r="G221" i="3"/>
  <c r="G225" i="3"/>
  <c r="G229" i="3"/>
  <c r="E234" i="3"/>
  <c r="E239" i="3"/>
  <c r="E244" i="3"/>
  <c r="E249" i="3"/>
  <c r="E254" i="3"/>
  <c r="E259" i="3"/>
  <c r="E264" i="3"/>
  <c r="E269" i="3"/>
  <c r="E274" i="3"/>
  <c r="E279" i="3"/>
  <c r="E284" i="3"/>
  <c r="E289" i="3"/>
  <c r="E294" i="3"/>
  <c r="E299" i="3"/>
  <c r="E304" i="3"/>
  <c r="E17" i="4"/>
  <c r="D24" i="4"/>
  <c r="D126" i="4"/>
  <c r="E139" i="4"/>
  <c r="D146" i="4"/>
  <c r="E159" i="4"/>
  <c r="E167" i="4"/>
  <c r="D174" i="4"/>
  <c r="E187" i="4"/>
  <c r="P34" i="1" l="1"/>
  <c r="B34" i="1" l="1"/>
  <c r="E50" i="3" s="1"/>
  <c r="P33" i="1"/>
  <c r="P32" i="1" l="1"/>
  <c r="B33" i="1"/>
  <c r="E94" i="3" s="1"/>
  <c r="P31" i="1" l="1"/>
  <c r="B32" i="1"/>
  <c r="E27" i="3" s="1"/>
  <c r="B31" i="1" l="1"/>
  <c r="E36" i="3" s="1"/>
  <c r="P30" i="1"/>
  <c r="P29" i="1" l="1"/>
  <c r="B30" i="1"/>
  <c r="E23" i="3" s="1"/>
  <c r="P28" i="1" l="1"/>
  <c r="B29" i="1"/>
  <c r="E34" i="3" s="1"/>
  <c r="B28" i="1" l="1"/>
  <c r="E74" i="3" s="1"/>
  <c r="P27" i="1"/>
  <c r="P26" i="1" l="1"/>
  <c r="B27" i="1"/>
  <c r="E51" i="3" s="1"/>
  <c r="B26" i="1" l="1"/>
  <c r="E71" i="3" s="1"/>
  <c r="P25" i="1"/>
  <c r="P24" i="1" l="1"/>
  <c r="B25" i="1"/>
  <c r="E20" i="3" s="1"/>
  <c r="B24" i="1" l="1"/>
  <c r="E35" i="3" s="1"/>
  <c r="P23" i="1"/>
  <c r="P22" i="1" l="1"/>
  <c r="B23" i="1"/>
  <c r="E70" i="3" s="1"/>
  <c r="B22" i="1" l="1"/>
  <c r="E30" i="3" s="1"/>
  <c r="P21" i="1"/>
  <c r="P20" i="1" l="1"/>
  <c r="B21" i="1"/>
  <c r="E43" i="3" s="1"/>
  <c r="B20" i="1" l="1"/>
  <c r="E65" i="3" s="1"/>
  <c r="P19" i="1"/>
  <c r="B19" i="1" l="1"/>
  <c r="E76" i="3" s="1"/>
  <c r="P18" i="1"/>
  <c r="P17" i="1" l="1"/>
  <c r="B18" i="1"/>
  <c r="E80" i="3" s="1"/>
  <c r="P16" i="1" l="1"/>
  <c r="B17" i="1"/>
  <c r="E22" i="3" s="1"/>
  <c r="B16" i="1" l="1"/>
  <c r="E13" i="3" s="1"/>
  <c r="P15" i="1"/>
  <c r="P14" i="1" l="1"/>
  <c r="B15" i="1"/>
  <c r="E53" i="3" s="1"/>
  <c r="B14" i="1" l="1"/>
  <c r="E72" i="3" s="1"/>
  <c r="P13" i="1"/>
  <c r="P12" i="1" l="1"/>
  <c r="B13" i="1"/>
  <c r="E85" i="3" s="1"/>
  <c r="B12" i="1" l="1"/>
  <c r="E26" i="3" s="1"/>
  <c r="P11" i="1"/>
  <c r="B11" i="1" l="1"/>
  <c r="E46" i="3" s="1"/>
  <c r="P10" i="1"/>
  <c r="B10" i="1" l="1"/>
  <c r="E28" i="3" s="1"/>
  <c r="P9" i="1"/>
  <c r="P8" i="1" l="1"/>
  <c r="B9" i="1"/>
  <c r="E47" i="3" s="1"/>
  <c r="B8" i="1" l="1"/>
  <c r="E56" i="3" s="1"/>
  <c r="P7" i="1"/>
  <c r="P6" i="1" l="1"/>
  <c r="B6" i="1" s="1"/>
  <c r="E130" i="3" s="1"/>
  <c r="B7" i="1"/>
  <c r="E77" i="3" s="1"/>
</calcChain>
</file>

<file path=xl/sharedStrings.xml><?xml version="1.0" encoding="utf-8"?>
<sst xmlns="http://schemas.openxmlformats.org/spreadsheetml/2006/main" count="14660" uniqueCount="1835">
  <si>
    <t>https://mdm.goe.go.kr/onm/mas/main/main.html</t>
  </si>
  <si>
    <t>Fuji Xerox, CN/DocuPrint C5005d, A3/컬러50흑백55ppm</t>
  </si>
  <si>
    <t>(옵션)한국후지제록스, Network printer kit, DCC320/400용</t>
  </si>
  <si>
    <t>Kyocera document solutions, CN/ECOSYS P7040cdnG, A4/컬러40/흑백40ppm</t>
  </si>
  <si>
    <t>2011.06.27</t>
  </si>
  <si>
    <t>2005.07.14</t>
  </si>
  <si>
    <t>이남혁</t>
  </si>
  <si>
    <t>심경옥</t>
  </si>
  <si>
    <t>업무용</t>
  </si>
  <si>
    <t>허담언</t>
  </si>
  <si>
    <t>엘지</t>
  </si>
  <si>
    <t>한혜숙</t>
  </si>
  <si>
    <t>조립품</t>
  </si>
  <si>
    <t>박필승</t>
  </si>
  <si>
    <t>나정훈</t>
  </si>
  <si>
    <t>에이텍</t>
  </si>
  <si>
    <t>임순영</t>
  </si>
  <si>
    <t>폐기</t>
  </si>
  <si>
    <t>유미라</t>
  </si>
  <si>
    <t>이준남</t>
  </si>
  <si>
    <t>128</t>
  </si>
  <si>
    <t>정은경</t>
  </si>
  <si>
    <t>관리자</t>
  </si>
  <si>
    <t>이원영</t>
  </si>
  <si>
    <t>4GB</t>
  </si>
  <si>
    <t>정형은</t>
  </si>
  <si>
    <t>진국현</t>
  </si>
  <si>
    <t>김민영</t>
  </si>
  <si>
    <t>잉여품</t>
  </si>
  <si>
    <t>1GB</t>
  </si>
  <si>
    <t>대우</t>
  </si>
  <si>
    <t>장재현</t>
  </si>
  <si>
    <t>조리사</t>
  </si>
  <si>
    <t>우현주</t>
  </si>
  <si>
    <t>이동민</t>
  </si>
  <si>
    <t>탁지완</t>
  </si>
  <si>
    <t>강지은</t>
  </si>
  <si>
    <t>강민정</t>
  </si>
  <si>
    <t>김은민</t>
  </si>
  <si>
    <t>김채은</t>
  </si>
  <si>
    <t>직원용</t>
  </si>
  <si>
    <t>삼보</t>
  </si>
  <si>
    <t>맹수용</t>
  </si>
  <si>
    <t>박수진</t>
  </si>
  <si>
    <t>황종수</t>
  </si>
  <si>
    <t>고장</t>
  </si>
  <si>
    <t>권은주</t>
  </si>
  <si>
    <t>황성임</t>
  </si>
  <si>
    <t>김두순</t>
  </si>
  <si>
    <t>유영복</t>
  </si>
  <si>
    <t>대여중</t>
  </si>
  <si>
    <t>임명빈</t>
  </si>
  <si>
    <t>4</t>
  </si>
  <si>
    <t>송성수</t>
  </si>
  <si>
    <t>8GB</t>
  </si>
  <si>
    <t>학생용</t>
  </si>
  <si>
    <t>임숙진</t>
  </si>
  <si>
    <t>박연희</t>
  </si>
  <si>
    <t>허정화</t>
  </si>
  <si>
    <t>이용화</t>
  </si>
  <si>
    <t>권철수</t>
  </si>
  <si>
    <t>김강일</t>
  </si>
  <si>
    <t>정진희</t>
  </si>
  <si>
    <t>조현준</t>
  </si>
  <si>
    <t>다나와</t>
  </si>
  <si>
    <t>유희정</t>
  </si>
  <si>
    <t>원선일</t>
  </si>
  <si>
    <t>김연옥</t>
  </si>
  <si>
    <t>전혜림</t>
  </si>
  <si>
    <t>종</t>
  </si>
  <si>
    <t>3-7</t>
  </si>
  <si>
    <t>없음</t>
  </si>
  <si>
    <t>과학부</t>
  </si>
  <si>
    <t>1-8</t>
  </si>
  <si>
    <t>3-9</t>
  </si>
  <si>
    <t>2-4</t>
  </si>
  <si>
    <t>?</t>
  </si>
  <si>
    <t>체보</t>
  </si>
  <si>
    <t>델</t>
  </si>
  <si>
    <t>3-3</t>
  </si>
  <si>
    <t>1-6</t>
  </si>
  <si>
    <t>3-4</t>
  </si>
  <si>
    <t>정다운</t>
  </si>
  <si>
    <t xml:space="preserve">2층 </t>
  </si>
  <si>
    <t>2-1</t>
  </si>
  <si>
    <t>1-7</t>
  </si>
  <si>
    <t>3-6</t>
  </si>
  <si>
    <t xml:space="preserve">5층 </t>
  </si>
  <si>
    <t>2-3</t>
  </si>
  <si>
    <t>개수</t>
  </si>
  <si>
    <t>잔고</t>
  </si>
  <si>
    <t>3-1</t>
  </si>
  <si>
    <t>이주선</t>
  </si>
  <si>
    <t xml:space="preserve">4층 </t>
  </si>
  <si>
    <t>김용숙</t>
  </si>
  <si>
    <t>블랙</t>
  </si>
  <si>
    <t>2-2</t>
  </si>
  <si>
    <t>3-8</t>
  </si>
  <si>
    <t>1-5</t>
  </si>
  <si>
    <t>정현숙</t>
  </si>
  <si>
    <t>3-5</t>
  </si>
  <si>
    <t>인사부</t>
  </si>
  <si>
    <t>노트북</t>
  </si>
  <si>
    <t>마젠타</t>
  </si>
  <si>
    <t>기타</t>
  </si>
  <si>
    <t>시안</t>
  </si>
  <si>
    <t>활용중</t>
  </si>
  <si>
    <t>모델명</t>
  </si>
  <si>
    <t>료</t>
  </si>
  <si>
    <t>취득일</t>
  </si>
  <si>
    <t>2-5</t>
  </si>
  <si>
    <t>플로터</t>
  </si>
  <si>
    <t>전산실</t>
  </si>
  <si>
    <t>어학실</t>
  </si>
  <si>
    <t>노랑</t>
  </si>
  <si>
    <t>단가</t>
  </si>
  <si>
    <t>용</t>
  </si>
  <si>
    <t>삼성</t>
  </si>
  <si>
    <t>교정부</t>
  </si>
  <si>
    <t>체육과</t>
  </si>
  <si>
    <t>교원용</t>
  </si>
  <si>
    <t>IP</t>
  </si>
  <si>
    <t>과학실</t>
  </si>
  <si>
    <t>관리실</t>
  </si>
  <si>
    <t>보건실</t>
  </si>
  <si>
    <t>구입</t>
  </si>
  <si>
    <t>HDD</t>
  </si>
  <si>
    <t>소모</t>
  </si>
  <si>
    <t>수량</t>
  </si>
  <si>
    <t>CPU</t>
  </si>
  <si>
    <t>3-2</t>
  </si>
  <si>
    <t>과학과</t>
  </si>
  <si>
    <t>사</t>
  </si>
  <si>
    <t>WEE</t>
  </si>
  <si>
    <t>천지은</t>
  </si>
  <si>
    <t>이병훈</t>
  </si>
  <si>
    <t>김혜은</t>
  </si>
  <si>
    <t>도서관</t>
  </si>
  <si>
    <t>HP</t>
  </si>
  <si>
    <t>남궁환</t>
  </si>
  <si>
    <t>홍승식</t>
  </si>
  <si>
    <t>김형열</t>
  </si>
  <si>
    <t>백승숙</t>
  </si>
  <si>
    <t>가사실</t>
  </si>
  <si>
    <t>김정호</t>
  </si>
  <si>
    <t>인텔</t>
  </si>
  <si>
    <t>정보부</t>
  </si>
  <si>
    <t>황근우</t>
  </si>
  <si>
    <t>정세희</t>
  </si>
  <si>
    <t>노혜진</t>
  </si>
  <si>
    <t>이선영</t>
  </si>
  <si>
    <t>김현재</t>
  </si>
  <si>
    <t>453</t>
  </si>
  <si>
    <t>곽은희</t>
  </si>
  <si>
    <t>조립</t>
  </si>
  <si>
    <t>교사</t>
  </si>
  <si>
    <t>이성아</t>
  </si>
  <si>
    <t>강애주</t>
  </si>
  <si>
    <t>미술실</t>
  </si>
  <si>
    <t>공익</t>
  </si>
  <si>
    <t>조희선</t>
  </si>
  <si>
    <t>400</t>
  </si>
  <si>
    <t>김홍란</t>
  </si>
  <si>
    <t>김선주</t>
  </si>
  <si>
    <t>전용범</t>
  </si>
  <si>
    <t>강은정</t>
  </si>
  <si>
    <t>박현아</t>
  </si>
  <si>
    <t>홍정희</t>
  </si>
  <si>
    <t>이채린</t>
  </si>
  <si>
    <t>160</t>
  </si>
  <si>
    <t>김희란</t>
  </si>
  <si>
    <t>이정희</t>
  </si>
  <si>
    <t>이혜숙</t>
  </si>
  <si>
    <t>100</t>
  </si>
  <si>
    <t>256</t>
  </si>
  <si>
    <t>35</t>
  </si>
  <si>
    <t>양은숙</t>
  </si>
  <si>
    <t>박송이</t>
  </si>
  <si>
    <t>김인섭</t>
  </si>
  <si>
    <t>Q25</t>
  </si>
  <si>
    <t>김주현</t>
  </si>
  <si>
    <t>최진규</t>
  </si>
  <si>
    <t>김경란</t>
  </si>
  <si>
    <t>기현정</t>
  </si>
  <si>
    <t>박성일</t>
  </si>
  <si>
    <t>안정선</t>
  </si>
  <si>
    <t>곽도영</t>
  </si>
  <si>
    <t>이현정</t>
  </si>
  <si>
    <t>512</t>
  </si>
  <si>
    <t>박영미</t>
  </si>
  <si>
    <t>박효선</t>
  </si>
  <si>
    <t>행정실</t>
  </si>
  <si>
    <t>김선희</t>
  </si>
  <si>
    <t>야구부</t>
  </si>
  <si>
    <t>500</t>
  </si>
  <si>
    <t>이길수</t>
  </si>
  <si>
    <t>최희성</t>
  </si>
  <si>
    <t>전민기</t>
  </si>
  <si>
    <t>이금구</t>
  </si>
  <si>
    <t>남궁일</t>
  </si>
  <si>
    <t>노은실</t>
  </si>
  <si>
    <t>40</t>
  </si>
  <si>
    <t>학생1</t>
  </si>
  <si>
    <t>학생4</t>
  </si>
  <si>
    <t>120</t>
  </si>
  <si>
    <t>학생2</t>
  </si>
  <si>
    <t>하은영</t>
  </si>
  <si>
    <t>학생3</t>
  </si>
  <si>
    <t>140</t>
  </si>
  <si>
    <t>1G</t>
  </si>
  <si>
    <t>박경숙</t>
  </si>
  <si>
    <t>이윤희</t>
  </si>
  <si>
    <t>이지영</t>
  </si>
  <si>
    <t>80</t>
  </si>
  <si>
    <t>M8W</t>
  </si>
  <si>
    <t>조아영</t>
  </si>
  <si>
    <t>이재관</t>
  </si>
  <si>
    <t>권현진</t>
  </si>
  <si>
    <t>주효숙</t>
  </si>
  <si>
    <t>60</t>
  </si>
  <si>
    <t>학생5</t>
  </si>
  <si>
    <t>김종미</t>
  </si>
  <si>
    <t>김현주</t>
  </si>
  <si>
    <t>111</t>
  </si>
  <si>
    <t>학생6</t>
  </si>
  <si>
    <t>기증</t>
  </si>
  <si>
    <t>이성호</t>
  </si>
  <si>
    <t>504</t>
  </si>
  <si>
    <t>이경규</t>
  </si>
  <si>
    <t>김효진</t>
  </si>
  <si>
    <t>학생8</t>
  </si>
  <si>
    <t>심흥남</t>
  </si>
  <si>
    <t>학생7</t>
  </si>
  <si>
    <t>박찬경</t>
  </si>
  <si>
    <t>지연희</t>
  </si>
  <si>
    <t>황윤경</t>
  </si>
  <si>
    <t>이성두</t>
  </si>
  <si>
    <t>엄헌영</t>
  </si>
  <si>
    <t>김재경</t>
  </si>
  <si>
    <t>하인자</t>
  </si>
  <si>
    <t>최은희</t>
  </si>
  <si>
    <t>류재현</t>
  </si>
  <si>
    <t>이봉아</t>
  </si>
  <si>
    <t>김혜욱</t>
  </si>
  <si>
    <t>김병산</t>
  </si>
  <si>
    <t>권찬호</t>
  </si>
  <si>
    <t>이격주</t>
  </si>
  <si>
    <t>박정희</t>
  </si>
  <si>
    <t>노창희</t>
  </si>
  <si>
    <t>신선영</t>
  </si>
  <si>
    <t>유진주</t>
  </si>
  <si>
    <t>강민선</t>
  </si>
  <si>
    <t>이명헌</t>
  </si>
  <si>
    <t>김진홍</t>
  </si>
  <si>
    <t>한세영</t>
  </si>
  <si>
    <t>768</t>
  </si>
  <si>
    <t>학생9</t>
  </si>
  <si>
    <t>박성은</t>
  </si>
  <si>
    <t>서정훈</t>
  </si>
  <si>
    <t>이응상</t>
  </si>
  <si>
    <t>전성범</t>
  </si>
  <si>
    <t>10</t>
  </si>
  <si>
    <t>20</t>
  </si>
  <si>
    <t>유혜영</t>
  </si>
  <si>
    <t>권지란</t>
  </si>
  <si>
    <t>김삼준</t>
  </si>
  <si>
    <t>천윤경</t>
  </si>
  <si>
    <t>16</t>
  </si>
  <si>
    <t>차명희</t>
  </si>
  <si>
    <t>최해원</t>
  </si>
  <si>
    <t>윤점옥</t>
  </si>
  <si>
    <t>류명수</t>
  </si>
  <si>
    <t>P/W</t>
  </si>
  <si>
    <t>오경은</t>
  </si>
  <si>
    <t>384</t>
  </si>
  <si>
    <t>32</t>
  </si>
  <si>
    <t>연제희</t>
  </si>
  <si>
    <t>정경란</t>
  </si>
  <si>
    <t>김지연</t>
  </si>
  <si>
    <t>오현석</t>
  </si>
  <si>
    <t>한남숙</t>
  </si>
  <si>
    <t>이기영</t>
  </si>
  <si>
    <t>김흥태</t>
  </si>
  <si>
    <t>최경대</t>
  </si>
  <si>
    <t>30</t>
  </si>
  <si>
    <t>15</t>
  </si>
  <si>
    <t>R7G</t>
  </si>
  <si>
    <t>사용자</t>
  </si>
  <si>
    <t>오미영</t>
  </si>
  <si>
    <t>조문숙</t>
  </si>
  <si>
    <t>전영애</t>
  </si>
  <si>
    <t>김주미</t>
  </si>
  <si>
    <t>김미숙</t>
  </si>
  <si>
    <t>임시</t>
  </si>
  <si>
    <t>종류</t>
  </si>
  <si>
    <t>성윤정</t>
  </si>
  <si>
    <t>셩명</t>
  </si>
  <si>
    <t>이재광</t>
  </si>
  <si>
    <t>64</t>
  </si>
  <si>
    <t>암호</t>
  </si>
  <si>
    <t>강은주</t>
  </si>
  <si>
    <t>대역</t>
  </si>
  <si>
    <t>김유리</t>
  </si>
  <si>
    <t xml:space="preserve">3층 </t>
  </si>
  <si>
    <t>2</t>
  </si>
  <si>
    <t>시간표</t>
  </si>
  <si>
    <t>서버실</t>
  </si>
  <si>
    <t>192</t>
  </si>
  <si>
    <t>정은영</t>
  </si>
  <si>
    <t>50</t>
  </si>
  <si>
    <t>-</t>
  </si>
  <si>
    <t>조란</t>
  </si>
  <si>
    <t>도서실</t>
  </si>
  <si>
    <t>김효열</t>
  </si>
  <si>
    <t>기 종</t>
  </si>
  <si>
    <t>2학년</t>
  </si>
  <si>
    <t>부서</t>
  </si>
  <si>
    <t>특수반</t>
  </si>
  <si>
    <t>전난영</t>
  </si>
  <si>
    <t>2-6</t>
  </si>
  <si>
    <t>김호진</t>
  </si>
  <si>
    <t>최은정</t>
  </si>
  <si>
    <t>WBT</t>
  </si>
  <si>
    <t>인창고</t>
  </si>
  <si>
    <t>교장실</t>
  </si>
  <si>
    <t>최보름</t>
  </si>
  <si>
    <t>프린터</t>
  </si>
  <si>
    <t>이수경</t>
  </si>
  <si>
    <t>1-3</t>
  </si>
  <si>
    <t>대역폭</t>
  </si>
  <si>
    <t>손재덕</t>
  </si>
  <si>
    <t>1-4</t>
  </si>
  <si>
    <t>소강당</t>
  </si>
  <si>
    <t>음악실</t>
  </si>
  <si>
    <t xml:space="preserve">  </t>
  </si>
  <si>
    <t>방송실</t>
  </si>
  <si>
    <t>2-7</t>
  </si>
  <si>
    <t>2-8</t>
  </si>
  <si>
    <t>320</t>
  </si>
  <si>
    <t>복사기</t>
  </si>
  <si>
    <t>URL</t>
  </si>
  <si>
    <t>랜탈</t>
  </si>
  <si>
    <t>학생부</t>
  </si>
  <si>
    <t>1-1</t>
  </si>
  <si>
    <t>급식실</t>
  </si>
  <si>
    <t xml:space="preserve">1층 </t>
  </si>
  <si>
    <t>박혜리</t>
  </si>
  <si>
    <t>1-2</t>
  </si>
  <si>
    <t>1학년</t>
  </si>
  <si>
    <t>김태형</t>
  </si>
  <si>
    <t>최용순</t>
  </si>
  <si>
    <t>고진아</t>
  </si>
  <si>
    <t>ID</t>
  </si>
  <si>
    <t>윤선영</t>
  </si>
  <si>
    <t>공유기</t>
  </si>
  <si>
    <t>김주영</t>
  </si>
  <si>
    <t>교감</t>
  </si>
  <si>
    <t>하승주</t>
  </si>
  <si>
    <t>김이조</t>
  </si>
  <si>
    <t>임우혁</t>
  </si>
  <si>
    <t>황은선</t>
  </si>
  <si>
    <t>오옥선</t>
  </si>
  <si>
    <t>노병철</t>
  </si>
  <si>
    <t>3층</t>
  </si>
  <si>
    <t>화학실</t>
  </si>
  <si>
    <t>고민숙</t>
  </si>
  <si>
    <t>추가</t>
  </si>
  <si>
    <t>1대</t>
  </si>
  <si>
    <t>권예란</t>
  </si>
  <si>
    <t>물리실</t>
  </si>
  <si>
    <t>X</t>
  </si>
  <si>
    <t>원영주</t>
  </si>
  <si>
    <t>신진태</t>
  </si>
  <si>
    <t>윤은옥</t>
  </si>
  <si>
    <t>5층</t>
  </si>
  <si>
    <t>윤샤롬</t>
  </si>
  <si>
    <t>김현우</t>
  </si>
  <si>
    <t>김용천</t>
  </si>
  <si>
    <t>최다연</t>
  </si>
  <si>
    <t>김정아</t>
  </si>
  <si>
    <t>박채은</t>
  </si>
  <si>
    <t>4층</t>
  </si>
  <si>
    <t>전부영</t>
  </si>
  <si>
    <t>1층</t>
  </si>
  <si>
    <t>2층</t>
  </si>
  <si>
    <t>최용주</t>
  </si>
  <si>
    <t>김세연</t>
  </si>
  <si>
    <t>임향민</t>
  </si>
  <si>
    <t>민별</t>
  </si>
  <si>
    <t>김종익</t>
  </si>
  <si>
    <t>캡스1</t>
  </si>
  <si>
    <t>손승태</t>
  </si>
  <si>
    <t>캡스2</t>
  </si>
  <si>
    <t>복합기</t>
  </si>
  <si>
    <t>황경환</t>
  </si>
  <si>
    <t>백양현</t>
  </si>
  <si>
    <t>한수진</t>
  </si>
  <si>
    <t>제품명</t>
  </si>
  <si>
    <t>O</t>
  </si>
  <si>
    <t>검색용</t>
  </si>
  <si>
    <t>학년반</t>
  </si>
  <si>
    <t>2대</t>
  </si>
  <si>
    <t>이현실</t>
  </si>
  <si>
    <t>황영선</t>
  </si>
  <si>
    <t>삼성NT750XGK-KG71G</t>
  </si>
  <si>
    <t xml:space="preserve"> TASKalfa2554ciG  </t>
  </si>
  <si>
    <t>불용해야 함 2025/3/27</t>
  </si>
  <si>
    <t>스마트아이디어, SCB-40R</t>
  </si>
  <si>
    <t>도원산업, CF1-BTL30S1</t>
  </si>
  <si>
    <t>GSMS시스템(단말기 a/s처리)</t>
  </si>
  <si>
    <t>클라우드서비스 통합로그인 지원시스템</t>
  </si>
  <si>
    <t>교사 예비용5</t>
  </si>
  <si>
    <t>구 송성수</t>
  </si>
  <si>
    <t>구 이동민</t>
  </si>
  <si>
    <t>2025년지급</t>
  </si>
  <si>
    <t>불용처리</t>
  </si>
  <si>
    <t>체육관방송용</t>
  </si>
  <si>
    <t>한국후지제록스, CN/DCII 3005, 복사기능기본+네트웍프린터KIT+RADF/자동원고이송장치추가장착, 흑백</t>
  </si>
  <si>
    <t>한국후지제록스, CN/DocuPrint 3055K, A3/흑백, 35ppm, 급지장치 550매 Tray 기본형</t>
  </si>
  <si>
    <t>1,119,600</t>
  </si>
  <si>
    <t>1,309,390</t>
  </si>
  <si>
    <t>행정실 폐기예정</t>
  </si>
  <si>
    <t>2,255,000</t>
  </si>
  <si>
    <t>THINKPADR40</t>
  </si>
  <si>
    <t>3,750,000</t>
  </si>
  <si>
    <t>1,229,790</t>
  </si>
  <si>
    <t>교육실습생(프린터)</t>
  </si>
  <si>
    <t>교사용(원어민)</t>
  </si>
  <si>
    <t>1,623,250</t>
  </si>
  <si>
    <t>1,387,420</t>
  </si>
  <si>
    <t>1,783,150</t>
  </si>
  <si>
    <t>ZMZ28-H301G</t>
  </si>
  <si>
    <t>2,688,100</t>
  </si>
  <si>
    <t>1,769,000</t>
  </si>
  <si>
    <t>2,140,000</t>
  </si>
  <si>
    <t>2013.01.09</t>
  </si>
  <si>
    <t>2009.03.17</t>
  </si>
  <si>
    <t>2005.05.12</t>
  </si>
  <si>
    <t>2002.12.24</t>
  </si>
  <si>
    <t>2008.08.28</t>
  </si>
  <si>
    <t>2010.03.06</t>
  </si>
  <si>
    <t>2003.09.08</t>
  </si>
  <si>
    <t>2002.09.27</t>
  </si>
  <si>
    <t>컴퓨터실2(5층)</t>
  </si>
  <si>
    <t>2016.04.19</t>
  </si>
  <si>
    <t>2010.02.26</t>
  </si>
  <si>
    <t>2005.07.15</t>
  </si>
  <si>
    <t>2005.04.06</t>
  </si>
  <si>
    <t>2012.03.14</t>
  </si>
  <si>
    <t>2006.08.23</t>
  </si>
  <si>
    <t>2005.03.10</t>
  </si>
  <si>
    <t>3층실습용 18</t>
  </si>
  <si>
    <t>2002.07.30</t>
  </si>
  <si>
    <t>3층실습용 13</t>
  </si>
  <si>
    <t>3층실습용 10</t>
  </si>
  <si>
    <t>3층실습용 19</t>
  </si>
  <si>
    <t>3층실습용 12</t>
  </si>
  <si>
    <t>3층실습용 15</t>
  </si>
  <si>
    <t>지구과학실험실용</t>
  </si>
  <si>
    <t>2004.09.21</t>
  </si>
  <si>
    <t>3층실습용 25</t>
  </si>
  <si>
    <t>2020. 07 폐기</t>
  </si>
  <si>
    <t>2001.04.02</t>
  </si>
  <si>
    <t>3층실습용 28</t>
  </si>
  <si>
    <t>3층실습용 23</t>
  </si>
  <si>
    <t>2007.11.05</t>
  </si>
  <si>
    <t>2003.10.26</t>
  </si>
  <si>
    <t>정보과학실용 2</t>
  </si>
  <si>
    <t>3층실습용 27</t>
  </si>
  <si>
    <t>3층실습용 11</t>
  </si>
  <si>
    <t>2022.03 폐기</t>
  </si>
  <si>
    <t>3층실습용 17</t>
  </si>
  <si>
    <t>2021.10 폐기</t>
  </si>
  <si>
    <t>3층실습용 21</t>
  </si>
  <si>
    <t>3층실습용 22</t>
  </si>
  <si>
    <t>3층실습용 16</t>
  </si>
  <si>
    <t>3층실습용 14</t>
  </si>
  <si>
    <t>정보과학실용 8</t>
  </si>
  <si>
    <t>정보과학실용 6</t>
  </si>
  <si>
    <t>정보과학실용 5</t>
  </si>
  <si>
    <t>3층실습용 20</t>
  </si>
  <si>
    <t>정보과학실용 10</t>
  </si>
  <si>
    <t>3층실습용 26</t>
  </si>
  <si>
    <t>1,032,000</t>
  </si>
  <si>
    <t>1,500,000</t>
  </si>
  <si>
    <t>정보과학실용 4</t>
  </si>
  <si>
    <t>HP Compaq</t>
  </si>
  <si>
    <t>도움반 실습용1</t>
  </si>
  <si>
    <t>1,360,000</t>
  </si>
  <si>
    <t>정보과학실용 1</t>
  </si>
  <si>
    <t>이경규(벌점관리)</t>
  </si>
  <si>
    <t>JY-운수대통E53G</t>
  </si>
  <si>
    <t>도움반 실습용4</t>
  </si>
  <si>
    <t>정보과학실용 7</t>
  </si>
  <si>
    <t>도움반 실습용6</t>
  </si>
  <si>
    <t>WINDOW XP</t>
  </si>
  <si>
    <t>도움반 실습용3</t>
  </si>
  <si>
    <t>d2390 MT</t>
  </si>
  <si>
    <t>정보과학실용 3</t>
  </si>
  <si>
    <t>1,180,000</t>
  </si>
  <si>
    <t>X270Y-TX16D</t>
  </si>
  <si>
    <t>(김나연(수학강사))</t>
  </si>
  <si>
    <t>1,716,220</t>
  </si>
  <si>
    <t>1,130,000</t>
  </si>
  <si>
    <t>(유희영(역사강사))</t>
  </si>
  <si>
    <t>1,260,000</t>
  </si>
  <si>
    <t>(백민정(상담인턴))</t>
  </si>
  <si>
    <t>(교육실습생3)</t>
  </si>
  <si>
    <t>도움반 실습용5</t>
  </si>
  <si>
    <t>도움반 실습용2</t>
  </si>
  <si>
    <t>1,100,000</t>
  </si>
  <si>
    <t>E500-S773KN</t>
  </si>
  <si>
    <t>1,040,000</t>
  </si>
  <si>
    <t>정보부(한남숙)</t>
  </si>
  <si>
    <t>정보부보관(파손)</t>
  </si>
  <si>
    <t>P2-J515KN</t>
  </si>
  <si>
    <t>문경희(과학행정)</t>
  </si>
  <si>
    <t>1,284,000</t>
  </si>
  <si>
    <t>김민정(특수보조)</t>
  </si>
  <si>
    <t>1,359,000</t>
  </si>
  <si>
    <t>1,170,000</t>
  </si>
  <si>
    <t>김세미(수학보조강사)</t>
  </si>
  <si>
    <t>(이명숙(실험인턴))</t>
  </si>
  <si>
    <t>NT-M70/W210</t>
  </si>
  <si>
    <t>2,060,820</t>
  </si>
  <si>
    <t>1,340,000</t>
  </si>
  <si>
    <t>DM-P40/MCEG</t>
  </si>
  <si>
    <t>1,310,000</t>
  </si>
  <si>
    <t>(교육실습생4)</t>
  </si>
  <si>
    <t>V1-WCUP6N</t>
  </si>
  <si>
    <t>3,656,720</t>
  </si>
  <si>
    <t>1,282,700</t>
  </si>
  <si>
    <t>도서동아리용(서향)</t>
  </si>
  <si>
    <t>백승숙(교원내신)</t>
  </si>
  <si>
    <t>1,781,500</t>
  </si>
  <si>
    <t>P1-J224K</t>
  </si>
  <si>
    <t>DBZ40/H300G</t>
  </si>
  <si>
    <t>1,314,700</t>
  </si>
  <si>
    <t>3학년성적컴(보관중)</t>
  </si>
  <si>
    <t>수강신청서버(이선민)</t>
  </si>
  <si>
    <t>조희선(사서용)</t>
  </si>
  <si>
    <t>전명숙(영양사)</t>
  </si>
  <si>
    <t>1,801,500</t>
  </si>
  <si>
    <t>1,760,000</t>
  </si>
  <si>
    <t>1,873,870</t>
  </si>
  <si>
    <t>1,386,400</t>
  </si>
  <si>
    <t>이준호</t>
  </si>
  <si>
    <t>성명</t>
  </si>
  <si>
    <t>HP, CN/DesignJet Z5200PostScript(CQ113A), 111.8cm</t>
  </si>
  <si>
    <t>신도리코, CN/MF 5550, 흑백, A4, 53매,레터 55매/min, 컬러스캔가능</t>
  </si>
  <si>
    <t>잉크젯프린터, 캐논코리아비즈니스솔루션, JP/iX5000, A3/컬러, 17/25ppm</t>
  </si>
  <si>
    <t>잉크젯프린터, 한국HP, Business InkJet 2800, A3/컬러, 24/21ppm</t>
  </si>
  <si>
    <t>Kyocera document solutions, CN/FS-4100DNG, 흑백/45ppm</t>
  </si>
  <si>
    <t>한국후지제록스, CN/DCIII 3007G, 고급형디지털복사기</t>
  </si>
  <si>
    <t>삼성전자, CLP-620NDK, A4/컬러20,흑백20ppm</t>
  </si>
  <si>
    <t>Kyocera TASKalfa 4002i (1, 3학년부)</t>
  </si>
  <si>
    <t>한국후지제록스, DocuPrint 255, A3, 25ppm</t>
  </si>
  <si>
    <t>Fuji xerox, DocuPrint P205b, 24ppm</t>
  </si>
  <si>
    <t>한국후지제록스, CN/DocuPrint 2065, 26ppm</t>
  </si>
  <si>
    <t>Kyocera TASKalfa 5003i (1, 2학년부)</t>
  </si>
  <si>
    <t>Brother, VN/HL-L5100DN, A4/흑백/40ppm</t>
  </si>
  <si>
    <t>한국후지제록스, DPC2428, A3/컬러, 24/24ppm</t>
  </si>
  <si>
    <t>잉크젯프린터, Epson, JP/B-310N, A4 37ppm</t>
  </si>
  <si>
    <t>한국후지제록스, DCIIC 3000G, 디지털(흑백/컬러겸용)</t>
  </si>
  <si>
    <t>HP, CN/Officejet ProX576DW, A4/흑백컬러42cpm</t>
  </si>
  <si>
    <t>DG481-GA51-011, Intel Core i5 12500(3GHz)</t>
  </si>
  <si>
    <t>(관리자변경시 공문 발송)관련:교육정보화과-1846(2025.2.21.)</t>
  </si>
  <si>
    <t>한국후지제록스, CN/DocuPrint 3055, A3/흑백, 35ppm</t>
  </si>
  <si>
    <t>Fujixerox, CN/DocuPrint P455 d, 흑백/45ppm</t>
  </si>
  <si>
    <t>캐논코리아비즈니스솔루션, CN/LBP6303dn, A4/흑백, 30ppm</t>
  </si>
  <si>
    <t>Kodak, JP/Kodak XLS 8600 Color Printer, A4</t>
  </si>
  <si>
    <t>한국후지제록스, CN/DocuPrint C 2200, A4/컬러, 25ppm</t>
  </si>
  <si>
    <t>DT281-GA51-012, Intel Core i5 12500(3GHz)</t>
  </si>
  <si>
    <t>(옵션)청호컴넷, Network printer kit, CHC-360G용</t>
  </si>
  <si>
    <t>(옵션)한국후지제록스, Network Printer Kit, DC-285G용</t>
  </si>
  <si>
    <t>한국HP, Design Jet 750C Plus, 609.6mm 600dpi</t>
  </si>
  <si>
    <t>http://211.184.232.146/inchang-h/main.do</t>
  </si>
  <si>
    <t>C9390A(L/C)</t>
  </si>
  <si>
    <t>C9452A(C)</t>
  </si>
  <si>
    <t>C9453A(L/M)</t>
  </si>
  <si>
    <t>C9449A(P/B)</t>
  </si>
  <si>
    <t>Kyoceramita, CN/FS-1120DG, A4/흑백 30ppm</t>
  </si>
  <si>
    <t>Fuji xerox, DocuPrint-C1190FS, 컬러레이저</t>
  </si>
  <si>
    <t>잉크젯프린터, 삼성전자, MJC-8500, A4/컬러, 18/26ppm</t>
  </si>
  <si>
    <t>http://218.234.92.181:8080/DLPCenter</t>
  </si>
  <si>
    <t>Kyoceramita, CN/FS-6975DNG, A3/흑백 35ppm</t>
  </si>
  <si>
    <t>한국후지제록스, DocuPrint 305, A3/흑백, 30ppm</t>
  </si>
  <si>
    <t>잉크젯프린터, 한국HP, K5400DN, A4/컬러, 35/36ppm</t>
  </si>
  <si>
    <t>캐논코리아비즈니스솔루션, LBP1441G, A4, 10ppm</t>
  </si>
  <si>
    <t>Intel® Core™ i5-1135G7 Processor</t>
  </si>
  <si>
    <t>교직원가입키 : MVNIU-IGEVP-NSYAW-XFHQI</t>
  </si>
  <si>
    <t>https://www.goedu.kr/scmnst/login</t>
  </si>
  <si>
    <t>Kyocera document solutios, CN/TASKalfa3010iG, 흑백30cpm</t>
  </si>
  <si>
    <t>한국후지제록스, CN/DocuCentre-III 3007G(DADF기본형) 흑백 30매디지털복사기</t>
  </si>
  <si>
    <t>Kyocera document solutions, CN/TASKalfa 3011iG, 흑백30cpm</t>
  </si>
  <si>
    <t>Kyocera document solutios, CN/TASKalfa3510iG, 흑백35cpm</t>
  </si>
  <si>
    <t>1,166,000</t>
  </si>
  <si>
    <t>4,080,580</t>
  </si>
  <si>
    <t>1,257,000</t>
  </si>
  <si>
    <t>192.168.0.4</t>
  </si>
  <si>
    <t>THINKPADR32</t>
  </si>
  <si>
    <t>10.56.45.</t>
  </si>
  <si>
    <t>10.51.90.</t>
  </si>
  <si>
    <t>10.54.38.</t>
  </si>
  <si>
    <t>1,139,000</t>
  </si>
  <si>
    <t>2학년성적처리컴</t>
  </si>
  <si>
    <t>sta#ff2018</t>
  </si>
  <si>
    <t>1,437,860</t>
  </si>
  <si>
    <t>10.54.36.</t>
  </si>
  <si>
    <t>김주미(이성아)</t>
  </si>
  <si>
    <t>DREAMBOOKA8</t>
  </si>
  <si>
    <t>1,411,000</t>
  </si>
  <si>
    <t>happy2018</t>
  </si>
  <si>
    <t>192.168.0.9</t>
  </si>
  <si>
    <t>1,197,000</t>
  </si>
  <si>
    <t>InChang_5G</t>
  </si>
  <si>
    <t>192.168.0.8</t>
  </si>
  <si>
    <t>10.54.37.</t>
  </si>
  <si>
    <t>192.168.0.7</t>
  </si>
  <si>
    <t>1층 로비 AP</t>
  </si>
  <si>
    <t>inform2018</t>
  </si>
  <si>
    <t>192.168.0.5</t>
  </si>
  <si>
    <t>inchanghs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</si>
  <si>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c20182018#</t>
    </r>
  </si>
  <si>
    <t>10.51.91.</t>
  </si>
  <si>
    <t>192.168.0.6</t>
  </si>
  <si>
    <t>방송부1234!</t>
  </si>
  <si>
    <t>J100000769</t>
  </si>
  <si>
    <t>인창고 홈페이지 관리</t>
  </si>
  <si>
    <t>교사용 패들렛 계정</t>
  </si>
  <si>
    <t>icgo2018##</t>
  </si>
  <si>
    <t>방송반 지니 계정</t>
  </si>
  <si>
    <t>방송반 인창고 계정</t>
  </si>
  <si>
    <t>ic2018###</t>
  </si>
  <si>
    <t>2층 면학실 AP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</si>
  <si>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cgo2018#</t>
    </r>
  </si>
  <si>
    <t>icgo2018#</t>
  </si>
  <si>
    <t>3층 진학교과실</t>
  </si>
  <si>
    <t>AhnLab EPP</t>
  </si>
  <si>
    <t>ibcinchang</t>
  </si>
  <si>
    <t>방송부1234!Q</t>
  </si>
  <si>
    <t>2019.11. 10</t>
  </si>
  <si>
    <t>2015.06.24</t>
  </si>
  <si>
    <t>통합교육지원실2</t>
  </si>
  <si>
    <t>2017.03.30</t>
  </si>
  <si>
    <t>2017.12.18</t>
  </si>
  <si>
    <t>2016.02.26</t>
  </si>
  <si>
    <t>2017.04.01</t>
  </si>
  <si>
    <t>2011.07.12</t>
  </si>
  <si>
    <t>2008.07.25</t>
  </si>
  <si>
    <t>2012.02.17</t>
  </si>
  <si>
    <t>2013.03.07</t>
  </si>
  <si>
    <t>2017.02.14</t>
  </si>
  <si>
    <t>2019.03.05</t>
  </si>
  <si>
    <t>방송반 어도비 계정</t>
  </si>
  <si>
    <t>2016.02.04</t>
  </si>
  <si>
    <t>2015.09.09</t>
  </si>
  <si>
    <t>2014.10.01</t>
  </si>
  <si>
    <t>2010.02.22</t>
  </si>
  <si>
    <t>2006.05.08</t>
  </si>
  <si>
    <t>통합교육지원실3</t>
  </si>
  <si>
    <t>통합교육지원실1</t>
  </si>
  <si>
    <t>2010.05.19</t>
  </si>
  <si>
    <t>교과교실(수학)</t>
  </si>
  <si>
    <t>2010.11.11</t>
  </si>
  <si>
    <t>2014.01.20</t>
  </si>
  <si>
    <t>2010.05.06</t>
  </si>
  <si>
    <t>2011.09.29</t>
  </si>
  <si>
    <t>2012.08.23</t>
  </si>
  <si>
    <t>White spac</t>
  </si>
  <si>
    <t>2017.10.21</t>
  </si>
  <si>
    <t>2016.08.24</t>
  </si>
  <si>
    <t>2014.06.02</t>
  </si>
  <si>
    <t>1,010,000</t>
  </si>
  <si>
    <t>2,155,400</t>
  </si>
  <si>
    <t>2,055,000</t>
  </si>
  <si>
    <t>2,150,500</t>
  </si>
  <si>
    <t>WINDOW CE</t>
  </si>
  <si>
    <t>1학년성적처리컴</t>
  </si>
  <si>
    <t>1,600,000</t>
  </si>
  <si>
    <t>구재원(교사용)</t>
  </si>
  <si>
    <t>1,480,350</t>
  </si>
  <si>
    <t>2,156,000</t>
  </si>
  <si>
    <t>WINDOW 98</t>
  </si>
  <si>
    <t>1,119,660</t>
  </si>
  <si>
    <t>1,774,530</t>
  </si>
  <si>
    <t>2,064,500</t>
  </si>
  <si>
    <t>조연정(임운혁)</t>
  </si>
  <si>
    <t>﻿SINDOH ﻿N606 42BW-4 (Generic)</t>
  </si>
  <si>
    <t>신도리코, Aficio 2027, 디지털복합기겸용, 흑백</t>
  </si>
  <si>
    <t>HP, US/CP1215, A4/컬러, 8/12ppm</t>
  </si>
  <si>
    <t>Epson, ID/WF-5621, A4/흑백컬러19ipm</t>
  </si>
  <si>
    <t>https://teacher.iamservice.net/</t>
  </si>
  <si>
    <t>삼성전자, ML-2255G, A4/흑백, 20ppm</t>
  </si>
  <si>
    <t>신도리코, Aficio 2032, 디지털복합기겸용, 흑백</t>
  </si>
  <si>
    <t>HP Designjet Z5200 PostScript</t>
  </si>
  <si>
    <t>https://10.59.1.24/DLPCenter</t>
  </si>
  <si>
    <t>2003.03.12</t>
  </si>
  <si>
    <t>2009.12.21</t>
  </si>
  <si>
    <t>2005.02.14</t>
  </si>
  <si>
    <t>2002.06.22</t>
  </si>
  <si>
    <t>2008.02.05</t>
  </si>
  <si>
    <t>2003.10.16</t>
  </si>
  <si>
    <t>2005.03.11</t>
  </si>
  <si>
    <t>2012.12.11</t>
  </si>
  <si>
    <t>2007.07.10</t>
  </si>
  <si>
    <t>2016.03.03</t>
  </si>
  <si>
    <t>2005.11.17</t>
  </si>
  <si>
    <t>C9453A(M)</t>
  </si>
  <si>
    <t>2001.05.19</t>
  </si>
  <si>
    <t>2010.05.13</t>
  </si>
  <si>
    <t>2001.01.01</t>
  </si>
  <si>
    <t>구 3학년교무실</t>
  </si>
  <si>
    <t>2001.05.04</t>
  </si>
  <si>
    <t>C9454A(Y)</t>
  </si>
  <si>
    <t>2002.03.25</t>
  </si>
  <si>
    <t>556-5211~2</t>
  </si>
  <si>
    <t>2004.09.16</t>
  </si>
  <si>
    <t>2015.03.26</t>
  </si>
  <si>
    <t>2007.06.25</t>
  </si>
  <si>
    <t>C9451A(L/G)</t>
  </si>
  <si>
    <t>3학년부(부장)</t>
  </si>
  <si>
    <t>80GB</t>
  </si>
  <si>
    <t>학생40</t>
  </si>
  <si>
    <t>학생29</t>
  </si>
  <si>
    <t>4096MB</t>
  </si>
  <si>
    <t>CD_RW</t>
  </si>
  <si>
    <t>2.0GHZ</t>
  </si>
  <si>
    <t>2.4GHZ</t>
  </si>
  <si>
    <t>2.7GHZ</t>
  </si>
  <si>
    <t>1.9GHZ</t>
  </si>
  <si>
    <t>903,000</t>
  </si>
  <si>
    <t>인텔 i-7</t>
  </si>
  <si>
    <t>760,000</t>
  </si>
  <si>
    <t>1024GB</t>
  </si>
  <si>
    <t>1024MB</t>
  </si>
  <si>
    <t>NT-P40</t>
  </si>
  <si>
    <t>2.1GHZ</t>
  </si>
  <si>
    <t>컴퓨터교육실용</t>
  </si>
  <si>
    <t>700,000</t>
  </si>
  <si>
    <t>LINUX</t>
  </si>
  <si>
    <t>3.0GHZ</t>
  </si>
  <si>
    <t>160GB</t>
  </si>
  <si>
    <t>320GB</t>
  </si>
  <si>
    <t>3학년부</t>
  </si>
  <si>
    <t>무상양여</t>
  </si>
  <si>
    <t>(김일환)</t>
  </si>
  <si>
    <t>600,000</t>
  </si>
  <si>
    <t>1.7GHZ</t>
  </si>
  <si>
    <t>DM-Z60</t>
  </si>
  <si>
    <t>2.2GHZ</t>
  </si>
  <si>
    <t>1.4GHZ</t>
  </si>
  <si>
    <t>690,000</t>
  </si>
  <si>
    <t>정보부보관</t>
  </si>
  <si>
    <t>학생46</t>
  </si>
  <si>
    <t>학생43</t>
  </si>
  <si>
    <t>강애주?</t>
  </si>
  <si>
    <t>(박준영)</t>
  </si>
  <si>
    <t>학생36</t>
  </si>
  <si>
    <t>학생34</t>
  </si>
  <si>
    <t>DM-Z70</t>
  </si>
  <si>
    <t>100GB</t>
  </si>
  <si>
    <t>학생48</t>
  </si>
  <si>
    <t>512MB</t>
  </si>
  <si>
    <t>이미영A</t>
  </si>
  <si>
    <t>787,000</t>
  </si>
  <si>
    <t>학생28</t>
  </si>
  <si>
    <t>인쇄실기사님1</t>
  </si>
  <si>
    <t>1024</t>
  </si>
  <si>
    <t>학생26</t>
  </si>
  <si>
    <t>892,000</t>
  </si>
  <si>
    <t>어학실교사용</t>
  </si>
  <si>
    <t>학생23</t>
  </si>
  <si>
    <t>학생38</t>
  </si>
  <si>
    <t>학생17</t>
  </si>
  <si>
    <t>학생16</t>
  </si>
  <si>
    <t>학생24</t>
  </si>
  <si>
    <t>829,000</t>
  </si>
  <si>
    <t>학생27</t>
  </si>
  <si>
    <t>학생14</t>
  </si>
  <si>
    <t>863,000</t>
  </si>
  <si>
    <t>140GB</t>
  </si>
  <si>
    <t>정보부보관중</t>
  </si>
  <si>
    <t>학생30</t>
  </si>
  <si>
    <t>교사(이지은)</t>
  </si>
  <si>
    <t>730,000</t>
  </si>
  <si>
    <t>학생41</t>
  </si>
  <si>
    <t>학생25</t>
  </si>
  <si>
    <t>SENP30</t>
  </si>
  <si>
    <t>학생21</t>
  </si>
  <si>
    <t>학생33</t>
  </si>
  <si>
    <t>학생44</t>
  </si>
  <si>
    <t>학생47</t>
  </si>
  <si>
    <t>학생18</t>
  </si>
  <si>
    <t>학생20</t>
  </si>
  <si>
    <t>학생39</t>
  </si>
  <si>
    <t>SENP25</t>
  </si>
  <si>
    <t>SENSV25</t>
  </si>
  <si>
    <t>도서검색2</t>
  </si>
  <si>
    <t>도서검색1</t>
  </si>
  <si>
    <t>학생13</t>
  </si>
  <si>
    <t>학생19</t>
  </si>
  <si>
    <t>학생11</t>
  </si>
  <si>
    <t>910,700</t>
  </si>
  <si>
    <t>학생12</t>
  </si>
  <si>
    <t>학생35</t>
  </si>
  <si>
    <t>학생31</t>
  </si>
  <si>
    <t>학생22</t>
  </si>
  <si>
    <t>5.6GHZ</t>
  </si>
  <si>
    <t>학생37</t>
  </si>
  <si>
    <t>학생42</t>
  </si>
  <si>
    <t>ZCP30</t>
  </si>
  <si>
    <t>학생32</t>
  </si>
  <si>
    <t>도서검색7</t>
  </si>
  <si>
    <t>CD-RW</t>
  </si>
  <si>
    <t>도서검색4</t>
  </si>
  <si>
    <t>학생45</t>
  </si>
  <si>
    <t>GB25</t>
  </si>
  <si>
    <t>예비용6</t>
  </si>
  <si>
    <t>zcv30</t>
  </si>
  <si>
    <t>도서검색6</t>
  </si>
  <si>
    <t>DB-Z40</t>
  </si>
  <si>
    <t>일체형컴퓨터</t>
  </si>
  <si>
    <t>도서대출반납</t>
  </si>
  <si>
    <t>ZGB30</t>
  </si>
  <si>
    <t>도서검색5</t>
  </si>
  <si>
    <t>예비용3</t>
  </si>
  <si>
    <t>정보교육부</t>
  </si>
  <si>
    <t>예비용4</t>
  </si>
  <si>
    <t>예비용2</t>
  </si>
  <si>
    <t>수업검색</t>
  </si>
  <si>
    <t>899,130</t>
  </si>
  <si>
    <t>학생10</t>
  </si>
  <si>
    <t>도서검색3</t>
  </si>
  <si>
    <t>예비용1</t>
  </si>
  <si>
    <t>예비용8</t>
  </si>
  <si>
    <t>학생15</t>
  </si>
  <si>
    <t>예비용12</t>
  </si>
  <si>
    <t>예비용11</t>
  </si>
  <si>
    <t>예비용5</t>
  </si>
  <si>
    <t>혁신교육부</t>
  </si>
  <si>
    <t>예비용13</t>
  </si>
  <si>
    <t>확인완료</t>
  </si>
  <si>
    <t>예비용9</t>
  </si>
  <si>
    <t>탁지완쌤 사용</t>
  </si>
  <si>
    <t>G21_138</t>
  </si>
  <si>
    <t>2층 컴퓨터실</t>
  </si>
  <si>
    <t>교사 예비용6</t>
  </si>
  <si>
    <t>통합교육지원실</t>
  </si>
  <si>
    <t>중앙제어</t>
  </si>
  <si>
    <t>보조DNS서버</t>
  </si>
  <si>
    <t>수학교과실</t>
  </si>
  <si>
    <t>고가영1</t>
  </si>
  <si>
    <t>고가영3</t>
  </si>
  <si>
    <t>노트북 폐기</t>
  </si>
  <si>
    <t>상담실노트북</t>
  </si>
  <si>
    <t>중국어교과실</t>
  </si>
  <si>
    <t>전원선 없음</t>
  </si>
  <si>
    <t>2025.3.</t>
  </si>
  <si>
    <t>교사 예비용1</t>
  </si>
  <si>
    <t>교사 예비용7</t>
  </si>
  <si>
    <t>가입인증키</t>
  </si>
  <si>
    <t>오디움실</t>
  </si>
  <si>
    <t>예전3층2-9</t>
  </si>
  <si>
    <t>컴퓨터실2</t>
  </si>
  <si>
    <t>고가영2</t>
  </si>
  <si>
    <t>교사 예비용3</t>
  </si>
  <si>
    <t>구 김현우</t>
  </si>
  <si>
    <t>체육관1</t>
  </si>
  <si>
    <t>확인필요</t>
  </si>
  <si>
    <t>체육관2</t>
  </si>
  <si>
    <t>서브넷마스크</t>
  </si>
  <si>
    <t>기본게이트웨이</t>
  </si>
  <si>
    <t>교사 예비용9</t>
  </si>
  <si>
    <t xml:space="preserve">생물실 </t>
  </si>
  <si>
    <t>8.8.8.8</t>
  </si>
  <si>
    <r>
      <rPr>
        <b/>
        <sz val="11"/>
        <color rgb="FFFF0000"/>
        <rFont val="맑은 고딕"/>
        <family val="3"/>
        <charset val="129"/>
      </rPr>
      <t>A</t>
    </r>
    <r>
      <rPr>
        <b/>
        <sz val="11"/>
        <color rgb="FF000000"/>
        <rFont val="맑은 고딕"/>
        <family val="3"/>
        <charset val="129"/>
      </rPr>
      <t>dmin</t>
    </r>
  </si>
  <si>
    <t>3학년8반</t>
  </si>
  <si>
    <t>1학년8반</t>
  </si>
  <si>
    <t>3학년9반</t>
  </si>
  <si>
    <t>큐알코드 여부</t>
  </si>
  <si>
    <t>2학년3반</t>
  </si>
  <si>
    <t>1학년3반</t>
  </si>
  <si>
    <t>2학년8반</t>
  </si>
  <si>
    <t>1학년6반</t>
  </si>
  <si>
    <t>2학년5반</t>
  </si>
  <si>
    <t>3학년3반</t>
  </si>
  <si>
    <t>2학년1반</t>
  </si>
  <si>
    <t>2학년4반</t>
  </si>
  <si>
    <t>2학년7반</t>
  </si>
  <si>
    <t>1학년1반</t>
  </si>
  <si>
    <t>1학년7반</t>
  </si>
  <si>
    <t>2학년2반</t>
  </si>
  <si>
    <t>1학년5반</t>
  </si>
  <si>
    <t>2학년6반</t>
  </si>
  <si>
    <t>3학년1반</t>
  </si>
  <si>
    <t>3학년5반</t>
  </si>
  <si>
    <t>1학년2반</t>
  </si>
  <si>
    <t>1학년4반</t>
  </si>
  <si>
    <t>3학년2반</t>
  </si>
  <si>
    <t>3학년4반</t>
  </si>
  <si>
    <t>3학년6반</t>
  </si>
  <si>
    <t>3학년7반</t>
  </si>
  <si>
    <t>1500GB</t>
  </si>
  <si>
    <t>460GB</t>
  </si>
  <si>
    <t>3.4GHZ</t>
  </si>
  <si>
    <t>3.6GHZ</t>
  </si>
  <si>
    <t>3.3GHZ</t>
  </si>
  <si>
    <t>구 이진채</t>
  </si>
  <si>
    <t>구 이원영</t>
  </si>
  <si>
    <t>250GB</t>
  </si>
  <si>
    <t>구 정진희</t>
  </si>
  <si>
    <t>주문형 강좌</t>
  </si>
  <si>
    <t>파일 서버</t>
  </si>
  <si>
    <t>구 박혜리</t>
  </si>
  <si>
    <t>고장(망실)</t>
  </si>
  <si>
    <t>방송 시보용</t>
  </si>
  <si>
    <t>3.2GHZ</t>
  </si>
  <si>
    <t>구 박연정</t>
  </si>
  <si>
    <t>WIFI</t>
  </si>
  <si>
    <t>진로탐색용</t>
  </si>
  <si>
    <t>검색용1</t>
  </si>
  <si>
    <t>관리강사3</t>
  </si>
  <si>
    <t>구 최인호</t>
  </si>
  <si>
    <t>구 유영복</t>
  </si>
  <si>
    <t>구 탁지완</t>
  </si>
  <si>
    <t>APSBYTP</t>
  </si>
  <si>
    <t>구 이태영</t>
  </si>
  <si>
    <t>구 염혜진</t>
  </si>
  <si>
    <t>김은민2</t>
  </si>
  <si>
    <t>구 김정원</t>
  </si>
  <si>
    <t>구 김영훈</t>
  </si>
  <si>
    <t>구 송미선</t>
  </si>
  <si>
    <t>구 윤국선</t>
  </si>
  <si>
    <t>구 김강일</t>
  </si>
  <si>
    <t>주연테크</t>
  </si>
  <si>
    <t>구 양우경</t>
  </si>
  <si>
    <t>성적처리용</t>
  </si>
  <si>
    <t>특별실용</t>
  </si>
  <si>
    <t>40000MB</t>
  </si>
  <si>
    <t>조리사3</t>
  </si>
  <si>
    <t>김은민3</t>
  </si>
  <si>
    <t>580GB</t>
  </si>
  <si>
    <t>레드스톤시스템</t>
  </si>
  <si>
    <t>LED_19</t>
  </si>
  <si>
    <t>MBL용5</t>
  </si>
  <si>
    <t>불용(사용중)</t>
  </si>
  <si>
    <t>관리강사2</t>
  </si>
  <si>
    <t>MBL용7</t>
  </si>
  <si>
    <t>450GB</t>
  </si>
  <si>
    <t>2.6GHZ</t>
  </si>
  <si>
    <t>LED_20</t>
  </si>
  <si>
    <t>2000GB</t>
  </si>
  <si>
    <t>MBL용3</t>
  </si>
  <si>
    <t>교감선생님</t>
  </si>
  <si>
    <t>플로터용</t>
  </si>
  <si>
    <t>MBL용6</t>
  </si>
  <si>
    <t>200GB</t>
  </si>
  <si>
    <t>구 허정화</t>
  </si>
  <si>
    <t>구 순회교사</t>
  </si>
  <si>
    <t>구 최재희</t>
  </si>
  <si>
    <t>파워 알리미용</t>
  </si>
  <si>
    <t>구 이옥경</t>
  </si>
  <si>
    <t>구 윤필주</t>
  </si>
  <si>
    <t>4000MB</t>
  </si>
  <si>
    <t>대교협 서버</t>
  </si>
  <si>
    <t>MBL용1</t>
  </si>
  <si>
    <t>MBL용4</t>
  </si>
  <si>
    <t>관리강사1</t>
  </si>
  <si>
    <t>DVD_RW</t>
  </si>
  <si>
    <t>2000MB</t>
  </si>
  <si>
    <t>학생증 발급용</t>
  </si>
  <si>
    <t>3.1GHZ</t>
  </si>
  <si>
    <t>MBL용 5</t>
  </si>
  <si>
    <t>구남인일</t>
  </si>
  <si>
    <t>학습 검색용6</t>
  </si>
  <si>
    <t>MBL용 2</t>
  </si>
  <si>
    <t>LED_22</t>
  </si>
  <si>
    <t>579GB</t>
  </si>
  <si>
    <t>2.5GHZ</t>
  </si>
  <si>
    <t>600GB</t>
  </si>
  <si>
    <t>구 길양배</t>
  </si>
  <si>
    <t>MBL용 3</t>
  </si>
  <si>
    <t>447GB</t>
  </si>
  <si>
    <t>폐기(사용중)</t>
  </si>
  <si>
    <t>물리실험실용</t>
  </si>
  <si>
    <t>구 서해니</t>
  </si>
  <si>
    <t>선우혜경</t>
  </si>
  <si>
    <t>학습 검색용3</t>
  </si>
  <si>
    <t>MBL용2</t>
  </si>
  <si>
    <t>동영상 편집용</t>
  </si>
  <si>
    <t>MBL용8</t>
  </si>
  <si>
    <t>검색용4</t>
  </si>
  <si>
    <t>조리사2</t>
  </si>
  <si>
    <t>검색용3</t>
  </si>
  <si>
    <t>학습 검색용1</t>
  </si>
  <si>
    <t>학습 검색용4</t>
  </si>
  <si>
    <t>학습 검색용2</t>
  </si>
  <si>
    <t>MBL용 6</t>
  </si>
  <si>
    <t>구진성훈</t>
  </si>
  <si>
    <t>2048MB</t>
  </si>
  <si>
    <t>구 조성기</t>
  </si>
  <si>
    <t>성적처리컴</t>
  </si>
  <si>
    <t>야구부코치</t>
  </si>
  <si>
    <t>교육실습생1</t>
  </si>
  <si>
    <t>4000</t>
  </si>
  <si>
    <t>MBL용 9</t>
  </si>
  <si>
    <t>구 김정연</t>
  </si>
  <si>
    <t>구 행정실</t>
  </si>
  <si>
    <t>MBL용 1</t>
  </si>
  <si>
    <t>구 정민우</t>
  </si>
  <si>
    <t>조희선1</t>
  </si>
  <si>
    <t>DM-C600</t>
  </si>
  <si>
    <t>3072MB</t>
  </si>
  <si>
    <t>MBL용 8</t>
  </si>
  <si>
    <t>453GB</t>
  </si>
  <si>
    <t>화학실험실용</t>
  </si>
  <si>
    <t>MBL용 7</t>
  </si>
  <si>
    <t>2.9GHZ</t>
  </si>
  <si>
    <t>외부강사용</t>
  </si>
  <si>
    <t>Vista</t>
  </si>
  <si>
    <t>MBL용 4</t>
  </si>
  <si>
    <t>1000MB</t>
  </si>
  <si>
    <t>조희선2</t>
  </si>
  <si>
    <t>3층실습용 9</t>
  </si>
  <si>
    <t>구 조연형</t>
  </si>
  <si>
    <t>2.8GHZ</t>
  </si>
  <si>
    <t>학습 검색용5</t>
  </si>
  <si>
    <t>3컴교사용2</t>
  </si>
  <si>
    <t>구 검색용1</t>
  </si>
  <si>
    <t>구 외부강사용</t>
  </si>
  <si>
    <t>AP 번호</t>
  </si>
  <si>
    <t>2019?</t>
  </si>
  <si>
    <t>TK-454K</t>
  </si>
  <si>
    <t>운용부서</t>
  </si>
  <si>
    <t>설치 장소</t>
  </si>
  <si>
    <t>TN-414</t>
  </si>
  <si>
    <t>레이저프린터</t>
  </si>
  <si>
    <t>물품분류명</t>
  </si>
  <si>
    <t>소모일자</t>
  </si>
  <si>
    <t>AP Mac</t>
  </si>
  <si>
    <t>TK 3114</t>
  </si>
  <si>
    <t>마라톤 교환</t>
  </si>
  <si>
    <t>설치 층</t>
  </si>
  <si>
    <t>교감, WEE</t>
  </si>
  <si>
    <t>분류전환+</t>
  </si>
  <si>
    <t>1학년교무실</t>
  </si>
  <si>
    <t>AP IP</t>
  </si>
  <si>
    <t>2, 3학년부</t>
  </si>
  <si>
    <t>취득구분</t>
  </si>
  <si>
    <t>취득금액</t>
  </si>
  <si>
    <t>학생자치부</t>
  </si>
  <si>
    <t>조달구입</t>
  </si>
  <si>
    <t>3학년교무실</t>
  </si>
  <si>
    <t>품명/규격</t>
  </si>
  <si>
    <t>구 교육과정부</t>
  </si>
  <si>
    <t>2학년교무실</t>
  </si>
  <si>
    <t>자체구입</t>
  </si>
  <si>
    <t>구행정실</t>
  </si>
  <si>
    <t>플로터프린터</t>
  </si>
  <si>
    <t>AP 명</t>
  </si>
  <si>
    <t>다기능프린터</t>
  </si>
  <si>
    <t>2층교무실</t>
  </si>
  <si>
    <t>진로상담부</t>
  </si>
  <si>
    <r>
      <rPr>
        <b/>
        <sz val="11"/>
        <color rgb="FFFF0000"/>
        <rFont val="맑은 고딕"/>
        <family val="3"/>
        <charset val="129"/>
      </rPr>
      <t>A</t>
    </r>
    <r>
      <rPr>
        <sz val="11"/>
        <color rgb="FF000000"/>
        <rFont val="맑은 고딕"/>
        <family val="3"/>
        <charset val="129"/>
      </rPr>
      <t>dmin</t>
    </r>
  </si>
  <si>
    <t>(재고 조사)</t>
  </si>
  <si>
    <t>컴퓨터실1</t>
  </si>
  <si>
    <t>학습도움반</t>
  </si>
  <si>
    <t>3학년상담실</t>
  </si>
  <si>
    <t>잉크젯프린터</t>
  </si>
  <si>
    <t>구 안상영</t>
  </si>
  <si>
    <t xml:space="preserve">마라톤 </t>
  </si>
  <si>
    <t>교육과정부</t>
  </si>
  <si>
    <t>다기능복사기</t>
  </si>
  <si>
    <t>물품목록번호</t>
  </si>
  <si>
    <t>InChang</t>
  </si>
  <si>
    <t>프린터 관리자</t>
  </si>
  <si>
    <t>화학실험실</t>
  </si>
  <si>
    <t>5G SSID</t>
  </si>
  <si>
    <t>야구부합숙소</t>
  </si>
  <si>
    <t>수리과학부</t>
  </si>
  <si>
    <t>5층 컴퓨터실</t>
  </si>
  <si>
    <t>1학년부</t>
  </si>
  <si>
    <t>355MHZ</t>
  </si>
  <si>
    <t>진학상담실</t>
  </si>
  <si>
    <t>인#18</t>
  </si>
  <si>
    <t>cool</t>
  </si>
  <si>
    <t>무선인터넷망</t>
  </si>
  <si>
    <t>대우518B</t>
  </si>
  <si>
    <t>교생 프린트용</t>
  </si>
  <si>
    <t>PC 구분</t>
  </si>
  <si>
    <t>인문사회부</t>
  </si>
  <si>
    <t>임대복합기</t>
  </si>
  <si>
    <t>M2410</t>
  </si>
  <si>
    <t>Wee클래스</t>
  </si>
  <si>
    <t>2학년부</t>
  </si>
  <si>
    <t>교육행정실</t>
  </si>
  <si>
    <t>staff</t>
  </si>
  <si>
    <t>admin</t>
  </si>
  <si>
    <t>2G SSID</t>
  </si>
  <si>
    <t>물품번호</t>
  </si>
  <si>
    <t>ic#2018</t>
  </si>
  <si>
    <t>MS계정 암호</t>
  </si>
  <si>
    <t>ic2018#</t>
  </si>
  <si>
    <t>시설관리실</t>
  </si>
  <si>
    <t>공유기1</t>
  </si>
  <si>
    <t>inchang</t>
  </si>
  <si>
    <t>김태주(공익)</t>
  </si>
  <si>
    <t>inform</t>
  </si>
  <si>
    <t>파일서버</t>
  </si>
  <si>
    <t>물리실험실</t>
  </si>
  <si>
    <t>행정실무사</t>
  </si>
  <si>
    <t>생명과학실</t>
  </si>
  <si>
    <t>CCTV 2</t>
  </si>
  <si>
    <t>진로상담</t>
  </si>
  <si>
    <t>366MHZ</t>
  </si>
  <si>
    <t>진로진학상담부</t>
  </si>
  <si>
    <t>방송부2018</t>
  </si>
  <si>
    <t>수업나눔터</t>
  </si>
  <si>
    <t>인창고등학교</t>
  </si>
  <si>
    <t>4층 미술실</t>
  </si>
  <si>
    <t>체육보건부</t>
  </si>
  <si>
    <t>CCTV 1</t>
  </si>
  <si>
    <t>학생인권안전부</t>
  </si>
  <si>
    <t>CCTV 3</t>
  </si>
  <si>
    <t>지구과학실</t>
  </si>
  <si>
    <t>SSID</t>
  </si>
  <si>
    <t>4층 면학실</t>
  </si>
  <si>
    <t>특수교육부</t>
  </si>
  <si>
    <t>정보과학실</t>
  </si>
  <si>
    <t>내용연수</t>
  </si>
  <si>
    <t>교무기획부</t>
  </si>
  <si>
    <t>5층 녹음실</t>
  </si>
  <si>
    <t>533MHZ</t>
  </si>
  <si>
    <t>수업분석실</t>
  </si>
  <si>
    <t>교육정보부</t>
  </si>
  <si>
    <t>2층 교무실</t>
  </si>
  <si>
    <t>5층 면학실</t>
  </si>
  <si>
    <t>1.1GHZ</t>
  </si>
  <si>
    <t>333MHZ</t>
  </si>
  <si>
    <t>null</t>
  </si>
  <si>
    <t>166MHZ</t>
  </si>
  <si>
    <t>SENS640</t>
  </si>
  <si>
    <t>GB20</t>
  </si>
  <si>
    <t>M2710</t>
  </si>
  <si>
    <t>4.8GHZ</t>
  </si>
  <si>
    <t>㈜훼스트시스템</t>
  </si>
  <si>
    <t>데스크톱</t>
  </si>
  <si>
    <t>892,320</t>
  </si>
  <si>
    <t>600MHZ</t>
  </si>
  <si>
    <t>650MHZ</t>
  </si>
  <si>
    <t>550MHZ</t>
  </si>
  <si>
    <t>701,900</t>
  </si>
  <si>
    <t>MV25</t>
  </si>
  <si>
    <t>CYBER</t>
  </si>
  <si>
    <t>214,000</t>
  </si>
  <si>
    <t>620,000</t>
  </si>
  <si>
    <t>M2000</t>
  </si>
  <si>
    <t>스캐너연결</t>
  </si>
  <si>
    <t>36.2G*2</t>
  </si>
  <si>
    <t>M2700</t>
  </si>
  <si>
    <t>300MHZ</t>
  </si>
  <si>
    <t>M2100</t>
  </si>
  <si>
    <t>M520T</t>
  </si>
  <si>
    <t>M2721</t>
  </si>
  <si>
    <t>FTC200</t>
  </si>
  <si>
    <t>233MHZ</t>
  </si>
  <si>
    <t>933MHZ</t>
  </si>
  <si>
    <t>36G*2</t>
  </si>
  <si>
    <t>M2900</t>
  </si>
  <si>
    <t>CD-ROM</t>
  </si>
  <si>
    <t>256GB</t>
  </si>
  <si>
    <t>컴퓨터교육실</t>
  </si>
  <si>
    <t>대우루컴즈</t>
  </si>
  <si>
    <t>김은민1</t>
  </si>
  <si>
    <t>도서실 수업용</t>
  </si>
  <si>
    <t>PC구분</t>
  </si>
  <si>
    <t>관리유형</t>
  </si>
  <si>
    <t>성주컴텍</t>
  </si>
  <si>
    <t>교장선 노트북</t>
  </si>
  <si>
    <t>628GB</t>
  </si>
  <si>
    <t>120GB</t>
  </si>
  <si>
    <t>관리번호</t>
  </si>
  <si>
    <t>구입금액</t>
  </si>
  <si>
    <t>구매구분</t>
  </si>
  <si>
    <t>태블릿PC</t>
  </si>
  <si>
    <t>일괄구매</t>
  </si>
  <si>
    <t>1.6GHZ</t>
  </si>
  <si>
    <t>주메모리</t>
  </si>
  <si>
    <t>장비상태</t>
  </si>
  <si>
    <t>4.3GHZ</t>
  </si>
  <si>
    <t>자체구매</t>
  </si>
  <si>
    <t>구입일자</t>
  </si>
  <si>
    <t>예산배정구매</t>
  </si>
  <si>
    <t>16GB</t>
  </si>
  <si>
    <t>방송실 편집용</t>
  </si>
  <si>
    <t>1.8GHZ</t>
  </si>
  <si>
    <t>500GB</t>
  </si>
  <si>
    <t>제조회사</t>
  </si>
  <si>
    <t>구 유희정</t>
  </si>
  <si>
    <t>관리자명</t>
  </si>
  <si>
    <t>순회교사</t>
  </si>
  <si>
    <t>0.128GB</t>
  </si>
  <si>
    <t>검색용2</t>
  </si>
  <si>
    <t>2.3GHZ</t>
  </si>
  <si>
    <t>레드스톤</t>
  </si>
  <si>
    <t>구 신선아</t>
  </si>
  <si>
    <t>소강당용</t>
  </si>
  <si>
    <t>A6SBG6P</t>
  </si>
  <si>
    <t>다나와컴퓨터</t>
  </si>
  <si>
    <t>CD_ROM</t>
  </si>
  <si>
    <t>구 박은혜</t>
  </si>
  <si>
    <t>LED_24</t>
  </si>
  <si>
    <t>128GB</t>
  </si>
  <si>
    <t>512GB</t>
  </si>
  <si>
    <t>1000GB</t>
  </si>
  <si>
    <t>운영체제</t>
  </si>
  <si>
    <t>구 김두순</t>
  </si>
  <si>
    <t>3GHZ</t>
  </si>
  <si>
    <t>1C:EC:72:01:58:7A</t>
  </si>
  <si>
    <t>2020-05-28(재고조사)</t>
  </si>
  <si>
    <t>44101501-20498947</t>
  </si>
  <si>
    <t>C9448A(M/B)-무광 검정</t>
  </si>
  <si>
    <t>2021-05-28(마라톤 교환)</t>
  </si>
  <si>
    <t>1C:EC:72:01:58:1B</t>
  </si>
  <si>
    <t>43212105-20704676</t>
  </si>
  <si>
    <t>43212105-21084844</t>
  </si>
  <si>
    <t>1C:EC:72:01:57:FD</t>
  </si>
  <si>
    <t>DocuPrint DP-C2200</t>
  </si>
  <si>
    <t>1C:EC:72:01:58:70</t>
  </si>
  <si>
    <t>C9407A(P/B-L/G) 헤드</t>
  </si>
  <si>
    <t>1C:EC:72:01:58:2F</t>
  </si>
  <si>
    <t>43212105-20704694</t>
  </si>
  <si>
    <t>1C:EC:72:01:58:8E</t>
  </si>
  <si>
    <t>1C:EC:72:01:58:5C</t>
  </si>
  <si>
    <t>44101501-20752268</t>
  </si>
  <si>
    <t>43212105-20505550</t>
  </si>
  <si>
    <t>44101501-21439381</t>
  </si>
  <si>
    <t>신도리코, Aficio 2127</t>
  </si>
  <si>
    <t>43212105-20523512</t>
  </si>
  <si>
    <t>1C:EC:72:01:58:20</t>
  </si>
  <si>
    <t>1C:EC:72:01:58:07</t>
  </si>
  <si>
    <t>44101501-22032178</t>
  </si>
  <si>
    <t>43212104-21112991</t>
  </si>
  <si>
    <t>1C:EC:72:01:58:3E</t>
  </si>
  <si>
    <t>정원엔시스템, Hart-2612MW</t>
  </si>
  <si>
    <t>SINDOH ﻿N607 42BW-4</t>
  </si>
  <si>
    <t>1C:EC:72:01:58:75</t>
  </si>
  <si>
    <t>44101503-20427057</t>
  </si>
  <si>
    <t>1C:EC:72:01:58:48</t>
  </si>
  <si>
    <t>HP C9404(M/B-C) 헤드</t>
  </si>
  <si>
    <t>M2721(2010.08.26폐기)</t>
  </si>
  <si>
    <t>CN/15UG470-MP5SKN</t>
  </si>
  <si>
    <t>M2950(2010.08.26폐기)</t>
  </si>
  <si>
    <t>43212105-21727786</t>
  </si>
  <si>
    <t>DN/DM-C600-PA04G</t>
  </si>
  <si>
    <t>CN/4421s WZ047PA</t>
  </si>
  <si>
    <t>도움반 실습용3(구 3층실습용7)</t>
  </si>
  <si>
    <t>CN/4320s XU390PA</t>
  </si>
  <si>
    <t>43212105-21331599</t>
  </si>
  <si>
    <t>1C:EC:72:01:58:0C</t>
  </si>
  <si>
    <t>CN/NT370E5L-K24G</t>
  </si>
  <si>
    <t>CN/NT270B5E-X02G</t>
  </si>
  <si>
    <t>교사(2012.04.16일자)폐기</t>
  </si>
  <si>
    <t>1C:EC:72:01:58:57</t>
  </si>
  <si>
    <t>1C:EC:72:01:58:16</t>
  </si>
  <si>
    <t>1C:EC:72:01:57:F8</t>
  </si>
  <si>
    <t>256GB SSD + 1GB HDD</t>
  </si>
  <si>
    <t>2학년 면학실3(구 3층실습용3)</t>
  </si>
  <si>
    <t>2학년 면학실2(구 3층실습용2)</t>
  </si>
  <si>
    <t>WINDOW SRVER 2012</t>
  </si>
  <si>
    <t>CN/13Z940-MF50KN</t>
  </si>
  <si>
    <t>CN/DM-V190-PA10G</t>
  </si>
  <si>
    <t>2학년 면학실4(구 3층실습용4)</t>
  </si>
  <si>
    <t>44101501-22674347</t>
  </si>
  <si>
    <t>CN/DB405S3A-A02G</t>
  </si>
  <si>
    <t>도움반 실습용4(구 3층실습용8)</t>
  </si>
  <si>
    <t>1C:EC:72:01:57:F3</t>
  </si>
  <si>
    <t>ibc@inchang.hs.kr</t>
  </si>
  <si>
    <t>박성일(가사실용에서 관리전환)</t>
  </si>
  <si>
    <t>CN/NT550XCJ-K13G</t>
  </si>
  <si>
    <t>Canon, (VN)GX6091</t>
  </si>
  <si>
    <t>도움반 실습용1(구 3층실습용5)</t>
  </si>
  <si>
    <t>MV25(2010.08.26폐기)</t>
  </si>
  <si>
    <t>44101501-23579683</t>
  </si>
  <si>
    <t>&lt; 전자칠판 위치 &gt;(총 11대)</t>
  </si>
  <si>
    <t>경기도교육청 메신저 관리자 페이지</t>
  </si>
  <si>
    <t>SINDOH MF 4550_5550</t>
  </si>
  <si>
    <t>CN/15Z960-GP50KN</t>
  </si>
  <si>
    <t>2학년 면학실1(구 3층실습용1)</t>
  </si>
  <si>
    <t>(CN)MFC2-L8690CDW</t>
  </si>
  <si>
    <t>CN/NT202B5C-S03G</t>
  </si>
  <si>
    <t xml:space="preserve">Intel Core i5 120U	</t>
  </si>
  <si>
    <t>43212105-21525144</t>
  </si>
  <si>
    <t>44101501-23212820</t>
  </si>
  <si>
    <t>43212105-23428140</t>
  </si>
  <si>
    <t xml:space="preserve">Windows 11 Home </t>
  </si>
  <si>
    <t>교사(2010.12.24일자 폐기)</t>
  </si>
  <si>
    <t>CN/NT202B5B-S05G</t>
  </si>
  <si>
    <t>44101503-21537499</t>
  </si>
  <si>
    <t>도움반 실습용2(구 3층실습용6)</t>
  </si>
  <si>
    <t>교육청 교육정보기기 관리시스템</t>
  </si>
  <si>
    <t>MS 클라우드 학교 계정 관리</t>
  </si>
  <si>
    <t>DocuPrint C5005 d</t>
  </si>
  <si>
    <t>43212104-20634275</t>
  </si>
  <si>
    <t>43212107-22449586</t>
  </si>
  <si>
    <t>스마트 단말 관리 시스템(MDM)</t>
  </si>
  <si>
    <t>DocuCentre-II 3005G</t>
  </si>
  <si>
    <t>44101501-20469343</t>
  </si>
  <si>
    <t>44101503-20595443</t>
  </si>
  <si>
    <t>43212105-21848746</t>
  </si>
  <si>
    <t>44101501-23212449</t>
  </si>
  <si>
    <t>43212104-21788706</t>
  </si>
  <si>
    <t>43212105-21741549</t>
  </si>
  <si>
    <t>삼성 NT550XED-KG01G</t>
  </si>
  <si>
    <t xml:space="preserve">DocuCentre-II 2055 </t>
  </si>
  <si>
    <t>43212105-20523596</t>
  </si>
  <si>
    <t>Brother HL-L5100DN</t>
  </si>
  <si>
    <t>인창고 YouTube 용 계정</t>
  </si>
  <si>
    <t>Kyocera P2235dnG</t>
  </si>
  <si>
    <t>44101503-22880368</t>
  </si>
  <si>
    <t>Privay-I 관리자 계정 목록</t>
  </si>
  <si>
    <t>43212105-22449325</t>
  </si>
  <si>
    <t>Kyocera FS-4100DN</t>
  </si>
  <si>
    <t>44101501-22674348</t>
  </si>
  <si>
    <t>44101503-20426970</t>
  </si>
  <si>
    <t>43212105-22999063</t>
  </si>
  <si>
    <t>43212105-22147395</t>
  </si>
  <si>
    <t>43212107-20449818</t>
  </si>
  <si>
    <t>11/28 현재 76,000장 인쇄</t>
  </si>
  <si>
    <t>44101503-21171456</t>
  </si>
  <si>
    <t>1C:EC:72:01:58:02</t>
  </si>
  <si>
    <t>1C:EC:72:01:58:93</t>
  </si>
  <si>
    <t>1C:EC:72:01:58:66</t>
  </si>
  <si>
    <t>SAMSUNG SL-C473W</t>
  </si>
  <si>
    <t>44101501-20990653</t>
  </si>
  <si>
    <t>43212105-20622491</t>
  </si>
  <si>
    <t>44101501-22032177</t>
  </si>
  <si>
    <t>43212105-21866944</t>
  </si>
  <si>
    <t>1C:EC:72:01:58:43</t>
  </si>
  <si>
    <t>43212105-10064694</t>
  </si>
  <si>
    <t>1C:EC:72:01:58:39</t>
  </si>
  <si>
    <t>plotter OneDrive 계정</t>
  </si>
  <si>
    <t>1C:EC:72:01:58:61</t>
  </si>
  <si>
    <t>43212105-23060005</t>
  </si>
  <si>
    <t>44101503-20427087</t>
  </si>
  <si>
    <t>Kyocera FS-6975DN</t>
  </si>
  <si>
    <t>43212105-20562622</t>
  </si>
  <si>
    <t>43212104-20751959</t>
  </si>
  <si>
    <t>43212105-21525085</t>
  </si>
  <si>
    <t>44101503-22633688</t>
  </si>
  <si>
    <t>1C:EC:72:01:58:6B</t>
  </si>
  <si>
    <t>43212110-21566882</t>
  </si>
  <si>
    <t>44101501-22054843</t>
  </si>
  <si>
    <t>1C:EC:72:01:58:89</t>
  </si>
  <si>
    <t>1C:EC:72:01:58:34</t>
  </si>
  <si>
    <t>43212104-20478778</t>
  </si>
  <si>
    <t>1C:EC:72:01:58:4D</t>
  </si>
  <si>
    <t>43212105-22444409</t>
  </si>
  <si>
    <t>44101501-20838515</t>
  </si>
  <si>
    <t>1C:EC:72:01:58:2A</t>
  </si>
  <si>
    <t>1C:EC:72:01:58:25</t>
  </si>
  <si>
    <t>1C:EC:72:01:58:11</t>
  </si>
  <si>
    <t>44101503-20427050</t>
  </si>
  <si>
    <t>43212105-22198102</t>
  </si>
  <si>
    <t>1C:EC:72:01:58:84</t>
  </si>
  <si>
    <t>44101503-20426960</t>
  </si>
  <si>
    <t>43212104-20632439</t>
  </si>
  <si>
    <t>44101503-20427059</t>
  </si>
  <si>
    <t>1C:EC:72:01:58:52</t>
  </si>
  <si>
    <t>43212105-21084845</t>
  </si>
  <si>
    <t>1C:EC:72:01:58:7F</t>
  </si>
  <si>
    <t>icgo20#24</t>
  </si>
  <si>
    <t>2024.03.29</t>
  </si>
  <si>
    <t>2024.04.12</t>
  </si>
  <si>
    <t>goegn159#$</t>
  </si>
  <si>
    <t>5층 통합지원실2</t>
  </si>
  <si>
    <t>3학년 대입설명회용</t>
  </si>
  <si>
    <t>예비용7(구 이준남)</t>
  </si>
  <si>
    <t>도서관 자료검색용</t>
  </si>
  <si>
    <t>2층 컴퓨터실로 이동</t>
  </si>
  <si>
    <t>불용처분 
시기</t>
  </si>
  <si>
    <t>gn_ic_hs</t>
  </si>
  <si>
    <t>마라톤 상사 임대</t>
  </si>
  <si>
    <t>A2SC-4VCI</t>
  </si>
  <si>
    <t>inchangh</t>
  </si>
  <si>
    <t>A2TC-4VCIN</t>
  </si>
  <si>
    <t>수리과학부 학생용</t>
  </si>
  <si>
    <t>기본설정DNS서버</t>
  </si>
  <si>
    <t>경기도 상용클라우드</t>
  </si>
  <si>
    <t>10.51.90.1</t>
  </si>
  <si>
    <t>smart21_138</t>
  </si>
  <si>
    <t>H41001470</t>
  </si>
  <si>
    <t>TK-6329K</t>
  </si>
  <si>
    <t>화학실험실 교사용</t>
  </si>
  <si>
    <t>늑대와여우컴퓨터</t>
  </si>
  <si>
    <t>3층 실습용 31</t>
  </si>
  <si>
    <t>정보과학실 학생용 6</t>
  </si>
  <si>
    <t>정보과학실 학생용 5</t>
  </si>
  <si>
    <t>정보과학실 학생용 7</t>
  </si>
  <si>
    <t>WINDOW 11</t>
  </si>
  <si>
    <t>WINDOW 10</t>
  </si>
  <si>
    <t>강당(시청각실)</t>
  </si>
  <si>
    <t>정보과학실 학생용 8</t>
  </si>
  <si>
    <t>3층 실습용 29</t>
  </si>
  <si>
    <t>3층 실습용 24</t>
  </si>
  <si>
    <t>3층 실습용 10</t>
  </si>
  <si>
    <t>3층 실습용 25</t>
  </si>
  <si>
    <t>3층 실습용 30</t>
  </si>
  <si>
    <t>3층 실습용 23</t>
  </si>
  <si>
    <t>3층 실습용 22</t>
  </si>
  <si>
    <t>3층 실습용 26</t>
  </si>
  <si>
    <t>지구과학실험실 교사용</t>
  </si>
  <si>
    <t>3층 실습용 28</t>
  </si>
  <si>
    <t>3층 실습용 19</t>
  </si>
  <si>
    <t>3층 실습용 18</t>
  </si>
  <si>
    <t>NY-Q95PE00D</t>
  </si>
  <si>
    <t>3층 실습용 12</t>
  </si>
  <si>
    <t>정보과학실 학생용 4</t>
  </si>
  <si>
    <t>물리실험실 교사용</t>
  </si>
  <si>
    <t>3층 실습용 16</t>
  </si>
  <si>
    <t>생명과학실험실 교사용</t>
  </si>
  <si>
    <t>3층 실습용 15</t>
  </si>
  <si>
    <t>3층 실습용 08</t>
  </si>
  <si>
    <t>3층 실습용 27</t>
  </si>
  <si>
    <t>3층 실습용 20</t>
  </si>
  <si>
    <t>구 5층 면학실4</t>
  </si>
  <si>
    <t>3층 실습용 11</t>
  </si>
  <si>
    <t>3층 실습용 04</t>
  </si>
  <si>
    <t>구 5층 면학실6</t>
  </si>
  <si>
    <t>DVD_MULTI</t>
  </si>
  <si>
    <t>3층 실습용 07</t>
  </si>
  <si>
    <t>3층 실습용 14</t>
  </si>
  <si>
    <t>3층 실습용 21</t>
  </si>
  <si>
    <t>특수교육실 실습용 1</t>
  </si>
  <si>
    <t>3층 실습용 09</t>
  </si>
  <si>
    <t>3층 실습용 13</t>
  </si>
  <si>
    <t>3층 실습용 17</t>
  </si>
  <si>
    <t>구 5층 면학실3</t>
  </si>
  <si>
    <t>3층 실습용 05</t>
  </si>
  <si>
    <t>3학년 외부강사용</t>
  </si>
  <si>
    <t>정보과학실 학생용 3</t>
  </si>
  <si>
    <t>구 5층 면학실2</t>
  </si>
  <si>
    <t>3층 실습용 01</t>
  </si>
  <si>
    <t>특수교육실 실습용 3</t>
  </si>
  <si>
    <t>3층 실습용 06</t>
  </si>
  <si>
    <t>3층 실습용 02</t>
  </si>
  <si>
    <t>4층 학부모 회의실</t>
  </si>
  <si>
    <t>특수교육실 실습용 4</t>
  </si>
  <si>
    <t>구 소해준(공익)</t>
  </si>
  <si>
    <t>3층 실습용 03</t>
  </si>
  <si>
    <t>특수교육실 실습용 5</t>
  </si>
  <si>
    <t>구 5층 면학실5</t>
  </si>
  <si>
    <t>특수교육실 실습용 2</t>
  </si>
  <si>
    <t>5층 실습용 23</t>
  </si>
  <si>
    <t>교육정보부 보관</t>
  </si>
  <si>
    <t>정보과학실 학생용 1</t>
  </si>
  <si>
    <t>5층 실습용 29</t>
  </si>
  <si>
    <t>정보과학실 학생용 2</t>
  </si>
  <si>
    <t>5층 실습용 35</t>
  </si>
  <si>
    <t>2019년 입력</t>
  </si>
  <si>
    <t>정보과학실 교사용</t>
  </si>
  <si>
    <t>JY-AX44P5G</t>
  </si>
  <si>
    <t>5층 실습용 34</t>
  </si>
  <si>
    <t>솔로탑G-3FEE</t>
  </si>
  <si>
    <t>5층 실습용 32</t>
  </si>
  <si>
    <t>구 5층 면학실1</t>
  </si>
  <si>
    <t>RHS-549PE</t>
  </si>
  <si>
    <t>5층 실습용 22</t>
  </si>
  <si>
    <t>5컴 교사용 2</t>
  </si>
  <si>
    <t>5층 실습용 24</t>
  </si>
  <si>
    <t>5층 실습용 6</t>
  </si>
  <si>
    <t>5층 실습용 27</t>
  </si>
  <si>
    <t>5층 실습용 31</t>
  </si>
  <si>
    <t>5컴 교사용 1</t>
  </si>
  <si>
    <t>5층 실습용 15</t>
  </si>
  <si>
    <t>5층 실습용 17</t>
  </si>
  <si>
    <t>5층 실습용 12</t>
  </si>
  <si>
    <t>5층 실습용 30</t>
  </si>
  <si>
    <t>5층 실습용 7</t>
  </si>
  <si>
    <t>5층 실습용 28</t>
  </si>
  <si>
    <t>5층 실습용 14</t>
  </si>
  <si>
    <t>5층 실습용 21</t>
  </si>
  <si>
    <t>5층 실습용 25</t>
  </si>
  <si>
    <t>5층 실습용 33</t>
  </si>
  <si>
    <t>5층 실습용 26</t>
  </si>
  <si>
    <t>10.54.36.10</t>
  </si>
  <si>
    <t>무선망 AP 관리용</t>
  </si>
  <si>
    <t>5층 실습용 2</t>
  </si>
  <si>
    <t>5층 실습용 10</t>
  </si>
  <si>
    <t>DVD_COMBO</t>
  </si>
  <si>
    <t>5층 실습용 20</t>
  </si>
  <si>
    <t>5층 실습용 16</t>
  </si>
  <si>
    <t>5층 실습용 3</t>
  </si>
  <si>
    <t>5층 실습용 11</t>
  </si>
  <si>
    <t>5층 실습용 5</t>
  </si>
  <si>
    <t>인창고6(구 권은주)</t>
  </si>
  <si>
    <t>5층 실습용 18</t>
  </si>
  <si>
    <t>5층 실습용 13</t>
  </si>
  <si>
    <t>5층 실습용 19</t>
  </si>
  <si>
    <t>5층 실습용 8</t>
  </si>
  <si>
    <t>5층 실습용 9</t>
  </si>
  <si>
    <t>구 MBL용 5</t>
  </si>
  <si>
    <t>인창고1(구 황정인)</t>
  </si>
  <si>
    <t>구 MBL용 2</t>
  </si>
  <si>
    <t>구 MBL용 7</t>
  </si>
  <si>
    <t>인창고2(구 안준상)</t>
  </si>
  <si>
    <t>구 MBL용 3</t>
  </si>
  <si>
    <t>WINDOW 7</t>
  </si>
  <si>
    <t>5층 실습용 4</t>
  </si>
  <si>
    <t>TSF-P16MBC</t>
  </si>
  <si>
    <t>TAG-R04MBA8</t>
  </si>
  <si>
    <t>WEE 클래스 학생용</t>
  </si>
  <si>
    <t>구 김태주(공익)</t>
  </si>
  <si>
    <t>인창고7(구 김광숙)</t>
  </si>
  <si>
    <t>5층 실습용 1</t>
  </si>
  <si>
    <t>3층실습용 24</t>
  </si>
  <si>
    <t>구 MBL용 4</t>
  </si>
  <si>
    <t>구 MBL용 6</t>
  </si>
  <si>
    <t>2010.10.01</t>
  </si>
  <si>
    <t>3층실습용 29</t>
  </si>
  <si>
    <t>2015.01.27</t>
  </si>
  <si>
    <t>2005.09.22</t>
  </si>
  <si>
    <t>2020. 01 폐기</t>
  </si>
  <si>
    <t>2006.05.30</t>
  </si>
  <si>
    <t>2005.09.15</t>
  </si>
  <si>
    <t>구 정보과학실용</t>
  </si>
  <si>
    <t>구 MBL용 9</t>
  </si>
  <si>
    <t>구 MBL용 8</t>
  </si>
  <si>
    <t>2005.10.10</t>
  </si>
  <si>
    <t>구 에어컨 관리용</t>
  </si>
  <si>
    <t>생명과학실험실용</t>
  </si>
  <si>
    <t>2020. 11 폐기</t>
  </si>
  <si>
    <t>goegn159</t>
  </si>
  <si>
    <r>
      <t>예전</t>
    </r>
    <r>
      <rPr>
        <sz val="10"/>
        <color rgb="FF000000"/>
        <rFont val="돋움"/>
        <family val="3"/>
        <charset val="129"/>
      </rPr>
      <t>5층학생통합지원실1</t>
    </r>
  </si>
  <si>
    <r>
      <t xml:space="preserve">WINDOW </t>
    </r>
    <r>
      <rPr>
        <sz val="10"/>
        <color rgb="FFFF0000"/>
        <rFont val="맑은 고딕"/>
        <family val="3"/>
        <charset val="129"/>
      </rPr>
      <t>10</t>
    </r>
  </si>
  <si>
    <t>Gyeonggi_inchang.hs_AP01</t>
  </si>
  <si>
    <t>Kyocera  ECOSYS P7040cdn</t>
  </si>
  <si>
    <t>생년월일 1996년 1월 13일 (인창고 개교일)</t>
  </si>
  <si>
    <t>AVERATEC TS-508.T5J33F3NH</t>
  </si>
  <si>
    <t>Gyeonggi_inchang.hs_AP08</t>
  </si>
  <si>
    <t>Gyeonggi_inchang.hs_AP10</t>
  </si>
  <si>
    <t>https://10.0.100.73:8806/</t>
  </si>
  <si>
    <t>Gyeonggi_inchang.hs_AP31</t>
  </si>
  <si>
    <t>Gyeonggi_inchang.hs_AP11</t>
  </si>
  <si>
    <t>CN/8100Elite CMT WMO24PA</t>
  </si>
  <si>
    <t>Gyeonggi_inchang.hs_AP09</t>
  </si>
  <si>
    <t>Gyeonggi_inchang.hs_AP14</t>
  </si>
  <si>
    <t>삼성전자, ML-1520, A4, 14ppm</t>
  </si>
  <si>
    <t>Gyeonggi_inchang.hs_AP17</t>
  </si>
  <si>
    <t>가입이메일: ibc@inchang.hs.kr</t>
  </si>
  <si>
    <t>plotter@inchangh.goe.go.kr</t>
  </si>
  <si>
    <t>Gyeonggi_inchang.hs_AP05</t>
  </si>
  <si>
    <t>4층 면학실, 교과교실 AP 본체 1개+위성 2개</t>
  </si>
  <si>
    <t>Gyeonggi_inchang.hs_AP07</t>
  </si>
  <si>
    <t>Gyeonggi_inchang.hs_AP02</t>
  </si>
  <si>
    <t>Compaq PROLIANT ML350 G3</t>
  </si>
  <si>
    <t>(옵션)신도리코, 자동양면원고이송기, RADF</t>
  </si>
  <si>
    <t>Gyeonggi_inchang.hs_AP27</t>
  </si>
  <si>
    <t>신도리코, N606, 모노 36매, 컬러스캔가능</t>
  </si>
  <si>
    <t>Gyeonggi_inchang.hs_AP03</t>
  </si>
  <si>
    <t>Gyeonggi_inchang.hs_AP28</t>
  </si>
  <si>
    <t>Gyeonggi_inchang.hs_AP12</t>
  </si>
  <si>
    <t>SM-P615NZAHKOO(갤럭시탭 S6 L)</t>
  </si>
  <si>
    <t>Gyeonggi_inchang.hs_AP24</t>
  </si>
  <si>
    <t>Kyocera TASKalfa 3010i 토너</t>
  </si>
  <si>
    <t>Gyeonggi_inchang.hs_AP21</t>
  </si>
  <si>
    <t>Gyeonggi_inchang.hs_AP26</t>
  </si>
  <si>
    <t>https://accounts.google.com</t>
  </si>
  <si>
    <t>Gyeonggi_inchang.hs_AP15</t>
  </si>
  <si>
    <t>(옵션)한국후지제록스, ADF, 자동원고송고장치</t>
  </si>
  <si>
    <t>Gyeonggi_inchang.hs_AP32</t>
  </si>
  <si>
    <t>Gyeonggi_inchang.hs_AP20</t>
  </si>
  <si>
    <t>http://10.0.200.219:8080</t>
  </si>
  <si>
    <t>Intel Core i7 150U(1.8GHz)</t>
  </si>
  <si>
    <t>Gyeonggi_inchang.hs_AP06</t>
  </si>
  <si>
    <t>Gyeonggi_inchang.hs_AP25</t>
  </si>
  <si>
    <t>Gyeonggi_inchang.hs_AP30</t>
  </si>
  <si>
    <t>Gyeonggi_inchang.hs_AP18</t>
  </si>
  <si>
    <t>https://mdm.aiedu.or.kr/</t>
  </si>
  <si>
    <t>Intel Core i5 12400(2.5GHz)</t>
  </si>
  <si>
    <t>Gyeonggi_inchang.hs_AP16</t>
  </si>
  <si>
    <t>Gyeonggi_inchang.hs_AP22</t>
  </si>
  <si>
    <t>Gyeonggi_inchang.hs_AP19</t>
  </si>
  <si>
    <t>Gyeonggi_inchang.hs_AP29</t>
  </si>
  <si>
    <t>Gyeonggi_inchang.hs_AP33</t>
  </si>
  <si>
    <t>신도리코, N607, 모노 42매, 컬러스캔가능</t>
  </si>
  <si>
    <t>Gyeonggi_inchang.hs_AP13</t>
  </si>
  <si>
    <t>Gyeonggi_inchang.hs_AP04</t>
  </si>
  <si>
    <t>Gyeonggi_inchang.hs_AP23</t>
  </si>
  <si>
    <t>Document Centre C250</t>
  </si>
  <si>
    <t>3-2-07-3-1-025-7-0006</t>
  </si>
  <si>
    <t>Kyocera ECOSYS P6235cdn</t>
  </si>
  <si>
    <t>https://my.inames.co.kr</t>
  </si>
  <si>
    <t>3개 과학실험실 AP 본체 1개+위성 2개</t>
  </si>
  <si>
    <t>3-2-07-3-1-025-7-0005</t>
  </si>
  <si>
    <t>3-2-07-3-1-025-7-0007</t>
  </si>
  <si>
    <t>Canon imageRUNNER 2204F</t>
  </si>
  <si>
    <t>inchanggo@inchang.hs.kr</t>
  </si>
  <si>
    <t>Intel Core i5 1135G7</t>
  </si>
  <si>
    <t>HP DesignJet Z6 24in</t>
  </si>
  <si>
    <t>Privay-I 관리자 계정 목록(구)</t>
  </si>
  <si>
    <t>ASUSTek COMPUTER INC.</t>
  </si>
  <si>
    <t>Intel Core i5-10210U</t>
  </si>
  <si>
    <t>(옵션)신도리코, 자동원고송고장치, ADF</t>
  </si>
  <si>
    <t>5층 면학실 AP 본체 1개+위성 2개</t>
  </si>
  <si>
    <t>http://egms.ken.go.kr</t>
  </si>
  <si>
    <t>Kyocera TASKalfa 5003i</t>
  </si>
  <si>
    <t>Kyocera TASKalfa 3253ci</t>
  </si>
  <si>
    <t>padlet@inchang.hs.kr</t>
  </si>
  <si>
    <t>Kyocera TASKalfa 3554ci</t>
  </si>
  <si>
    <t>MVNIU-IGEVP-NSYAW-XFHQI</t>
  </si>
  <si>
    <t>11/28 현재 219,000장 인쇄</t>
  </si>
  <si>
    <t>Kyocera TASKalfa 3011i</t>
  </si>
  <si>
    <t>Kyocera TASKalfa 3510i</t>
  </si>
  <si>
    <t xml:space="preserve">DocuCentre-III 3007 </t>
  </si>
  <si>
    <t>잉크젯프린터, 한국HP, 450, A4</t>
  </si>
  <si>
    <t>Kyocera TASKalfa 4002i</t>
  </si>
  <si>
    <t>한국후지제록스, JP/DCII 2055G</t>
  </si>
  <si>
    <t>Kyocera ECOSYS M5526cdn</t>
  </si>
  <si>
    <t>3-2-07-3-1-025-7-0014</t>
  </si>
  <si>
    <t>3-2-07-3-1-025-7-0009</t>
  </si>
  <si>
    <t>3-2-07-3-1-025-7-0015</t>
  </si>
  <si>
    <t>3-2-07-3-1-025-7-0002</t>
  </si>
  <si>
    <t>3-2-07-3-1-025-7-0017</t>
  </si>
  <si>
    <t>3-2-07-3-1-025-7-0003</t>
  </si>
  <si>
    <t>3-2-07-3-1-025-7-0011</t>
  </si>
  <si>
    <t>3-2-07-3-1-025-7-0010</t>
  </si>
  <si>
    <t>3-2-07-3-1-025-7-0008</t>
  </si>
  <si>
    <t>3-2-07-3-1-025-7-0016</t>
  </si>
  <si>
    <t>3-2-07-3-1-025-7-0004</t>
  </si>
  <si>
    <t>3-2-07-3-1-025-7-0001</t>
  </si>
  <si>
    <t>https://gsms.goe.go.kr/</t>
  </si>
  <si>
    <t>3-2-07-3-1-025-7-0012</t>
  </si>
  <si>
    <t>3-2-07-3-1-025-7-0013</t>
  </si>
  <si>
    <t>NT550XED-KG03G</t>
  </si>
  <si>
    <t>NT550XED-KG01G</t>
  </si>
  <si>
    <t>NT370E5J-K04G</t>
  </si>
  <si>
    <t>B55PQ.AS5G20D</t>
  </si>
  <si>
    <t>R510-G.A285KN</t>
  </si>
  <si>
    <t>20230315-0920</t>
  </si>
  <si>
    <t>VITO RMS-565S1</t>
  </si>
  <si>
    <t>B55PS.AS3700D</t>
  </si>
  <si>
    <t>A515-K.AF50KN</t>
  </si>
  <si>
    <t>DG375-GA31-0BPS</t>
  </si>
  <si>
    <t>20230315-0919</t>
  </si>
  <si>
    <t>TD210-GCL23S</t>
  </si>
  <si>
    <t>S50PH.AS7400D</t>
  </si>
  <si>
    <t>VITO RMS-565S</t>
  </si>
  <si>
    <t>NT500P7C-S04G</t>
  </si>
  <si>
    <t>Latitude3520</t>
  </si>
  <si>
    <t>JY-환타스틱IA49P</t>
  </si>
  <si>
    <t>NT550XDA-KG03G</t>
  </si>
  <si>
    <t>B55PH.AS5M10D</t>
  </si>
  <si>
    <t>E500-G.A781KN</t>
  </si>
  <si>
    <t>WFG-H116FC-IGTB</t>
  </si>
  <si>
    <t>NT300E5L-K51G</t>
  </si>
  <si>
    <t>학생회(구 WEE학생용)</t>
  </si>
  <si>
    <t>A510-U.ARA2KN</t>
  </si>
  <si>
    <t>MHAA-AD-E7SAC</t>
  </si>
  <si>
    <t>NT500R5L-M01G</t>
  </si>
  <si>
    <t>SD100-GCR22S</t>
  </si>
  <si>
    <t>Z20NP.AR3100D</t>
  </si>
  <si>
    <t>NT370E5J-K06G</t>
  </si>
  <si>
    <t>B10KG.ATB300D</t>
  </si>
  <si>
    <t>NT550XDA-KG01G</t>
  </si>
  <si>
    <t>VITO RMH-545</t>
  </si>
  <si>
    <t>S50PH.AS7410D</t>
  </si>
  <si>
    <t>N5800-G050-OU02</t>
  </si>
  <si>
    <t>DM-Z58/H301G</t>
  </si>
  <si>
    <t>DM-Z58/N321G</t>
  </si>
  <si>
    <t>DM-V190-PA14G</t>
  </si>
  <si>
    <t>Compaq ML110</t>
  </si>
  <si>
    <t>EPSON B-310N</t>
  </si>
  <si>
    <t>A50PH.AR5A10D</t>
  </si>
  <si>
    <t>R510-G.A28PKN</t>
  </si>
  <si>
    <t>DB-P63A/QUAD</t>
  </si>
  <si>
    <t>X570KG.ATP95D</t>
  </si>
  <si>
    <t>GN_HS_ICADMIN</t>
  </si>
  <si>
    <t>무선통합관리시스템(wNMS)</t>
  </si>
  <si>
    <t>NT550P7C-S04G</t>
  </si>
  <si>
    <t>구 무선망 AP 관리용</t>
  </si>
  <si>
    <t>(원어민(Hadley))</t>
  </si>
  <si>
    <t>B10KG.ACD400D</t>
  </si>
  <si>
    <t>JY-네이션스IA45K</t>
  </si>
  <si>
    <t>DM-P40/H300G</t>
  </si>
  <si>
    <t>B10KN.ACC500D</t>
  </si>
  <si>
    <t>KN_HI_INC_ADMIN</t>
  </si>
  <si>
    <t>EPSON WF-5620</t>
  </si>
  <si>
    <t>에어컨 관리(구 김민정)</t>
  </si>
  <si>
    <t>(10.51.90.116)</t>
  </si>
  <si>
    <t>WEE 클래스(구 이옥경)</t>
  </si>
  <si>
    <t>DB-Z58/H301G</t>
  </si>
  <si>
    <t>administrator</t>
  </si>
  <si>
    <t>Z75PS.AR5M10D</t>
  </si>
  <si>
    <t>E500-G.A725KN</t>
  </si>
  <si>
    <t>R410-G.A28LKN</t>
  </si>
  <si>
    <t>DocuPrint C2200</t>
  </si>
  <si>
    <t>인창고 Domain 관리</t>
  </si>
  <si>
    <t>DM-Z59/D320G</t>
  </si>
  <si>
    <t>R570-K.AR76KN</t>
  </si>
  <si>
    <t>10.59.87.160</t>
  </si>
  <si>
    <t>10.59.87.153</t>
  </si>
  <si>
    <t>DREAMSYSOFFICE</t>
  </si>
  <si>
    <t>10.59.87.170</t>
  </si>
  <si>
    <t>10.59.87.149</t>
  </si>
  <si>
    <t>교육정보부 보관(예정)</t>
  </si>
  <si>
    <t xml:space="preserve"> TASKalfa 4012i</t>
  </si>
  <si>
    <t>10.59.87.172</t>
  </si>
  <si>
    <t>10.59.87.159</t>
  </si>
  <si>
    <t>10.59.87.154</t>
  </si>
  <si>
    <t>10.59.87.158</t>
  </si>
  <si>
    <t>10.59.87.161</t>
  </si>
  <si>
    <t>10.59.87.167</t>
  </si>
  <si>
    <t>10.59.87.157</t>
  </si>
  <si>
    <t>10.59.87.164</t>
  </si>
  <si>
    <t>DocuPrint 3055</t>
  </si>
  <si>
    <t>10.59.87.175</t>
  </si>
  <si>
    <t>dlsckdrh#2018</t>
  </si>
  <si>
    <t>야구부(5층컴퓨터실사용중)</t>
  </si>
  <si>
    <t>10.59.87.155</t>
  </si>
  <si>
    <t>4층 지리교과실(제거 예정)</t>
  </si>
  <si>
    <t>10.59.87.151</t>
  </si>
  <si>
    <t xml:space="preserve"> TASKalfa 4002i</t>
  </si>
  <si>
    <t>10.59.87.176</t>
  </si>
  <si>
    <t>10.59.87.148</t>
  </si>
  <si>
    <t>10.59.87.163</t>
  </si>
  <si>
    <t>10.59.87.173</t>
  </si>
  <si>
    <t>10.59.87.166</t>
  </si>
  <si>
    <t>10.59.87.162</t>
  </si>
  <si>
    <t>10.59.87.156</t>
  </si>
  <si>
    <t>111G,232G,232G</t>
  </si>
  <si>
    <t>10.59.87.165</t>
  </si>
  <si>
    <t>20191224-0812</t>
  </si>
  <si>
    <t>Sindoh B601_606</t>
  </si>
  <si>
    <t>2019.12.05(마라톤)</t>
  </si>
  <si>
    <t>20191224-0816</t>
  </si>
  <si>
    <t>10.59.87.150</t>
  </si>
  <si>
    <t>2021-10-06(교환)</t>
  </si>
  <si>
    <t>10.59.87.168</t>
  </si>
  <si>
    <t>10.59.87.174</t>
  </si>
  <si>
    <t>2021-02-23(마라톤)</t>
  </si>
  <si>
    <t>10.59.87.152</t>
  </si>
  <si>
    <t>10.59.87.171</t>
  </si>
  <si>
    <t>10.59.87.147</t>
  </si>
  <si>
    <t>2022-03-23(교환)</t>
  </si>
  <si>
    <t>10.59.87.169</t>
  </si>
  <si>
    <t>20191224-0814</t>
  </si>
  <si>
    <t>20191224-0810</t>
  </si>
  <si>
    <t>2022-03-07(누락분)</t>
  </si>
  <si>
    <t>한국후지제록스, DCC250</t>
  </si>
  <si>
    <t>10.59.87.178</t>
  </si>
  <si>
    <t>20191224-0815</t>
  </si>
  <si>
    <t>10.59.87.177</t>
  </si>
  <si>
    <t>20191224-0809</t>
  </si>
  <si>
    <t>TK-7109(3010i)</t>
  </si>
  <si>
    <t>10.59.87.179</t>
  </si>
  <si>
    <t>20191224-0813</t>
  </si>
  <si>
    <t>2019-10-11(재생)</t>
  </si>
  <si>
    <t>2022-10-05(마라톤)</t>
  </si>
  <si>
    <t>TK-7119K(3011i)</t>
  </si>
  <si>
    <t>20191224-0811</t>
  </si>
  <si>
    <t>2020-02-04(마라톤)</t>
  </si>
  <si>
    <t xml:space="preserve">Windows 11 Pro </t>
  </si>
  <si>
    <t>168.126.63.1</t>
  </si>
  <si>
    <t>(2024년부터 변경)</t>
  </si>
  <si>
    <t>dlsckdrh#2019</t>
  </si>
  <si>
    <t>인창고 G Suiet 관리</t>
  </si>
  <si>
    <t>위클래스 사용(2407)</t>
  </si>
  <si>
    <t>NT750XGK-KG51G</t>
  </si>
  <si>
    <t>NT750XGK-KG71G</t>
  </si>
  <si>
    <t>NT550XDA-KG11G</t>
  </si>
  <si>
    <t>255.255.254.0</t>
  </si>
  <si>
    <t>감사장(5/27~29)</t>
  </si>
  <si>
    <t>교사 예비용8 학부모 대여</t>
  </si>
  <si>
    <t>학부모상주실(2025년도)</t>
  </si>
  <si>
    <t>(교사예비용10이었음)</t>
  </si>
  <si>
    <t>DS361A-245430</t>
  </si>
  <si>
    <t>도원산업, CF1-BTL33</t>
  </si>
  <si>
    <t>TASKalfa3554ci</t>
  </si>
  <si>
    <t>스마트엑세스, D-30FWH</t>
  </si>
  <si>
    <t>공모교장평가(11/5)</t>
  </si>
  <si>
    <t>20230315-0921</t>
  </si>
  <si>
    <t>예전3층미술실2</t>
  </si>
  <si>
    <t>HL-L8260CDN</t>
  </si>
  <si>
    <t>2025.3.27</t>
  </si>
  <si>
    <t>교사 예비용 12</t>
  </si>
  <si>
    <t>교사 예비용 11</t>
  </si>
  <si>
    <t>교사 예비용 18</t>
  </si>
  <si>
    <t>교사 예비용 17</t>
  </si>
  <si>
    <t>교사 예비용 13</t>
  </si>
  <si>
    <t>교사 예비용 14</t>
  </si>
  <si>
    <t>교사 예비용 16</t>
  </si>
  <si>
    <t>교사 예비용 19</t>
  </si>
  <si>
    <t>현재 레드스톤2019</t>
  </si>
  <si>
    <t>교사 예비용 15</t>
  </si>
  <si>
    <t>(교사예비용2였음)</t>
  </si>
  <si>
    <t>황경환 교감선생님</t>
  </si>
  <si>
    <t>WEE 클래스(여분)</t>
  </si>
  <si>
    <t>2025년도 확인</t>
  </si>
  <si>
    <t>반납함(2025.7)</t>
  </si>
  <si>
    <t>win ESU설치</t>
  </si>
  <si>
    <r>
      <rPr>
        <b/>
        <strike/>
        <sz val="11"/>
        <color rgb="FF000000"/>
        <rFont val="맑은 고딕"/>
        <family val="3"/>
        <charset val="129"/>
      </rPr>
      <t>iam</t>
    </r>
    <r>
      <rPr>
        <strike/>
        <sz val="11"/>
        <color rgb="FF000000"/>
        <rFont val="맑은 고딕"/>
        <family val="3"/>
        <charset val="129"/>
      </rPr>
      <t xml:space="preserve"> Teacher</t>
    </r>
  </si>
  <si>
    <t>2024년12월</t>
  </si>
  <si>
    <t>불용(25.12)</t>
  </si>
  <si>
    <t>10.51.90.99</t>
  </si>
  <si>
    <t>DR281-GS51-012 intel core i5</t>
  </si>
  <si>
    <t>https://cloud.goe.go.kr/admin/</t>
  </si>
  <si>
    <t>학생가입키 : MSGOO-SFHWA-GOOXX-OLIKN</t>
  </si>
  <si>
    <t>https://msg.goe.go.kr:18007/</t>
  </si>
  <si>
    <r>
      <t>4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</si>
  <si>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r>
      <t>5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</si>
  <si>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t>노트북</t>
    <phoneticPr fontId="28" type="noConversion"/>
  </si>
  <si>
    <t>활용중</t>
    <phoneticPr fontId="28" type="noConversion"/>
  </si>
  <si>
    <t>교원용</t>
    <phoneticPr fontId="28" type="noConversion"/>
  </si>
  <si>
    <t>NT750XGK-KG76P</t>
    <phoneticPr fontId="28" type="noConversion"/>
  </si>
  <si>
    <t>삼성</t>
    <phoneticPr fontId="28" type="noConversion"/>
  </si>
  <si>
    <t>정보교육부</t>
    <phoneticPr fontId="28" type="noConversion"/>
  </si>
  <si>
    <t>김용천</t>
    <phoneticPr fontId="28" type="noConversion"/>
  </si>
  <si>
    <t>민별</t>
    <phoneticPr fontId="28" type="noConversion"/>
  </si>
  <si>
    <t>교사 예비용 20</t>
    <phoneticPr fontId="28" type="noConversion"/>
  </si>
  <si>
    <t>i5-1135G7(2.40Ghz)</t>
  </si>
  <si>
    <t>김혜원</t>
    <phoneticPr fontId="28" type="noConversion"/>
  </si>
  <si>
    <t>여지현</t>
    <phoneticPr fontId="28" type="noConversion"/>
  </si>
  <si>
    <t>황서희</t>
    <phoneticPr fontId="28" type="noConversion"/>
  </si>
  <si>
    <t>송영재</t>
    <phoneticPr fontId="28" type="noConversion"/>
  </si>
  <si>
    <t>한혜원</t>
    <phoneticPr fontId="28" type="noConversion"/>
  </si>
  <si>
    <t>박수진</t>
    <phoneticPr fontId="28" type="noConversion"/>
  </si>
  <si>
    <t>김대승</t>
    <phoneticPr fontId="28" type="noConversion"/>
  </si>
  <si>
    <t>김혜란</t>
    <phoneticPr fontId="28" type="noConversion"/>
  </si>
  <si>
    <t>정보람</t>
    <phoneticPr fontId="28" type="noConversion"/>
  </si>
  <si>
    <t>조지인</t>
    <phoneticPr fontId="28" type="noConversion"/>
  </si>
  <si>
    <t>윤서현</t>
    <phoneticPr fontId="28" type="noConversion"/>
  </si>
  <si>
    <t>민시연</t>
    <phoneticPr fontId="28" type="noConversion"/>
  </si>
  <si>
    <t>-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</si>
</sst>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###\-##\-##"/>
    <numFmt numFmtId="177" formatCode="####\-##"/>
  </numFmts>
  <fonts count="29" x14ac:knownFonts="1">
    <font>
      <sz val="11"/>
      <color rgb="FF000000"/>
      <name val="돋움"/>
    </font>
    <font>
      <sz val="9"/>
      <color rgb="FF000000"/>
      <name val="돋움"/>
      <family val="3"/>
      <charset val="129"/>
    </font>
    <font>
      <sz val="10"/>
      <color rgb="FF000000"/>
      <name val="Arial"/>
      <family val="2"/>
    </font>
    <font>
      <u/>
      <sz val="11"/>
      <color rgb="FF0563C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rgb="FFAFABAB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trike/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theme="4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DFDFD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</borders>
  <cellStyleXfs count="5">
    <xf numFmtId="0" fontId="0" fillId="0" borderId="0">
      <alignment vertical="center"/>
    </xf>
    <xf numFmtId="41" fontId="27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>
      <alignment vertical="center"/>
    </xf>
  </cellStyleXfs>
  <cellXfs count="40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3" borderId="8" xfId="2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0" fontId="4" fillId="0" borderId="40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9" fillId="0" borderId="0" xfId="0" applyFont="1">
      <alignment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48" xfId="0" applyNumberFormat="1" applyFont="1" applyBorder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 shrinkToFit="1"/>
    </xf>
    <xf numFmtId="0" fontId="5" fillId="11" borderId="9" xfId="2" applyFont="1" applyFill="1" applyBorder="1" applyAlignment="1">
      <alignment horizontal="center" vertical="center" shrinkToFit="1"/>
    </xf>
    <xf numFmtId="0" fontId="5" fillId="2" borderId="9" xfId="2" applyFont="1" applyFill="1" applyBorder="1" applyAlignment="1">
      <alignment horizontal="center" vertical="center" shrinkToFit="1"/>
    </xf>
    <xf numFmtId="0" fontId="5" fillId="0" borderId="0" xfId="2" applyFont="1" applyAlignment="1">
      <alignment horizontal="center" vertical="center" shrinkToFit="1"/>
    </xf>
    <xf numFmtId="0" fontId="5" fillId="12" borderId="0" xfId="2" applyFont="1" applyFill="1" applyAlignment="1">
      <alignment horizontal="center" vertical="center" wrapText="1"/>
    </xf>
    <xf numFmtId="0" fontId="5" fillId="0" borderId="12" xfId="2" applyFont="1" applyBorder="1" applyAlignment="1">
      <alignment horizontal="center" vertical="center" shrinkToFit="1"/>
    </xf>
    <xf numFmtId="0" fontId="5" fillId="0" borderId="14" xfId="2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left" vertical="center" indent="4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indent="4"/>
    </xf>
    <xf numFmtId="0" fontId="4" fillId="0" borderId="5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4" fillId="0" borderId="1" xfId="0" applyFont="1" applyBorder="1">
      <alignment vertical="center"/>
    </xf>
    <xf numFmtId="0" fontId="10" fillId="0" borderId="4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 shrinkToFit="1"/>
    </xf>
    <xf numFmtId="0" fontId="5" fillId="0" borderId="13" xfId="2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 shrinkToFit="1"/>
    </xf>
    <xf numFmtId="0" fontId="5" fillId="0" borderId="64" xfId="2" applyFont="1" applyBorder="1" applyAlignment="1">
      <alignment horizontal="center" vertical="center" wrapText="1"/>
    </xf>
    <xf numFmtId="3" fontId="5" fillId="0" borderId="64" xfId="2" applyNumberFormat="1" applyFont="1" applyBorder="1" applyAlignment="1">
      <alignment horizontal="center" vertical="center" wrapText="1"/>
    </xf>
    <xf numFmtId="0" fontId="5" fillId="13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 shrinkToFit="1"/>
    </xf>
    <xf numFmtId="0" fontId="5" fillId="4" borderId="64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shrinkToFit="1"/>
    </xf>
    <xf numFmtId="0" fontId="5" fillId="5" borderId="9" xfId="2" applyFont="1" applyFill="1" applyBorder="1" applyAlignment="1">
      <alignment horizontal="center" vertical="center" shrinkToFit="1"/>
    </xf>
    <xf numFmtId="0" fontId="5" fillId="15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/>
    </xf>
    <xf numFmtId="0" fontId="5" fillId="16" borderId="9" xfId="2" applyFont="1" applyFill="1" applyBorder="1" applyAlignment="1">
      <alignment horizontal="center" vertical="center" shrinkToFit="1"/>
    </xf>
    <xf numFmtId="0" fontId="5" fillId="17" borderId="9" xfId="2" applyFont="1" applyFill="1" applyBorder="1" applyAlignment="1">
      <alignment horizontal="center" vertical="center" shrinkToFit="1"/>
    </xf>
    <xf numFmtId="0" fontId="5" fillId="18" borderId="9" xfId="2" applyFont="1" applyFill="1" applyBorder="1" applyAlignment="1">
      <alignment horizontal="center" vertical="center"/>
    </xf>
    <xf numFmtId="0" fontId="5" fillId="18" borderId="9" xfId="2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9" xfId="0" applyFont="1" applyBorder="1">
      <alignment vertical="center"/>
    </xf>
    <xf numFmtId="0" fontId="4" fillId="0" borderId="45" xfId="0" applyFont="1" applyBorder="1">
      <alignment vertical="center"/>
    </xf>
    <xf numFmtId="14" fontId="4" fillId="0" borderId="18" xfId="0" applyNumberFormat="1" applyFont="1" applyBorder="1">
      <alignment vertical="center"/>
    </xf>
    <xf numFmtId="0" fontId="4" fillId="0" borderId="35" xfId="0" applyFont="1" applyBorder="1">
      <alignment vertical="center"/>
    </xf>
    <xf numFmtId="0" fontId="7" fillId="0" borderId="9" xfId="2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0" xfId="0" quotePrefix="1" applyFont="1">
      <alignment vertical="center"/>
    </xf>
    <xf numFmtId="14" fontId="10" fillId="0" borderId="39" xfId="0" applyNumberFormat="1" applyFont="1" applyBorder="1" applyAlignment="1">
      <alignment horizontal="center" vertical="center" shrinkToFit="1"/>
    </xf>
    <xf numFmtId="14" fontId="10" fillId="0" borderId="3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41" xfId="0" applyNumberFormat="1" applyFont="1" applyBorder="1">
      <alignment vertical="center"/>
    </xf>
    <xf numFmtId="0" fontId="15" fillId="0" borderId="64" xfId="2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 shrinkToFit="1"/>
    </xf>
    <xf numFmtId="0" fontId="5" fillId="19" borderId="0" xfId="0" applyFont="1" applyFill="1">
      <alignment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3" fontId="5" fillId="21" borderId="0" xfId="0" applyNumberFormat="1" applyFont="1" applyFill="1" applyAlignment="1">
      <alignment horizontal="right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left" vertical="center"/>
    </xf>
    <xf numFmtId="3" fontId="5" fillId="22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5" fillId="23" borderId="64" xfId="2" applyFont="1" applyFill="1" applyBorder="1" applyAlignment="1">
      <alignment horizontal="center" vertical="center" wrapText="1"/>
    </xf>
    <xf numFmtId="0" fontId="5" fillId="23" borderId="9" xfId="2" applyFont="1" applyFill="1" applyBorder="1" applyAlignment="1">
      <alignment horizontal="center" vertical="center" shrinkToFit="1"/>
    </xf>
    <xf numFmtId="0" fontId="4" fillId="1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0" xfId="3"/>
    <xf numFmtId="49" fontId="2" fillId="0" borderId="1" xfId="3" applyNumberFormat="1" applyBorder="1" applyAlignment="1">
      <alignment horizontal="center"/>
    </xf>
    <xf numFmtId="0" fontId="2" fillId="0" borderId="1" xfId="3" applyBorder="1" applyAlignment="1">
      <alignment horizontal="center"/>
    </xf>
    <xf numFmtId="1" fontId="2" fillId="0" borderId="70" xfId="3" applyNumberFormat="1" applyBorder="1" applyAlignment="1">
      <alignment horizontal="center" vertical="center"/>
    </xf>
    <xf numFmtId="0" fontId="2" fillId="0" borderId="70" xfId="3" applyBorder="1" applyAlignment="1">
      <alignment horizontal="center" vertical="center"/>
    </xf>
    <xf numFmtId="49" fontId="2" fillId="0" borderId="1" xfId="3" quotePrefix="1" applyNumberFormat="1" applyBorder="1" applyAlignment="1">
      <alignment horizontal="center"/>
    </xf>
    <xf numFmtId="0" fontId="16" fillId="3" borderId="71" xfId="3" applyFont="1" applyFill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/>
    </xf>
    <xf numFmtId="0" fontId="6" fillId="0" borderId="64" xfId="2" applyFont="1" applyBorder="1" applyAlignment="1">
      <alignment horizontal="center" vertical="center" wrapText="1"/>
    </xf>
    <xf numFmtId="0" fontId="5" fillId="2" borderId="64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61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4" fillId="0" borderId="62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3" fontId="5" fillId="2" borderId="64" xfId="2" applyNumberFormat="1" applyFont="1" applyFill="1" applyBorder="1" applyAlignment="1">
      <alignment horizontal="center" vertical="center" wrapText="1"/>
    </xf>
    <xf numFmtId="3" fontId="5" fillId="2" borderId="9" xfId="2" applyNumberFormat="1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 shrinkToFit="1"/>
    </xf>
    <xf numFmtId="0" fontId="4" fillId="0" borderId="67" xfId="0" applyFont="1" applyBorder="1">
      <alignment vertical="center"/>
    </xf>
    <xf numFmtId="0" fontId="4" fillId="2" borderId="24" xfId="0" applyFont="1" applyFill="1" applyBorder="1" applyAlignment="1">
      <alignment horizontal="left" vertical="center" indent="4"/>
    </xf>
    <xf numFmtId="0" fontId="4" fillId="2" borderId="51" xfId="0" applyFont="1" applyFill="1" applyBorder="1" applyAlignment="1">
      <alignment horizontal="left" vertical="center" indent="4"/>
    </xf>
    <xf numFmtId="0" fontId="4" fillId="2" borderId="1" xfId="0" applyFont="1" applyFill="1" applyBorder="1">
      <alignment vertical="center"/>
    </xf>
    <xf numFmtId="0" fontId="5" fillId="0" borderId="64" xfId="2" applyFont="1" applyBorder="1" applyAlignment="1">
      <alignment horizontal="center" vertical="center"/>
    </xf>
    <xf numFmtId="0" fontId="6" fillId="24" borderId="8" xfId="2" applyFont="1" applyFill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shrinkToFit="1"/>
    </xf>
    <xf numFmtId="41" fontId="4" fillId="0" borderId="0" xfId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shrinkToFit="1"/>
    </xf>
    <xf numFmtId="0" fontId="12" fillId="0" borderId="64" xfId="2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25" borderId="64" xfId="2" applyFont="1" applyFill="1" applyBorder="1" applyAlignment="1">
      <alignment horizontal="center" vertical="center" wrapText="1"/>
    </xf>
    <xf numFmtId="0" fontId="5" fillId="25" borderId="9" xfId="2" applyFont="1" applyFill="1" applyBorder="1" applyAlignment="1">
      <alignment horizontal="center" vertical="center" shrinkToFit="1"/>
    </xf>
    <xf numFmtId="0" fontId="5" fillId="26" borderId="9" xfId="2" applyFont="1" applyFill="1" applyBorder="1" applyAlignment="1">
      <alignment horizontal="center" vertical="center" shrinkToFit="1"/>
    </xf>
    <xf numFmtId="0" fontId="5" fillId="26" borderId="64" xfId="2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25" borderId="61" xfId="0" applyFont="1" applyFill="1" applyBorder="1" applyAlignment="1">
      <alignment horizontal="center" vertical="center"/>
    </xf>
    <xf numFmtId="0" fontId="3" fillId="0" borderId="0" xfId="4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 wrapText="1"/>
    </xf>
    <xf numFmtId="0" fontId="5" fillId="6" borderId="9" xfId="2" applyFont="1" applyFill="1" applyBorder="1" applyAlignment="1">
      <alignment horizontal="center" vertical="center" shrinkToFit="1"/>
    </xf>
    <xf numFmtId="0" fontId="5" fillId="6" borderId="64" xfId="2" applyFont="1" applyFill="1" applyBorder="1" applyAlignment="1">
      <alignment horizontal="center" vertical="center" shrinkToFit="1"/>
    </xf>
    <xf numFmtId="0" fontId="6" fillId="6" borderId="64" xfId="2" applyFont="1" applyFill="1" applyBorder="1" applyAlignment="1">
      <alignment horizontal="center" vertical="center" wrapText="1"/>
    </xf>
    <xf numFmtId="3" fontId="5" fillId="6" borderId="64" xfId="2" applyNumberFormat="1" applyFont="1" applyFill="1" applyBorder="1" applyAlignment="1">
      <alignment horizontal="center" vertical="center" wrapText="1"/>
    </xf>
    <xf numFmtId="0" fontId="5" fillId="11" borderId="64" xfId="2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shrinkToFit="1"/>
    </xf>
    <xf numFmtId="0" fontId="11" fillId="0" borderId="64" xfId="2" applyFont="1" applyBorder="1" applyAlignment="1">
      <alignment horizontal="center" vertical="center" shrinkToFit="1"/>
    </xf>
    <xf numFmtId="3" fontId="5" fillId="0" borderId="64" xfId="2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wrapText="1"/>
    </xf>
    <xf numFmtId="3" fontId="5" fillId="0" borderId="9" xfId="2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3" applyFont="1"/>
    <xf numFmtId="0" fontId="2" fillId="2" borderId="1" xfId="3" applyFill="1" applyBorder="1" applyAlignment="1">
      <alignment horizontal="center"/>
    </xf>
    <xf numFmtId="49" fontId="2" fillId="2" borderId="1" xfId="3" applyNumberFormat="1" applyFill="1" applyBorder="1" applyAlignment="1">
      <alignment horizontal="center"/>
    </xf>
    <xf numFmtId="49" fontId="5" fillId="2" borderId="1" xfId="3" applyNumberFormat="1" applyFont="1" applyFill="1" applyBorder="1" applyAlignment="1">
      <alignment horizontal="center"/>
    </xf>
    <xf numFmtId="0" fontId="2" fillId="2" borderId="0" xfId="3" applyFill="1"/>
    <xf numFmtId="0" fontId="19" fillId="2" borderId="0" xfId="3" applyFont="1" applyFill="1"/>
    <xf numFmtId="0" fontId="6" fillId="0" borderId="9" xfId="2" applyFont="1" applyBorder="1" applyAlignment="1">
      <alignment horizontal="center" vertical="center" shrinkToFit="1"/>
    </xf>
    <xf numFmtId="0" fontId="6" fillId="0" borderId="64" xfId="2" applyFont="1" applyBorder="1" applyAlignment="1">
      <alignment horizontal="center" vertical="center" shrinkToFit="1"/>
    </xf>
    <xf numFmtId="0" fontId="5" fillId="24" borderId="64" xfId="2" applyFont="1" applyFill="1" applyBorder="1" applyAlignment="1">
      <alignment horizontal="center" vertical="center" wrapText="1"/>
    </xf>
    <xf numFmtId="0" fontId="6" fillId="24" borderId="64" xfId="2" applyFont="1" applyFill="1" applyBorder="1" applyAlignment="1">
      <alignment horizontal="center" vertical="center" wrapText="1"/>
    </xf>
    <xf numFmtId="0" fontId="5" fillId="8" borderId="64" xfId="2" applyFont="1" applyFill="1" applyBorder="1" applyAlignment="1">
      <alignment horizontal="center" vertical="center" wrapText="1"/>
    </xf>
    <xf numFmtId="0" fontId="5" fillId="8" borderId="9" xfId="2" applyFont="1" applyFill="1" applyBorder="1" applyAlignment="1">
      <alignment horizontal="center" vertical="center" shrinkToFit="1"/>
    </xf>
    <xf numFmtId="0" fontId="5" fillId="8" borderId="64" xfId="2" applyFont="1" applyFill="1" applyBorder="1" applyAlignment="1">
      <alignment horizontal="center" vertical="center" shrinkToFit="1"/>
    </xf>
    <xf numFmtId="0" fontId="6" fillId="8" borderId="64" xfId="2" applyFont="1" applyFill="1" applyBorder="1" applyAlignment="1">
      <alignment horizontal="center" vertical="center" wrapText="1"/>
    </xf>
    <xf numFmtId="3" fontId="5" fillId="8" borderId="64" xfId="2" applyNumberFormat="1" applyFont="1" applyFill="1" applyBorder="1" applyAlignment="1">
      <alignment horizontal="center" vertical="center" wrapText="1"/>
    </xf>
    <xf numFmtId="0" fontId="4" fillId="24" borderId="6" xfId="0" applyFont="1" applyFill="1" applyBorder="1" applyAlignment="1">
      <alignment horizontal="center" vertical="center"/>
    </xf>
    <xf numFmtId="0" fontId="20" fillId="24" borderId="7" xfId="0" applyFont="1" applyFill="1" applyBorder="1" applyAlignment="1">
      <alignment horizontal="center" vertical="center"/>
    </xf>
    <xf numFmtId="0" fontId="20" fillId="24" borderId="6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4" fillId="27" borderId="5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21" xfId="0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6" fillId="3" borderId="64" xfId="2" applyFont="1" applyFill="1" applyBorder="1" applyAlignment="1">
      <alignment horizontal="center" vertical="center" wrapText="1"/>
    </xf>
    <xf numFmtId="0" fontId="5" fillId="24" borderId="0" xfId="2" applyFont="1" applyFill="1" applyAlignment="1">
      <alignment horizontal="center" vertical="center" wrapText="1"/>
    </xf>
    <xf numFmtId="0" fontId="6" fillId="26" borderId="64" xfId="2" applyFont="1" applyFill="1" applyBorder="1" applyAlignment="1">
      <alignment horizontal="center" vertical="center" wrapText="1"/>
    </xf>
    <xf numFmtId="3" fontId="5" fillId="26" borderId="64" xfId="2" applyNumberFormat="1" applyFont="1" applyFill="1" applyBorder="1" applyAlignment="1">
      <alignment horizontal="center" vertical="center" wrapText="1"/>
    </xf>
    <xf numFmtId="0" fontId="21" fillId="2" borderId="64" xfId="2" applyFont="1" applyFill="1" applyBorder="1" applyAlignment="1">
      <alignment horizontal="center" vertical="center" wrapText="1"/>
    </xf>
    <xf numFmtId="0" fontId="22" fillId="28" borderId="9" xfId="2" applyFont="1" applyFill="1" applyBorder="1" applyAlignment="1">
      <alignment horizontal="center" vertical="center" shrinkToFit="1"/>
    </xf>
    <xf numFmtId="0" fontId="6" fillId="29" borderId="9" xfId="2" applyFont="1" applyFill="1" applyBorder="1" applyAlignment="1">
      <alignment horizontal="center" vertical="center" shrinkToFit="1"/>
    </xf>
    <xf numFmtId="0" fontId="4" fillId="29" borderId="3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0" fontId="5" fillId="26" borderId="0" xfId="2" applyFont="1" applyFill="1" applyAlignment="1">
      <alignment horizontal="center" vertical="center" wrapText="1"/>
    </xf>
    <xf numFmtId="0" fontId="23" fillId="0" borderId="62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shrinkToFit="1"/>
    </xf>
    <xf numFmtId="0" fontId="8" fillId="0" borderId="72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5" xfId="0" applyFont="1" applyBorder="1" applyAlignment="1">
      <alignment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23" fillId="0" borderId="61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shrinkToFit="1"/>
    </xf>
    <xf numFmtId="0" fontId="23" fillId="0" borderId="61" xfId="0" applyFont="1" applyBorder="1" applyAlignment="1">
      <alignment horizontal="left" vertical="center" shrinkToFit="1"/>
    </xf>
    <xf numFmtId="0" fontId="5" fillId="2" borderId="0" xfId="2" applyFont="1" applyFill="1" applyAlignment="1">
      <alignment horizontal="center" vertical="center" wrapText="1"/>
    </xf>
    <xf numFmtId="0" fontId="23" fillId="25" borderId="4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shrinkToFit="1"/>
    </xf>
    <xf numFmtId="0" fontId="6" fillId="26" borderId="9" xfId="2" applyFont="1" applyFill="1" applyBorder="1" applyAlignment="1">
      <alignment horizontal="center" vertical="center" shrinkToFit="1"/>
    </xf>
    <xf numFmtId="0" fontId="24" fillId="26" borderId="64" xfId="2" applyFont="1" applyFill="1" applyBorder="1" applyAlignment="1">
      <alignment horizontal="center" vertical="center" wrapText="1"/>
    </xf>
    <xf numFmtId="0" fontId="6" fillId="24" borderId="9" xfId="2" applyFont="1" applyFill="1" applyBorder="1" applyAlignment="1">
      <alignment horizontal="center" vertical="center" shrinkToFit="1"/>
    </xf>
    <xf numFmtId="3" fontId="6" fillId="24" borderId="64" xfId="2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4" fillId="0" borderId="76" xfId="0" applyFont="1" applyBorder="1">
      <alignment vertical="center"/>
    </xf>
    <xf numFmtId="0" fontId="4" fillId="0" borderId="77" xfId="0" applyFont="1" applyBorder="1">
      <alignment vertical="center"/>
    </xf>
    <xf numFmtId="0" fontId="4" fillId="0" borderId="78" xfId="0" applyFont="1" applyBorder="1">
      <alignment vertical="center"/>
    </xf>
    <xf numFmtId="0" fontId="4" fillId="0" borderId="60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76" xfId="0" applyFont="1" applyFill="1" applyBorder="1" applyAlignment="1">
      <alignment horizontal="center" vertical="center"/>
    </xf>
    <xf numFmtId="0" fontId="9" fillId="7" borderId="77" xfId="0" applyFont="1" applyFill="1" applyBorder="1" applyAlignment="1">
      <alignment horizontal="center" vertical="center"/>
    </xf>
    <xf numFmtId="0" fontId="9" fillId="7" borderId="78" xfId="0" applyFont="1" applyFill="1" applyBorder="1" applyAlignment="1">
      <alignment horizontal="center" vertical="center"/>
    </xf>
    <xf numFmtId="0" fontId="9" fillId="16" borderId="76" xfId="0" applyFont="1" applyFill="1" applyBorder="1" applyAlignment="1">
      <alignment horizontal="center" vertical="center"/>
    </xf>
    <xf numFmtId="0" fontId="9" fillId="16" borderId="77" xfId="0" applyFont="1" applyFill="1" applyBorder="1" applyAlignment="1">
      <alignment horizontal="center" vertical="center"/>
    </xf>
    <xf numFmtId="0" fontId="9" fillId="16" borderId="78" xfId="0" applyFont="1" applyFill="1" applyBorder="1" applyAlignment="1">
      <alignment horizontal="center" vertical="center"/>
    </xf>
    <xf numFmtId="0" fontId="9" fillId="7" borderId="3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16" borderId="39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9" fillId="9" borderId="76" xfId="0" applyFont="1" applyFill="1" applyBorder="1" applyAlignment="1">
      <alignment horizontal="center" vertical="center"/>
    </xf>
    <xf numFmtId="0" fontId="9" fillId="9" borderId="77" xfId="0" applyFont="1" applyFill="1" applyBorder="1" applyAlignment="1">
      <alignment horizontal="center" vertical="center"/>
    </xf>
    <xf numFmtId="0" fontId="9" fillId="9" borderId="78" xfId="0" applyFont="1" applyFill="1" applyBorder="1" applyAlignment="1">
      <alignment horizontal="center" vertical="center"/>
    </xf>
    <xf numFmtId="0" fontId="9" fillId="6" borderId="76" xfId="0" applyFont="1" applyFill="1" applyBorder="1" applyAlignment="1">
      <alignment horizontal="center" vertical="center"/>
    </xf>
    <xf numFmtId="0" fontId="9" fillId="6" borderId="77" xfId="0" applyFont="1" applyFill="1" applyBorder="1" applyAlignment="1">
      <alignment horizontal="center" vertical="center"/>
    </xf>
    <xf numFmtId="0" fontId="9" fillId="6" borderId="78" xfId="0" applyFont="1" applyFill="1" applyBorder="1" applyAlignment="1">
      <alignment horizontal="center" vertical="center"/>
    </xf>
    <xf numFmtId="0" fontId="9" fillId="4" borderId="76" xfId="0" applyFont="1" applyFill="1" applyBorder="1" applyAlignment="1">
      <alignment horizontal="center" vertical="center"/>
    </xf>
    <xf numFmtId="0" fontId="9" fillId="4" borderId="77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8" borderId="76" xfId="0" applyFont="1" applyFill="1" applyBorder="1" applyAlignment="1">
      <alignment horizontal="center" vertical="center"/>
    </xf>
    <xf numFmtId="0" fontId="9" fillId="8" borderId="77" xfId="0" applyFont="1" applyFill="1" applyBorder="1" applyAlignment="1">
      <alignment horizontal="center" vertical="center"/>
    </xf>
    <xf numFmtId="0" fontId="9" fillId="8" borderId="7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6" fillId="30" borderId="64" xfId="2" applyFont="1" applyFill="1" applyBorder="1" applyAlignment="1">
      <alignment horizontal="center" vertical="center" wrapText="1"/>
    </xf>
    <xf numFmtId="0" fontId="5" fillId="30" borderId="9" xfId="2" applyFont="1" applyFill="1" applyBorder="1" applyAlignment="1">
      <alignment horizontal="center" vertical="center" shrinkToFit="1"/>
    </xf>
    <xf numFmtId="0" fontId="5" fillId="30" borderId="64" xfId="2" applyFont="1" applyFill="1" applyBorder="1" applyAlignment="1">
      <alignment horizontal="center" vertical="center" wrapText="1"/>
    </xf>
    <xf numFmtId="0" fontId="6" fillId="3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00000000-0005-0000-0000-000002000000}"/>
    <cellStyle name="표준 4" xfId="3" xr:uid="{00000000-0005-0000-0000-000003000000}"/>
    <cellStyle name="하이퍼링크" xfId="4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dm.aiedu.or.kr/" TargetMode="External"/><Relationship Id="rId7" Type="http://schemas.openxmlformats.org/officeDocument/2006/relationships/hyperlink" Target="https://gsms.goe.go.kr/" TargetMode="External"/><Relationship Id="rId2" Type="http://schemas.openxmlformats.org/officeDocument/2006/relationships/hyperlink" Target="https://cloud.goe.go.kr/admin/" TargetMode="External"/><Relationship Id="rId1" Type="http://schemas.openxmlformats.org/officeDocument/2006/relationships/hyperlink" Target="https://accounts.google.com/" TargetMode="External"/><Relationship Id="rId6" Type="http://schemas.openxmlformats.org/officeDocument/2006/relationships/hyperlink" Target="https://www.goedu.kr/scmnst/login" TargetMode="External"/><Relationship Id="rId5" Type="http://schemas.openxmlformats.org/officeDocument/2006/relationships/hyperlink" Target="http://10.0.200.219:8080/" TargetMode="External"/><Relationship Id="rId4" Type="http://schemas.openxmlformats.org/officeDocument/2006/relationships/hyperlink" Target="https://msg.goe.go.kr:18007/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 codeName="Sheet1" filterMode="1"/>
  <dimension ref="A1:T972"/>
  <sheetViews>
    <sheetView showGridLines="0" topLeftCell="A28" zoomScale="85" zoomScaleNormal="85" zoomScaleSheetLayoutView="100" workbookViewId="0">
      <selection activeCell="O48" sqref="O48"/>
    </sheetView>
  </sheetViews>
  <sheetFormatPr defaultColWidth="8.9140625" defaultRowHeight="15" customHeight="1" ns3:dyDescent="0.25"/>
  <cols>
    <col min="1" max="1" width="22.6640625" style="91" bestFit="1" customWidth="1"/>
    <col min="2" max="2" width="13.1640625" style="91" bestFit="1" customWidth="1"/>
    <col min="3" max="3" width="10.9140625" style="91" bestFit="1" customWidth="1"/>
    <col min="4" max="4" width="7.6640625" style="91" customWidth="1"/>
    <col min="5" max="5" width="10.4140625" style="91" bestFit="1" customWidth="1"/>
    <col min="6" max="6" width="25.6640625" style="91" bestFit="1" customWidth="1"/>
    <col min="7" max="7" width="15.58203125" style="91" customWidth="1"/>
    <col min="8" max="8" width="17.6640625" style="91" customWidth="1"/>
    <col min="9" max="9" width="12.1640625" style="91" customWidth="1"/>
    <col min="10" max="10" width="15.6640625" style="91" customWidth="1"/>
    <col min="11" max="11" width="10.33203125" style="91" bestFit="1" customWidth="1"/>
    <col min="12" max="13" width="10.4140625" style="91" bestFit="1" customWidth="1"/>
    <col min="14" max="14" width="10.6640625" style="91" bestFit="1" customWidth="1"/>
    <col min="15" max="15" width="13.6640625" style="91" customWidth="1"/>
    <col min="16" max="16" width="16.4140625" style="91" customWidth="1"/>
    <col min="17" max="17" width="34.33203125" style="91" customWidth="1"/>
    <col min="18" max="18" width="10.4140625" style="91" bestFit="1" customWidth="1"/>
    <col min="19" max="19" width="17.6640625" style="91" bestFit="1" customWidth="1"/>
    <col min="20" max="16379" width="8.9140625" style="91"/>
  </cols>
  <sheetData>
    <row r="1" spans="1:22" s="92" customFormat="1" ht="32" ns3:dyDescent="0.25">
      <c r="A1" s="12" t="s">
        <v>1200</v>
      </c>
      <c r="B1" s="12" t="s">
        <v>1182</v>
      </c>
      <c r="C1" s="209" t="s">
        <v>1176</v>
      </c>
      <c r="D1" s="209" t="s">
        <v>1189</v>
      </c>
      <c r="E1" s="209" t="s">
        <v>1177</v>
      </c>
      <c r="F1" s="209" t="s">
        <v>107</v>
      </c>
      <c r="G1" s="209" t="s">
        <v>1198</v>
      </c>
      <c r="H1" s="209" t="s">
        <v>123</v>
      </c>
      <c r="I1" s="12" t="s">
        <v>121</v>
      </c>
      <c r="J1" s="12" t="s">
        <v>104</v>
      </c>
      <c r="K1" s="12" t="s">
        <v>1381</v>
      </c>
      <c r="L1" s="209" t="s">
        <v>1192</v>
      </c>
      <c r="M1" s="209" t="s">
        <v>1183</v>
      </c>
      <c r="N1" s="209" t="s">
        <v>1184</v>
      </c>
      <c r="O1" s="209" t="inlineStr">
        <is>
          <t>일련번호</t>
        </is>
      </c>
      <c r="P1" s="209" t="s">
        <v>1216</v>
      </c>
      <c r="Q1" s="209" t="s">
        <v>129</v>
      </c>
      <c r="R1" s="209" t="s">
        <v>1188</v>
      </c>
      <c r="S1" s="209" t="s">
        <v>126</v>
      </c>
      <c r="T1" t="inlineStr">
        <is>
          <t>체크업</t>
        </is>
      </c>
    </row>
    <row r="2" spans="1:22" s="92" customFormat="1" ht="13.75" customHeight="1" ns3:dyDescent="0.25">
      <c r="A2" s="269" t="s">
        <v>1819</v>
      </c>
      <c r="B2" s="398" t="str">
        <f t="shared" ref="B2" si="1">LEFT(L2,6)&amp;"-"&amp;TEXT(O2,"0000")</f>
      </c>
      <c r="C2" s="397" t="s">
        <v>1812</v>
      </c>
      <c r="D2" s="397" t="s">
        <v>1813</v>
      </c>
      <c r="E2" s="397" t="s">
        <v>1814</v>
      </c>
      <c r="F2" s="397" t="s">
        <v>1815</v>
      </c>
      <c r="G2" s="397" t="s">
        <v>1816</v>
      </c>
      <c r="H2" s="397" t="s">
        <v>1834</v>
      </c>
      <c r="I2" s="399" t="str">
        <f>IFERROR(VLOOKUP(#REF!2,'교직원용 IP'!$C$2:$H$230,6,FALSE),"")</f>
        <v>10.51.90.132</v>
      </c>
      <c r="J2" s="397"/>
      <c r="K2" s="397"/>
      <c r="L2" s="400">
        <v>202512</v>
      </c>
      <c r="M2" s="400">
        <v>1520000</v>
      </c>
      <c r="N2" s="400" t="s">
        <v>1191</v>
      </c>
      <c r="O2" s="397">
        <v>957</v>
      </c>
      <c r="P2" s="213" t="s">
        <v>1763</v>
      </c>
      <c r="Q2" s="213" t="s">
        <v>1574</v>
      </c>
      <c r="R2" s="213" t="s">
        <v>1194</v>
      </c>
      <c r="S2" s="213" t="s">
        <v>1214</v>
      </c>
    </row>
    <row r="3" spans="1:22" s="92" customFormat="1" ht="13.75" customHeight="1" ns3:dyDescent="0.25">
      <c r="A3" s="269" t="s">
        <v>377</v>
      </c>
      <c r="B3" s="398" t="str">
        <f t="shared" ref="B3" si="2">LEFT(L3,6)&amp;"-"&amp;TEXT(O3,"0000")</f>
      </c>
      <c r="C3" s="397" t="s">
        <v>1812</v>
      </c>
      <c r="D3" s="397" t="s">
        <v>1813</v>
      </c>
      <c r="E3" s="397" t="s">
        <v>1814</v>
      </c>
      <c r="F3" s="397" t="s">
        <v>1815</v>
      </c>
      <c r="G3" s="397" t="s">
        <v>1816</v>
      </c>
      <c r="H3" s="397" t="s">
        <v>1817</v>
      </c>
      <c r="I3" s="400" t="s">
        <v>1805</v>
      </c>
      <c r="J3" s="397"/>
      <c r="K3" s="397"/>
      <c r="L3" s="400">
        <v>202512</v>
      </c>
      <c r="M3" s="400">
        <v>1520000</v>
      </c>
      <c r="N3" s="400" t="s">
        <v>1191</v>
      </c>
      <c r="O3" s="397">
        <v>956</v>
      </c>
      <c r="P3" s="213" t="s">
        <v>1763</v>
      </c>
      <c r="Q3" s="213" t="s">
        <v>1574</v>
      </c>
      <c r="R3" s="213" t="s">
        <v>1194</v>
      </c>
      <c r="S3" s="213" t="s">
        <v>1214</v>
      </c>
    </row>
    <row r="4" spans="1:22" s="92" customFormat="1" ht="15.75" customHeight="1" ns3:dyDescent="0.25">
      <c r="A4" s="269" t="s">
        <v>61</v>
      </c>
      <c r="B4" s="270" t="str">
        <f t="shared" ref="B4:B8" si="3">LEFT(L4,6)&amp;"-"&amp;TEXT(O4,"0000")</f>
      </c>
      <c r="C4" s="271" t="s">
        <v>102</v>
      </c>
      <c r="D4" s="271" t="s">
        <v>106</v>
      </c>
      <c r="E4" s="271" t="s">
        <v>120</v>
      </c>
      <c r="F4" s="269" t="s">
        <v>1770</v>
      </c>
      <c r="G4" s="271" t="s">
        <v>117</v>
      </c>
      <c r="H4" s="269" t="str">
        <f>IFERROR(VLOOKUP(#REF!4,'정보화기기 명부'!A$2:B$187,2,FALSE),"")</f>
        <v>체육보건부</v>
      </c>
      <c r="I4" s="269" t="str">
        <f>IFERROR(VLOOKUP(#REF!4,'교직원용 IP'!$C$2:$H$230,6,FALSE),"")</f>
        <v>10.51.90.118</v>
      </c>
      <c r="J4" s="272"/>
      <c r="K4" s="272"/>
      <c r="L4" s="269">
        <v>202504</v>
      </c>
      <c r="M4" s="273">
        <v>1420000</v>
      </c>
      <c r="N4" s="269" t="s">
        <v>1191</v>
      </c>
      <c r="O4" s="272">
        <v>955</v>
      </c>
      <c r="P4" s="126" t="s">
        <v>1296</v>
      </c>
      <c r="Q4" s="126" t="s">
        <v>1574</v>
      </c>
      <c r="R4" s="126" t="s">
        <v>1194</v>
      </c>
      <c r="S4" s="126" t="s">
        <v>1214</v>
      </c>
    </row>
    <row r="5" spans="1:22" s="92" customFormat="1" ht="15.75" customHeight="1" ns3:dyDescent="0.25">
      <c r="A5" s="269" t="s">
        <v>1824</v>
      </c>
      <c r="B5" s="270" t="str">
        <f t="shared" si="3"/>
      </c>
      <c r="C5" s="271" t="s">
        <v>102</v>
      </c>
      <c r="D5" s="271" t="s">
        <v>106</v>
      </c>
      <c r="E5" s="271" t="s">
        <v>120</v>
      </c>
      <c r="F5" s="269" t="s">
        <v>1770</v>
      </c>
      <c r="G5" s="271" t="s">
        <v>117</v>
      </c>
      <c r="H5" s="269" t="str">
        <f>IFERROR(VLOOKUP(#REF!5,'정보화기기 명부'!A$2:B$187,2,FALSE),"")</f>
        <v/>
      </c>
      <c r="I5" s="269" t="str">
        <f>IFERROR(VLOOKUP(#REF!5,'교직원용 IP'!$C$2:$H$230,6,FALSE),"")</f>
        <v/>
      </c>
      <c r="J5" s="272"/>
      <c r="K5" s="272"/>
      <c r="L5" s="269">
        <v>202504</v>
      </c>
      <c r="M5" s="273">
        <v>1420000</v>
      </c>
      <c r="N5" s="269" t="s">
        <v>1191</v>
      </c>
      <c r="O5" s="272">
        <v>954</v>
      </c>
      <c r="P5" s="126" t="s">
        <v>1296</v>
      </c>
      <c r="Q5" s="126" t="s">
        <v>1574</v>
      </c>
      <c r="R5" s="126" t="s">
        <v>1194</v>
      </c>
      <c r="S5" s="126" t="s">
        <v>1214</v>
      </c>
    </row>
    <row r="6" spans="1:22" s="23" customFormat="1" ht="15.75" customHeight="1" ns3:dyDescent="0.25">
      <c r="A6" s="269" t="s">
        <v>376</v>
      </c>
      <c r="B6" s="270" t="str">
        <f t="shared" si="3"/>
      </c>
      <c r="C6" s="271" t="s">
        <v>102</v>
      </c>
      <c r="D6" s="271" t="s">
        <v>106</v>
      </c>
      <c r="E6" s="271" t="s">
        <v>120</v>
      </c>
      <c r="F6" s="269" t="s">
        <v>1770</v>
      </c>
      <c r="G6" s="271" t="s">
        <v>117</v>
      </c>
      <c r="H6" s="269" t="str">
        <f>IFERROR(VLOOKUP(#REF!6,'정보화기기 명부'!A$2:B$187,2,FALSE),"")</f>
        <v>체육보건부</v>
      </c>
      <c r="I6" s="269" t="str">
        <f>IFERROR(VLOOKUP(#REF!6,'교직원용 IP'!$C$2:$H$230,6,FALSE),"")</f>
        <v>10.51.90.199</v>
      </c>
      <c r="J6" s="272"/>
      <c r="K6" s="272"/>
      <c r="L6" s="269">
        <v>202504</v>
      </c>
      <c r="M6" s="273">
        <v>1420000</v>
      </c>
      <c r="N6" s="269" t="s">
        <v>1191</v>
      </c>
      <c r="O6" s="269">
        <f t="shared" ref="O6:O20" si="4">O7+1</f>
        <v>953</v>
      </c>
      <c r="P6" s="126" t="s">
        <v>1296</v>
      </c>
      <c r="Q6" s="126" t="s">
        <v>1574</v>
      </c>
      <c r="R6" s="126" t="s">
        <v>1194</v>
      </c>
      <c r="S6" s="126" t="s">
        <v>1214</v>
      </c>
    </row>
    <row r="7" spans="1:22" s="23" customFormat="1" ht="15.75" customHeight="1" ns3:dyDescent="0.25">
      <c r="A7" s="269" t="s">
        <v>368</v>
      </c>
      <c r="B7" s="270" t="str">
        <f t="shared" si="3"/>
      </c>
      <c r="C7" s="271" t="s">
        <v>102</v>
      </c>
      <c r="D7" s="271" t="s">
        <v>106</v>
      </c>
      <c r="E7" s="271" t="s">
        <v>120</v>
      </c>
      <c r="F7" s="269" t="s">
        <v>1770</v>
      </c>
      <c r="G7" s="271" t="s">
        <v>117</v>
      </c>
      <c r="H7" s="269" t="str">
        <f>IFERROR(VLOOKUP(#REF!7,'정보화기기 명부'!A$2:B$187,2,FALSE),"")</f>
        <v>2학년부</v>
      </c>
      <c r="I7" s="269" t="str">
        <f>IFERROR(VLOOKUP(#REF!7,'교직원용 IP'!$C$2:$H$230,6,FALSE),"")</f>
        <v>10.51.90.146</v>
      </c>
      <c r="J7" s="272"/>
      <c r="K7" s="272"/>
      <c r="L7" s="269">
        <v>202504</v>
      </c>
      <c r="M7" s="273">
        <v>1420000</v>
      </c>
      <c r="N7" s="269" t="s">
        <v>1191</v>
      </c>
      <c r="O7" s="269">
        <f t="shared" si="4"/>
        <v>952</v>
      </c>
      <c r="P7" s="126" t="s">
        <v>1296</v>
      </c>
      <c r="Q7" s="126" t="s">
        <v>1574</v>
      </c>
      <c r="R7" s="126" t="s">
        <v>1194</v>
      </c>
      <c r="S7" s="126" t="s">
        <v>1214</v>
      </c>
    </row>
    <row r="8" spans="1:22" s="23" customFormat="1" ht="15.75" customHeight="1" ns3:dyDescent="0.25">
      <c r="A8" s="269" t="s">
        <v>380</v>
      </c>
      <c r="B8" s="270" t="str">
        <f t="shared" si="3"/>
      </c>
      <c r="C8" s="271" t="s">
        <v>102</v>
      </c>
      <c r="D8" s="271" t="s">
        <v>106</v>
      </c>
      <c r="E8" s="271" t="s">
        <v>120</v>
      </c>
      <c r="F8" s="269" t="s">
        <v>1770</v>
      </c>
      <c r="G8" s="271" t="s">
        <v>117</v>
      </c>
      <c r="H8" s="269" t="str">
        <f>IFERROR(VLOOKUP(#REF!8,'정보화기기 명부'!A$2:B$187,2,FALSE),"")</f>
        <v>1학년부</v>
      </c>
      <c r="I8" s="269" t="str">
        <f>IFERROR(VLOOKUP(#REF!8,'교직원용 IP'!$C$2:$H$230,6,FALSE),"")</f>
        <v>10.51.90.125</v>
      </c>
      <c r="J8" s="272"/>
      <c r="K8" s="272"/>
      <c r="L8" s="269">
        <v>202504</v>
      </c>
      <c r="M8" s="273">
        <v>1420000</v>
      </c>
      <c r="N8" s="269" t="s">
        <v>1191</v>
      </c>
      <c r="O8" s="269">
        <f t="shared" si="4"/>
        <v>951</v>
      </c>
      <c r="P8" s="126" t="s">
        <v>1296</v>
      </c>
      <c r="Q8" s="126" t="s">
        <v>1574</v>
      </c>
      <c r="R8" s="126" t="s">
        <v>1194</v>
      </c>
      <c r="S8" s="126" t="s">
        <v>1214</v>
      </c>
    </row>
    <row r="9" spans="1:22" s="23" customFormat="1" ht="15.75" customHeight="1" ns3:dyDescent="0.25">
      <c r="A9" s="269" t="s">
        <v>365</v>
      </c>
      <c r="B9" s="270" t="str">
        <f t="shared" ref="B9:B19" si="6">LEFT(L9,6)&amp;"-"&amp;TEXT(O9,"0000")</f>
      </c>
      <c r="C9" s="271" t="s">
        <v>102</v>
      </c>
      <c r="D9" s="271" t="s">
        <v>106</v>
      </c>
      <c r="E9" s="271" t="s">
        <v>120</v>
      </c>
      <c r="F9" s="269" t="s">
        <v>1770</v>
      </c>
      <c r="G9" s="271" t="s">
        <v>117</v>
      </c>
      <c r="H9" s="269" t="str">
        <f>IFERROR(VLOOKUP(#REF!9,'정보화기기 명부'!A$2:B$187,2,FALSE),"")</f>
        <v>1학년부</v>
      </c>
      <c r="I9" s="269" t="str">
        <f>IFERROR(VLOOKUP(#REF!9,'교직원용 IP'!$C$2:$H$230,6,FALSE),"")</f>
        <v>10.51.90.116</v>
      </c>
      <c r="J9" s="272"/>
      <c r="K9" s="272"/>
      <c r="L9" s="269">
        <v>202504</v>
      </c>
      <c r="M9" s="273">
        <v>1420000</v>
      </c>
      <c r="N9" s="269" t="s">
        <v>1191</v>
      </c>
      <c r="O9" s="269">
        <f t="shared" si="4"/>
        <v>950</v>
      </c>
      <c r="P9" s="126" t="s">
        <v>1296</v>
      </c>
      <c r="Q9" s="126" t="s">
        <v>1574</v>
      </c>
      <c r="R9" s="126" t="s">
        <v>1194</v>
      </c>
      <c r="S9" s="126" t="s">
        <v>1214</v>
      </c>
    </row>
    <row r="10" spans="1:22" s="23" customFormat="1" ht="15.75" customHeight="1" ns3:dyDescent="0.25">
      <c r="A10" s="269" t="s">
        <v>1827</v>
      </c>
      <c r="B10" s="270" t="str">
        <f t="shared" si="6"/>
      </c>
      <c r="C10" s="271" t="s">
        <v>102</v>
      </c>
      <c r="D10" s="271" t="s">
        <v>106</v>
      </c>
      <c r="E10" s="271" t="s">
        <v>120</v>
      </c>
      <c r="F10" s="269" t="s">
        <v>1770</v>
      </c>
      <c r="G10" s="271" t="s">
        <v>117</v>
      </c>
      <c r="H10" s="269" t="str">
        <f>IFERROR(VLOOKUP(#REF!10,'정보화기기 명부'!A$2:B$187,2,FALSE),"")</f>
        <v>-</v>
      </c>
      <c r="I10" s="269" t="str">
        <f>IFERROR(VLOOKUP(#REF!10,'교직원용 IP'!$C$2:$H$230,6,FALSE),"")</f>
        <v>10.51.90.165</v>
      </c>
      <c r="J10" s="272"/>
      <c r="K10" s="272"/>
      <c r="L10" s="269">
        <v>202504</v>
      </c>
      <c r="M10" s="273">
        <v>1420000</v>
      </c>
      <c r="N10" s="269" t="s">
        <v>1191</v>
      </c>
      <c r="O10" s="269">
        <f t="shared" si="4"/>
        <v>949</v>
      </c>
      <c r="P10" s="126" t="s">
        <v>1296</v>
      </c>
      <c r="Q10" s="126" t="s">
        <v>1574</v>
      </c>
      <c r="R10" s="126" t="s">
        <v>1194</v>
      </c>
      <c r="S10" s="126" t="s">
        <v>1214</v>
      </c>
    </row>
    <row r="11" spans="1:22" s="23" customFormat="1" ht="14.25" customHeight="1" ns3:dyDescent="0.25">
      <c r="A11" s="269" t="s">
        <v>1829</v>
      </c>
      <c r="B11" s="270" t="str">
        <f t="shared" si="6"/>
      </c>
      <c r="C11" s="271" t="s">
        <v>102</v>
      </c>
      <c r="D11" s="271" t="s">
        <v>106</v>
      </c>
      <c r="E11" s="271" t="s">
        <v>120</v>
      </c>
      <c r="F11" s="269" t="s">
        <v>1770</v>
      </c>
      <c r="G11" s="271" t="s">
        <v>117</v>
      </c>
      <c r="H11" s="269" t="str">
        <f>IFERROR(VLOOKUP(#REF!11,'정보화기기 명부'!A$2:B$187,2,FALSE),"")</f>
        <v/>
      </c>
      <c r="I11" s="269" t="str">
        <f>IFERROR(VLOOKUP(#REF!11,'교직원용 IP'!$C$2:$H$230,6,FALSE),"")</f>
        <v/>
      </c>
      <c r="J11" s="272"/>
      <c r="K11" s="272"/>
      <c r="L11" s="269">
        <v>202504</v>
      </c>
      <c r="M11" s="273">
        <v>1420000</v>
      </c>
      <c r="N11" s="269" t="s">
        <v>1191</v>
      </c>
      <c r="O11" s="269">
        <f t="shared" si="4"/>
        <v>948</v>
      </c>
      <c r="P11" s="126" t="s">
        <v>1296</v>
      </c>
      <c r="Q11" s="126" t="s">
        <v>1574</v>
      </c>
      <c r="R11" s="126" t="s">
        <v>1194</v>
      </c>
      <c r="S11" s="126" t="s">
        <v>1214</v>
      </c>
    </row>
    <row r="12" spans="1:22" s="23" customFormat="1" ht="15" customHeight="1" ns3:dyDescent="0.25">
      <c r="A12" s="193" t="s">
        <v>391</v>
      </c>
      <c r="B12" s="270" t="str">
        <f>LEFT(L12,6)&amp;"-"&amp;TEXT(O12,"0000")</f>
      </c>
      <c r="C12" s="271" t="s">
        <v>102</v>
      </c>
      <c r="D12" s="271" t="s">
        <v>106</v>
      </c>
      <c r="E12" s="271" t="s">
        <v>120</v>
      </c>
      <c r="F12" s="269" t="s">
        <v>1770</v>
      </c>
      <c r="G12" s="271" t="s">
        <v>117</v>
      </c>
      <c r="H12" s="269" t="str">
        <f>IFERROR(VLOOKUP(#REF!12,'정보화기기 명부'!A$2:B$187,2,FALSE),"")</f>
        <v/>
      </c>
      <c r="I12" s="269" t="str">
        <f>IFERROR(VLOOKUP(#REF!12,'교직원용 IP'!$C$2:$H$230,6,FALSE),"")</f>
        <v>10.51.90.95</v>
      </c>
      <c r="J12" s="272"/>
      <c r="K12" s="272"/>
      <c r="L12" s="269">
        <v>202504</v>
      </c>
      <c r="M12" s="273">
        <v>1420000</v>
      </c>
      <c r="N12" s="269" t="s">
        <v>1191</v>
      </c>
      <c r="O12" s="269">
        <f>O13+1</f>
        <v>947</v>
      </c>
      <c r="P12" s="126" t="s">
        <v>1296</v>
      </c>
      <c r="Q12" s="126" t="s">
        <v>1574</v>
      </c>
      <c r="R12" s="126" t="s">
        <v>1194</v>
      </c>
      <c r="S12" s="126" t="s">
        <v>1214</v>
      </c>
    </row>
    <row r="13" spans="1:22" s="23" customFormat="1" ht="17.399999999999999" customHeight="1" ns3:dyDescent="0.25">
      <c r="A13" s="269" t="s">
        <v>373</v>
      </c>
      <c r="B13" s="270" t="str">
        <f t="shared" si="6"/>
      </c>
      <c r="C13" s="271" t="s">
        <v>102</v>
      </c>
      <c r="D13" s="271" t="s">
        <v>106</v>
      </c>
      <c r="E13" s="271" t="s">
        <v>120</v>
      </c>
      <c r="F13" s="269" t="s">
        <v>1770</v>
      </c>
      <c r="G13" s="271" t="s">
        <v>117</v>
      </c>
      <c r="H13" s="269" t="str">
        <f>IFERROR(VLOOKUP(#REF!13,'정보화기기 명부'!A$2:B$187,2,FALSE),"")</f>
        <v>수리과학부</v>
      </c>
      <c r="I13" s="269" t="str">
        <f>IFERROR(VLOOKUP(#REF!13,'교직원용 IP'!$C$2:$H$230,6,FALSE),"")</f>
        <v>10.51.90.154</v>
      </c>
      <c r="J13" s="272"/>
      <c r="K13" s="272"/>
      <c r="L13" s="269">
        <v>202503</v>
      </c>
      <c r="M13" s="273">
        <v>1310000</v>
      </c>
      <c r="N13" s="269" t="s">
        <v>1191</v>
      </c>
      <c r="O13" s="269">
        <f t="shared" si="4"/>
        <v>946</v>
      </c>
      <c r="P13" s="126" t="s">
        <v>1296</v>
      </c>
      <c r="Q13" s="126" t="s">
        <v>1574</v>
      </c>
      <c r="R13" s="126" t="s">
        <v>1194</v>
      </c>
      <c r="S13" s="126" t="s">
        <v>1214</v>
      </c>
    </row>
    <row r="14" spans="1:22" s="23" customFormat="1" ht="15.65" customHeight="1" ns3:dyDescent="0.25">
      <c r="A14" s="269" t="s">
        <v>9</v>
      </c>
      <c r="B14" s="270" t="str">
        <f t="shared" si="6"/>
      </c>
      <c r="C14" s="271" t="s">
        <v>102</v>
      </c>
      <c r="D14" s="271" t="s">
        <v>106</v>
      </c>
      <c r="E14" s="271" t="s">
        <v>120</v>
      </c>
      <c r="F14" s="269" t="s">
        <v>1770</v>
      </c>
      <c r="G14" s="271" t="s">
        <v>117</v>
      </c>
      <c r="H14" s="269" t="str">
        <f>IFERROR(VLOOKUP(#REF!14,'정보화기기 명부'!A$2:B$187,2,FALSE),"")</f>
        <v>인문사회부</v>
      </c>
      <c r="I14" s="269" t="str">
        <f>IFERROR(VLOOKUP(#REF!14,'교직원용 IP'!$C$2:$H$230,6,FALSE),"")</f>
        <v>10.51.90.141</v>
      </c>
      <c r="J14" s="272"/>
      <c r="K14" s="272"/>
      <c r="L14" s="269">
        <v>202503</v>
      </c>
      <c r="M14" s="273">
        <v>1310000</v>
      </c>
      <c r="N14" s="269" t="s">
        <v>1191</v>
      </c>
      <c r="O14" s="269">
        <f t="shared" si="4"/>
        <v>945</v>
      </c>
      <c r="P14" s="126" t="s">
        <v>1296</v>
      </c>
      <c r="Q14" s="126" t="s">
        <v>1574</v>
      </c>
      <c r="R14" s="126" t="s">
        <v>1194</v>
      </c>
      <c r="S14" s="126" t="s">
        <v>1214</v>
      </c>
    </row>
    <row r="15" spans="1:22" s="23" customFormat="1" ht="15" customHeight="1" ns3:dyDescent="0.25">
      <c r="A15" s="193" t="s">
        <v>402</v>
      </c>
      <c r="B15" s="247" t="str">
        <f t="shared" si="6"/>
      </c>
      <c r="C15" s="248" t="s">
        <v>102</v>
      </c>
      <c r="D15" s="248" t="s">
        <v>106</v>
      </c>
      <c r="E15" s="248" t="s">
        <v>120</v>
      </c>
      <c r="F15" s="246" t="s">
        <v>1769</v>
      </c>
      <c r="G15" s="248" t="s">
        <v>117</v>
      </c>
      <c r="H15" s="246" t="str">
        <f>IFERROR(VLOOKUP(#REF!15,'정보화기기 명부'!A$2:B$187,2,FALSE),"")</f>
        <v>교무기획부</v>
      </c>
      <c r="I15" s="246" t="str">
        <f>IFERROR(VLOOKUP(#REF!15,'교직원용 IP'!$C$2:$H$230,6,FALSE),"")</f>
        <v>10.51.90.122</v>
      </c>
      <c r="J15" s="249"/>
      <c r="K15" s="249"/>
      <c r="L15" s="246">
        <v>202409</v>
      </c>
      <c r="M15" s="250">
        <v>1300000</v>
      </c>
      <c r="N15" s="248" t="s">
        <v>1191</v>
      </c>
      <c r="O15" s="246">
        <f t="shared" si="4"/>
        <v>944</v>
      </c>
      <c r="P15" s="126" t="s">
        <v>1296</v>
      </c>
      <c r="Q15" s="126" t="s">
        <v>1292</v>
      </c>
      <c r="R15" s="126" t="s">
        <v>1194</v>
      </c>
      <c r="S15" s="126" t="s">
        <v>1214</v>
      </c>
    </row>
    <row r="16" spans="1:22" s="23" customFormat="1" ht="15" customHeight="1" ns3:dyDescent="0.25">
      <c r="A16" s="246" t="s">
        <v>49</v>
      </c>
      <c r="B16" s="247" t="str">
        <f t="shared" si="6"/>
      </c>
      <c r="C16" s="248" t="s">
        <v>102</v>
      </c>
      <c r="D16" s="248" t="s">
        <v>106</v>
      </c>
      <c r="E16" s="248" t="s">
        <v>120</v>
      </c>
      <c r="F16" s="246" t="s">
        <v>1769</v>
      </c>
      <c r="G16" s="248" t="s">
        <v>117</v>
      </c>
      <c r="H16" s="246" t="str">
        <f>IFERROR(VLOOKUP(#REF!16,'정보화기기 명부'!A$2:B$187,2,FALSE),"")</f>
        <v>3학년부</v>
      </c>
      <c r="I16" s="246" t="str">
        <f>IFERROR(VLOOKUP(#REF!16,'교직원용 IP'!$C$2:$H$230,6,FALSE),"")</f>
        <v>10.51.90.82</v>
      </c>
      <c r="J16" s="249"/>
      <c r="K16" s="249"/>
      <c r="L16" s="246">
        <v>202409</v>
      </c>
      <c r="M16" s="250">
        <v>1300000</v>
      </c>
      <c r="N16" s="248" t="s">
        <v>1191</v>
      </c>
      <c r="O16" s="246">
        <f t="shared" si="4"/>
        <v>943</v>
      </c>
      <c r="P16" s="126" t="s">
        <v>1296</v>
      </c>
      <c r="Q16" s="126" t="s">
        <v>1292</v>
      </c>
      <c r="R16" s="126" t="s">
        <v>1194</v>
      </c>
      <c r="S16" s="126" t="s">
        <v>1214</v>
      </c>
    </row>
    <row r="17" spans="1:22" s="23" customFormat="1" ht="15" customHeight="1" ns3:dyDescent="0.25">
      <c r="A17" s="246" t="s">
        <v>14</v>
      </c>
      <c r="B17" s="247" t="str">
        <f t="shared" si="6"/>
      </c>
      <c r="C17" s="248" t="s">
        <v>102</v>
      </c>
      <c r="D17" s="248" t="s">
        <v>106</v>
      </c>
      <c r="E17" s="248" t="s">
        <v>120</v>
      </c>
      <c r="F17" s="246" t="s">
        <v>1769</v>
      </c>
      <c r="G17" s="248" t="s">
        <v>117</v>
      </c>
      <c r="H17" s="246" t="str">
        <f>IFERROR(VLOOKUP(#REF!17,'정보화기기 명부'!A$2:B$187,2,FALSE),"")</f>
        <v>1학년부</v>
      </c>
      <c r="I17" s="246" t="str">
        <f>IFERROR(VLOOKUP(#REF!17,'교직원용 IP'!$C$2:$H$230,6,FALSE),"")</f>
        <v>10.51.90.91</v>
      </c>
      <c r="J17" s="249"/>
      <c r="K17" s="249"/>
      <c r="L17" s="246">
        <v>202409</v>
      </c>
      <c r="M17" s="250">
        <v>1300000</v>
      </c>
      <c r="N17" s="248" t="s">
        <v>1191</v>
      </c>
      <c r="O17" s="246">
        <f t="shared" si="4"/>
        <v>942</v>
      </c>
      <c r="P17" s="126" t="s">
        <v>1296</v>
      </c>
      <c r="Q17" s="126" t="s">
        <v>1292</v>
      </c>
      <c r="R17" s="126" t="s">
        <v>1194</v>
      </c>
      <c r="S17" s="126" t="s">
        <v>1214</v>
      </c>
    </row>
    <row r="18" spans="1:22" s="23" customFormat="1" ht="15" customHeight="1" ns3:dyDescent="0.25">
      <c r="A18" s="246" t="s">
        <v>1822</v>
      </c>
      <c r="B18" s="247" t="str">
        <f t="shared" si="6"/>
      </c>
      <c r="C18" s="248" t="s">
        <v>102</v>
      </c>
      <c r="D18" s="248" t="s">
        <v>106</v>
      </c>
      <c r="E18" s="248" t="s">
        <v>120</v>
      </c>
      <c r="F18" s="246" t="s">
        <v>1769</v>
      </c>
      <c r="G18" s="248" t="s">
        <v>117</v>
      </c>
      <c r="H18" s="246" t="str">
        <f>IFERROR(VLOOKUP(#REF!18,'정보화기기 명부'!A$2:B$187,2,FALSE),"")</f>
        <v/>
      </c>
      <c r="I18" s="246" t="str">
        <f>IFERROR(VLOOKUP(#REF!18,'교직원용 IP'!$C$2:$H$230,6,FALSE),"")</f>
        <v/>
      </c>
      <c r="J18" s="249"/>
      <c r="K18" s="249"/>
      <c r="L18" s="246">
        <v>202409</v>
      </c>
      <c r="M18" s="250">
        <v>1300000</v>
      </c>
      <c r="N18" s="248" t="s">
        <v>1191</v>
      </c>
      <c r="O18" s="246">
        <f t="shared" si="4"/>
        <v>941</v>
      </c>
      <c r="P18" s="126" t="s">
        <v>1296</v>
      </c>
      <c r="Q18" s="126" t="s">
        <v>1292</v>
      </c>
      <c r="R18" s="126" t="s">
        <v>1194</v>
      </c>
      <c r="S18" s="126" t="s">
        <v>1214</v>
      </c>
    </row>
    <row r="19" spans="1:22" s="23" customFormat="1" ht="15" customHeight="1" ns3:dyDescent="0.25">
      <c r="A19" s="246" t="s">
        <v>385</v>
      </c>
      <c r="B19" s="247" t="str">
        <f t="shared" si="6"/>
      </c>
      <c r="C19" s="248" t="s">
        <v>102</v>
      </c>
      <c r="D19" s="248" t="s">
        <v>106</v>
      </c>
      <c r="E19" s="248" t="s">
        <v>120</v>
      </c>
      <c r="F19" s="246" t="s">
        <v>1769</v>
      </c>
      <c r="G19" s="248" t="s">
        <v>117</v>
      </c>
      <c r="H19" s="246" t="str">
        <f>IFERROR(VLOOKUP(#REF!19,'정보화기기 명부'!A$2:B$187,2,FALSE),"")</f>
        <v>2학년부</v>
      </c>
      <c r="I19" s="246" t="str">
        <f>IFERROR(VLOOKUP(#REF!19,'교직원용 IP'!$C$2:$H$230,6,FALSE),"")</f>
        <v>10.51.90.145</v>
      </c>
      <c r="J19" s="249"/>
      <c r="K19" s="249"/>
      <c r="L19" s="246">
        <v>202409</v>
      </c>
      <c r="M19" s="250">
        <v>1300000</v>
      </c>
      <c r="N19" s="248" t="s">
        <v>1191</v>
      </c>
      <c r="O19" s="246">
        <f t="shared" si="4"/>
        <v>940</v>
      </c>
      <c r="P19" s="126" t="s">
        <v>1296</v>
      </c>
      <c r="Q19" s="126" t="s">
        <v>1292</v>
      </c>
      <c r="R19" s="126" t="s">
        <v>1194</v>
      </c>
      <c r="S19" s="126" t="s">
        <v>1214</v>
      </c>
    </row>
    <row r="20" spans="1:22" s="23" customFormat="1" ht="15" customHeight="1" ns3:dyDescent="0.25">
      <c r="A20" s="246" t="s">
        <v>1831</v>
      </c>
      <c r="B20" s="247" t="str">
        <f>LEFT(L20,6)&amp;"-"&amp;TEXT(O20,"0000")</f>
      </c>
      <c r="C20" s="248" t="s">
        <v>102</v>
      </c>
      <c r="D20" s="248" t="s">
        <v>106</v>
      </c>
      <c r="E20" s="248" t="s">
        <v>120</v>
      </c>
      <c r="F20" s="246" t="s">
        <v>1769</v>
      </c>
      <c r="G20" s="248" t="s">
        <v>117</v>
      </c>
      <c r="H20" s="246" t="str">
        <f>IFERROR(VLOOKUP(#REF!20,'정보화기기 명부'!A$2:B$187,2,FALSE),"")</f>
        <v/>
      </c>
      <c r="I20" s="246" t="str">
        <f>IFERROR(VLOOKUP(#REF!20,'교직원용 IP'!$C$2:$H$230,6,FALSE),"")</f>
        <v/>
      </c>
      <c r="J20" s="249"/>
      <c r="K20" s="249"/>
      <c r="L20" s="246">
        <v>202409</v>
      </c>
      <c r="M20" s="250">
        <v>1300000</v>
      </c>
      <c r="N20" s="248" t="s">
        <v>1191</v>
      </c>
      <c r="O20" s="246">
        <f t="shared" si="4"/>
        <v>939</v>
      </c>
      <c r="P20" s="126" t="s">
        <v>1296</v>
      </c>
      <c r="Q20" s="126" t="s">
        <v>1292</v>
      </c>
      <c r="R20" s="126" t="s">
        <v>1194</v>
      </c>
      <c r="S20" s="126" t="s">
        <v>1214</v>
      </c>
    </row>
    <row r="21" spans="1:22" s="23" customFormat="1" ht="15" customHeight="1" ns3:dyDescent="0.25">
      <c r="A21" s="246" t="s">
        <v>13</v>
      </c>
      <c r="B21" s="247" t="str">
        <f t="shared" ref="B21:B38" si="8">LEFT(L21,6)&amp;"-"&amp;TEXT(O21,"0000")</f>
      </c>
      <c r="C21" s="248" t="s">
        <v>102</v>
      </c>
      <c r="D21" s="248" t="s">
        <v>106</v>
      </c>
      <c r="E21" s="248" t="s">
        <v>120</v>
      </c>
      <c r="F21" s="246" t="s">
        <v>1769</v>
      </c>
      <c r="G21" s="248" t="s">
        <v>117</v>
      </c>
      <c r="H21" s="246" t="str">
        <f>IFERROR(VLOOKUP(#REF!21,'정보화기기 명부'!A$2:B$187,2,FALSE),"")</f>
        <v>2학년부</v>
      </c>
      <c r="I21" s="246" t="str">
        <f>IFERROR(VLOOKUP(#REF!21,'교직원용 IP'!$C$2:$H$230,6,FALSE),"")</f>
        <v>10.51.90.112</v>
      </c>
      <c r="J21" s="249"/>
      <c r="K21" s="249"/>
      <c r="L21" s="246">
        <v>202409</v>
      </c>
      <c r="M21" s="250">
        <v>1300000</v>
      </c>
      <c r="N21" s="248" t="s">
        <v>1191</v>
      </c>
      <c r="O21" s="246">
        <f t="shared" ref="O21:O37" si="9">O22+1</f>
        <v>938</v>
      </c>
      <c r="P21" s="126" t="s">
        <v>1296</v>
      </c>
      <c r="Q21" s="126" t="s">
        <v>1292</v>
      </c>
      <c r="R21" s="126" t="s">
        <v>1194</v>
      </c>
      <c r="S21" s="126" t="s">
        <v>1214</v>
      </c>
    </row>
    <row r="22" spans="1:22" s="23" customFormat="1" ht="15" customHeight="1" ns3:dyDescent="0.25">
      <c r="A22" s="246" t="s">
        <v>377</v>
      </c>
      <c r="B22" s="247" t="str">
        <f t="shared" si="8"/>
      </c>
      <c r="C22" s="248" t="s">
        <v>102</v>
      </c>
      <c r="D22" s="248" t="s">
        <v>106</v>
      </c>
      <c r="E22" s="248" t="s">
        <v>120</v>
      </c>
      <c r="F22" s="246" t="s">
        <v>1769</v>
      </c>
      <c r="G22" s="248" t="s">
        <v>117</v>
      </c>
      <c r="H22" s="246" t="str">
        <f>IFERROR(VLOOKUP(#REF!22,'정보화기기 명부'!A$2:B$187,2,FALSE),"")</f>
        <v>학생인권안전부</v>
      </c>
      <c r="I22" s="246" t="str">
        <f>IFERROR(VLOOKUP(#REF!22,'교직원용 IP'!$C$2:$H$230,6,FALSE),"")</f>
        <v>10.51.90.99</v>
      </c>
      <c r="J22" s="249"/>
      <c r="K22" s="249"/>
      <c r="L22" s="246">
        <v>202409</v>
      </c>
      <c r="M22" s="250">
        <v>1300000</v>
      </c>
      <c r="N22" s="248" t="s">
        <v>1191</v>
      </c>
      <c r="O22" s="246">
        <f t="shared" si="9"/>
        <v>937</v>
      </c>
      <c r="P22" s="126" t="s">
        <v>1296</v>
      </c>
      <c r="Q22" s="126" t="s">
        <v>1292</v>
      </c>
      <c r="R22" s="126" t="s">
        <v>1194</v>
      </c>
      <c r="S22" s="126" t="s">
        <v>1214</v>
      </c>
    </row>
    <row r="23" spans="1:22" s="23" customFormat="1" ht="15" customHeight="1" ns3:dyDescent="0.25">
      <c r="A23" s="246" t="s">
        <v>1832</v>
      </c>
      <c r="B23" s="247" t="str">
        <f t="shared" si="8"/>
      </c>
      <c r="C23" s="248" t="s">
        <v>102</v>
      </c>
      <c r="D23" s="248" t="s">
        <v>106</v>
      </c>
      <c r="E23" s="248" t="s">
        <v>120</v>
      </c>
      <c r="F23" s="246" t="s">
        <v>1769</v>
      </c>
      <c r="G23" s="248" t="s">
        <v>117</v>
      </c>
      <c r="H23" s="246" t="str">
        <f>IFERROR(VLOOKUP(#REF!23,'정보화기기 명부'!A$2:B$187,2,FALSE),"")</f>
        <v/>
      </c>
      <c r="I23" s="246" t="str">
        <f>IFERROR(VLOOKUP(#REF!23,'교직원용 IP'!$C$2:$H$230,6,FALSE),"")</f>
        <v/>
      </c>
      <c r="J23" s="249"/>
      <c r="K23" s="249"/>
      <c r="L23" s="246">
        <v>202409</v>
      </c>
      <c r="M23" s="250">
        <v>1300000</v>
      </c>
      <c r="N23" s="248" t="s">
        <v>1191</v>
      </c>
      <c r="O23" s="246">
        <f t="shared" si="9"/>
        <v>936</v>
      </c>
      <c r="P23" s="126" t="s">
        <v>1296</v>
      </c>
      <c r="Q23" s="126" t="s">
        <v>1292</v>
      </c>
      <c r="R23" s="126" t="s">
        <v>1194</v>
      </c>
      <c r="S23" s="126" t="s">
        <v>1214</v>
      </c>
    </row>
    <row r="24" spans="1:22" s="23" customFormat="1" ht="15" customHeight="1" ns3:dyDescent="0.25">
      <c r="A24" s="246" t="s">
        <v>546</v>
      </c>
      <c r="B24" s="247" t="str">
        <f t="shared" si="8"/>
      </c>
      <c r="C24" s="248" t="s">
        <v>102</v>
      </c>
      <c r="D24" s="248" t="s">
        <v>106</v>
      </c>
      <c r="E24" s="248" t="s">
        <v>120</v>
      </c>
      <c r="F24" s="246" t="s">
        <v>1769</v>
      </c>
      <c r="G24" s="248" t="s">
        <v>117</v>
      </c>
      <c r="H24" s="246" t="str">
        <f>IFERROR(VLOOKUP(#REF!24,'정보화기기 명부'!A$2:B$187,2,FALSE),"")</f>
        <v>정보교육부</v>
      </c>
      <c r="I24" s="246" t="str">
        <f>IFERROR(VLOOKUP(#REF!24,'교직원용 IP'!$C$2:$H$230,6,FALSE),"")</f>
        <v>10.51.90.104</v>
      </c>
      <c r="J24" s="249"/>
      <c r="K24" s="249"/>
      <c r="L24" s="246">
        <v>202409</v>
      </c>
      <c r="M24" s="250">
        <v>1300000</v>
      </c>
      <c r="N24" s="248" t="s">
        <v>1191</v>
      </c>
      <c r="O24" s="246">
        <f t="shared" si="9"/>
        <v>935</v>
      </c>
      <c r="P24" s="126" t="s">
        <v>1296</v>
      </c>
      <c r="Q24" s="126" t="s">
        <v>1292</v>
      </c>
      <c r="R24" s="126" t="s">
        <v>1194</v>
      </c>
      <c r="S24" s="126" t="s">
        <v>1214</v>
      </c>
    </row>
    <row r="25" spans="1:22" s="23" customFormat="1" ht="16" ns3:dyDescent="0.25">
      <c r="A25" s="126" t="s">
        <v>350</v>
      </c>
      <c r="B25" s="25" t="str">
        <f t="shared" si="8"/>
      </c>
      <c r="C25" s="162" t="s">
        <v>102</v>
      </c>
      <c r="D25" s="162" t="s">
        <v>106</v>
      </c>
      <c r="E25" s="162" t="s">
        <v>120</v>
      </c>
      <c r="F25" s="162" t="s">
        <v>1771</v>
      </c>
      <c r="G25" s="162" t="s">
        <v>117</v>
      </c>
      <c r="H25" s="126" t="str">
        <f>IFERROR(VLOOKUP(#REF!25,'정보화기기 명부'!A$2:B$187,2,FALSE),"")</f>
        <v>교무기획부</v>
      </c>
      <c r="I25" s="126" t="str">
        <f>IFERROR(VLOOKUP(#REF!25,'교직원용 IP'!$C$2:$H$230,6,FALSE),"")</f>
        <v>10.51.90.89</v>
      </c>
      <c r="J25" s="192"/>
      <c r="K25" s="192"/>
      <c r="L25" s="126">
        <v>202402</v>
      </c>
      <c r="M25" s="127">
        <v>1360000</v>
      </c>
      <c r="N25" s="162" t="s">
        <v>1191</v>
      </c>
      <c r="O25" s="126">
        <f t="shared" si="9"/>
        <v>934</v>
      </c>
      <c r="P25" s="126" t="s">
        <v>1763</v>
      </c>
      <c r="Q25" s="126" t="s">
        <v>589</v>
      </c>
      <c r="R25" s="126" t="s">
        <v>1194</v>
      </c>
      <c r="S25" s="126" t="s">
        <v>1214</v>
      </c>
    </row>
    <row r="26" spans="1:22" s="23" customFormat="1" ht="16" ns3:dyDescent="0.25">
      <c r="A26" s="126" t="s">
        <v>371</v>
      </c>
      <c r="B26" s="25" t="str">
        <f t="shared" si="8"/>
      </c>
      <c r="C26" s="162" t="s">
        <v>102</v>
      </c>
      <c r="D26" s="162" t="s">
        <v>106</v>
      </c>
      <c r="E26" s="162" t="s">
        <v>120</v>
      </c>
      <c r="F26" s="162" t="s">
        <v>1771</v>
      </c>
      <c r="G26" s="162" t="s">
        <v>117</v>
      </c>
      <c r="H26" s="126" t="str">
        <f>IFERROR(VLOOKUP(#REF!26,'정보화기기 명부'!A$2:B$187,2,FALSE),"")</f>
        <v>1학년부</v>
      </c>
      <c r="I26" s="126" t="str">
        <f>IFERROR(VLOOKUP(#REF!26,'교직원용 IP'!$C$2:$H$230,6,FALSE),"")</f>
        <v>10.51.90.140</v>
      </c>
      <c r="J26" s="192"/>
      <c r="K26" s="192"/>
      <c r="L26" s="126">
        <v>202402</v>
      </c>
      <c r="M26" s="127">
        <v>1360000</v>
      </c>
      <c r="N26" s="162" t="s">
        <v>1191</v>
      </c>
      <c r="O26" s="126">
        <f t="shared" si="9"/>
        <v>933</v>
      </c>
      <c r="P26" s="126" t="s">
        <v>1763</v>
      </c>
      <c r="Q26" s="126" t="s">
        <v>589</v>
      </c>
      <c r="R26" s="126" t="s">
        <v>1194</v>
      </c>
      <c r="S26" s="126" t="s">
        <v>1214</v>
      </c>
    </row>
    <row r="27" spans="1:22" s="23" customFormat="1" ht="16" ns3:dyDescent="0.25">
      <c r="A27" s="126" t="s">
        <v>360</v>
      </c>
      <c r="B27" s="25" t="str">
        <f t="shared" si="8"/>
      </c>
      <c r="C27" s="162" t="s">
        <v>102</v>
      </c>
      <c r="D27" s="162" t="s">
        <v>106</v>
      </c>
      <c r="E27" s="162" t="s">
        <v>120</v>
      </c>
      <c r="F27" s="162" t="s">
        <v>1771</v>
      </c>
      <c r="G27" s="162" t="s">
        <v>117</v>
      </c>
      <c r="H27" s="126" t="str">
        <f>IFERROR(VLOOKUP(#REF!27,'정보화기기 명부'!A$2:B$187,2,FALSE),"")</f>
        <v>1학년부</v>
      </c>
      <c r="I27" s="126" t="str">
        <f>IFERROR(VLOOKUP(#REF!27,'교직원용 IP'!$C$2:$H$230,6,FALSE),"")</f>
        <v>10.51.90.120</v>
      </c>
      <c r="J27" s="192"/>
      <c r="K27" s="192"/>
      <c r="L27" s="126">
        <v>202402</v>
      </c>
      <c r="M27" s="127">
        <v>1360000</v>
      </c>
      <c r="N27" s="162" t="s">
        <v>1191</v>
      </c>
      <c r="O27" s="126">
        <f t="shared" si="9"/>
        <v>932</v>
      </c>
      <c r="P27" s="126" t="s">
        <v>1763</v>
      </c>
      <c r="Q27" s="126" t="s">
        <v>589</v>
      </c>
      <c r="R27" s="126" t="s">
        <v>1194</v>
      </c>
      <c r="S27" s="126" t="s">
        <v>1214</v>
      </c>
    </row>
    <row r="28" spans="1:22" s="23" customFormat="1" ht="16" ns3:dyDescent="0.25">
      <c r="A28" s="126" t="s">
        <v>355</v>
      </c>
      <c r="B28" s="25" t="str">
        <f t="shared" si="8"/>
      </c>
      <c r="C28" s="162" t="s">
        <v>102</v>
      </c>
      <c r="D28" s="162" t="s">
        <v>106</v>
      </c>
      <c r="E28" s="162" t="s">
        <v>120</v>
      </c>
      <c r="F28" s="162" t="s">
        <v>1771</v>
      </c>
      <c r="G28" s="162" t="s">
        <v>117</v>
      </c>
      <c r="H28" s="126" t="str">
        <f>IFERROR(VLOOKUP(#REF!28,'정보화기기 명부'!A$2:B$187,2,FALSE),"")</f>
        <v>3학년부</v>
      </c>
      <c r="I28" s="126" t="str">
        <f>IFERROR(VLOOKUP(#REF!28,'교직원용 IP'!$C$2:$H$230,6,FALSE),"")</f>
        <v>10.51.90.143</v>
      </c>
      <c r="J28" s="192"/>
      <c r="K28" s="192"/>
      <c r="L28" s="126">
        <v>202402</v>
      </c>
      <c r="M28" s="127">
        <v>1360000</v>
      </c>
      <c r="N28" s="162" t="s">
        <v>1191</v>
      </c>
      <c r="O28" s="126">
        <f t="shared" si="9"/>
        <v>931</v>
      </c>
      <c r="P28" s="126" t="s">
        <v>1763</v>
      </c>
      <c r="Q28" s="126" t="s">
        <v>589</v>
      </c>
      <c r="R28" s="126" t="s">
        <v>1194</v>
      </c>
      <c r="S28" s="126" t="s">
        <v>1214</v>
      </c>
    </row>
    <row r="29" spans="1:22" s="23" customFormat="1" ht="16" ns3:dyDescent="0.25">
      <c r="A29" s="126" t="s">
        <v>37</v>
      </c>
      <c r="B29" s="25" t="str">
        <f t="shared" si="8"/>
      </c>
      <c r="C29" s="162" t="s">
        <v>102</v>
      </c>
      <c r="D29" s="162" t="s">
        <v>106</v>
      </c>
      <c r="E29" s="162" t="s">
        <v>120</v>
      </c>
      <c r="F29" s="162" t="s">
        <v>1771</v>
      </c>
      <c r="G29" s="162" t="s">
        <v>117</v>
      </c>
      <c r="H29" s="126" t="str">
        <f>IFERROR(VLOOKUP(#REF!29,'정보화기기 명부'!A$2:B$187,2,FALSE),"")</f>
        <v>2학년부</v>
      </c>
      <c r="I29" s="126" t="str">
        <f>IFERROR(VLOOKUP(#REF!29,'교직원용 IP'!$C$2:$H$230,6,FALSE),"")</f>
        <v>10.51.90.103</v>
      </c>
      <c r="J29" s="192"/>
      <c r="K29" s="192"/>
      <c r="L29" s="126">
        <v>202402</v>
      </c>
      <c r="M29" s="127">
        <v>1360000</v>
      </c>
      <c r="N29" s="162" t="s">
        <v>1191</v>
      </c>
      <c r="O29" s="126">
        <f t="shared" si="9"/>
        <v>930</v>
      </c>
      <c r="P29" s="126" t="s">
        <v>1763</v>
      </c>
      <c r="Q29" s="126" t="s">
        <v>589</v>
      </c>
      <c r="R29" s="126" t="s">
        <v>1194</v>
      </c>
      <c r="S29" s="126" t="s">
        <v>1214</v>
      </c>
    </row>
    <row r="30" spans="1:22" s="23" customFormat="1" ht="16" ns3:dyDescent="0.25">
      <c r="A30" s="126" t="s">
        <v>18</v>
      </c>
      <c r="B30" s="25" t="str">
        <f t="shared" si="8"/>
      </c>
      <c r="C30" s="162" t="s">
        <v>102</v>
      </c>
      <c r="D30" s="162" t="s">
        <v>106</v>
      </c>
      <c r="E30" s="162" t="s">
        <v>120</v>
      </c>
      <c r="F30" s="162" t="s">
        <v>1771</v>
      </c>
      <c r="G30" s="162" t="s">
        <v>117</v>
      </c>
      <c r="H30" s="126" t="str">
        <f>IFERROR(VLOOKUP(#REF!30,'정보화기기 명부'!A$2:B$187,2,FALSE),"")</f>
        <v>진로진학상담부</v>
      </c>
      <c r="I30" s="126" t="str">
        <f>IFERROR(VLOOKUP(#REF!30,'교직원용 IP'!$C$2:$H$230,6,FALSE),"")</f>
        <v>10.51.90.92</v>
      </c>
      <c r="J30" s="192"/>
      <c r="K30" s="192"/>
      <c r="L30" s="126">
        <v>202402</v>
      </c>
      <c r="M30" s="127">
        <v>1360000</v>
      </c>
      <c r="N30" s="162" t="s">
        <v>1191</v>
      </c>
      <c r="O30" s="126">
        <f t="shared" si="9"/>
        <v>929</v>
      </c>
      <c r="P30" s="126" t="s">
        <v>1763</v>
      </c>
      <c r="Q30" s="126" t="s">
        <v>589</v>
      </c>
      <c r="R30" s="126" t="s">
        <v>1194</v>
      </c>
      <c r="S30" s="126" t="s">
        <v>1214</v>
      </c>
    </row>
    <row r="31" spans="1:22" s="23" customFormat="1" ht="16" ns3:dyDescent="0.25">
      <c r="A31" s="126" t="s">
        <v>1828</v>
      </c>
      <c r="B31" s="25" t="str">
        <f t="shared" si="8"/>
      </c>
      <c r="C31" s="162" t="s">
        <v>102</v>
      </c>
      <c r="D31" s="162" t="s">
        <v>106</v>
      </c>
      <c r="E31" s="162" t="s">
        <v>120</v>
      </c>
      <c r="F31" s="162" t="s">
        <v>1771</v>
      </c>
      <c r="G31" s="162" t="s">
        <v>117</v>
      </c>
      <c r="H31" s="126" t="str">
        <f>IFERROR(VLOOKUP(#REF!31,'정보화기기 명부'!A$2:B$187,2,FALSE),"")</f>
        <v/>
      </c>
      <c r="I31" s="126" t="str">
        <f>IFERROR(VLOOKUP(#REF!31,'교직원용 IP'!$C$2:$H$230,6,FALSE),"")</f>
        <v/>
      </c>
      <c r="J31" s="192"/>
      <c r="K31" s="192"/>
      <c r="L31" s="126">
        <v>202402</v>
      </c>
      <c r="M31" s="127">
        <v>1360000</v>
      </c>
      <c r="N31" s="162" t="s">
        <v>1191</v>
      </c>
      <c r="O31" s="126">
        <f t="shared" si="9"/>
        <v>928</v>
      </c>
      <c r="P31" s="126" t="s">
        <v>1763</v>
      </c>
      <c r="Q31" s="126" t="s">
        <v>589</v>
      </c>
      <c r="R31" s="126" t="s">
        <v>1194</v>
      </c>
      <c r="S31" s="126" t="s">
        <v>1214</v>
      </c>
    </row>
    <row r="32" spans="1:22" s="23" customFormat="1" ht="16" ns3:dyDescent="0.25">
      <c r="A32" s="126" t="s">
        <v>11</v>
      </c>
      <c r="B32" s="25" t="str">
        <f t="shared" si="8"/>
      </c>
      <c r="C32" s="162" t="s">
        <v>102</v>
      </c>
      <c r="D32" s="162" t="s">
        <v>106</v>
      </c>
      <c r="E32" s="162" t="s">
        <v>120</v>
      </c>
      <c r="F32" s="162" t="s">
        <v>1771</v>
      </c>
      <c r="G32" s="162" t="s">
        <v>117</v>
      </c>
      <c r="H32" s="126" t="str">
        <f>IFERROR(VLOOKUP(#REF!32,'정보화기기 명부'!A$2:B$187,2,FALSE),"")</f>
        <v>2학년부</v>
      </c>
      <c r="I32" s="126" t="str">
        <f>IFERROR(VLOOKUP(#REF!32,'교직원용 IP'!$C$2:$H$230,6,FALSE),"")</f>
        <v>10.51.90.96</v>
      </c>
      <c r="J32" s="192"/>
      <c r="K32" s="192"/>
      <c r="L32" s="126">
        <v>202402</v>
      </c>
      <c r="M32" s="127">
        <v>1360000</v>
      </c>
      <c r="N32" s="162" t="s">
        <v>1191</v>
      </c>
      <c r="O32" s="126">
        <f t="shared" si="9"/>
        <v>927</v>
      </c>
      <c r="P32" s="126" t="s">
        <v>1763</v>
      </c>
      <c r="Q32" s="126" t="s">
        <v>589</v>
      </c>
      <c r="R32" s="126" t="s">
        <v>1194</v>
      </c>
      <c r="S32" s="126" t="s">
        <v>1214</v>
      </c>
    </row>
    <row r="33" spans="1:26" s="23" customFormat="1" ht="16" ns3:dyDescent="0.25">
      <c r="A33" s="126" t="s">
        <v>39</v>
      </c>
      <c r="B33" s="25" t="str">
        <f t="shared" si="8"/>
      </c>
      <c r="C33" s="162" t="s">
        <v>102</v>
      </c>
      <c r="D33" s="162" t="s">
        <v>106</v>
      </c>
      <c r="E33" s="162" t="s">
        <v>120</v>
      </c>
      <c r="F33" s="162" t="s">
        <v>1771</v>
      </c>
      <c r="G33" s="162" t="s">
        <v>117</v>
      </c>
      <c r="H33" s="126" t="str">
        <f>IFERROR(VLOOKUP(#REF!33,'정보화기기 명부'!A$2:B$187,2,FALSE),"")</f>
        <v>2학년부</v>
      </c>
      <c r="I33" s="126" t="str">
        <f>IFERROR(VLOOKUP(#REF!33,'교직원용 IP'!$C$2:$H$230,6,FALSE),"")</f>
        <v>10.51.90.163</v>
      </c>
      <c r="J33" s="192"/>
      <c r="K33" s="192"/>
      <c r="L33" s="126">
        <v>202402</v>
      </c>
      <c r="M33" s="127">
        <v>1360000</v>
      </c>
      <c r="N33" s="162" t="s">
        <v>1191</v>
      </c>
      <c r="O33" s="126">
        <f t="shared" si="9"/>
        <v>926</v>
      </c>
      <c r="P33" s="126" t="s">
        <v>1763</v>
      </c>
      <c r="Q33" s="126" t="s">
        <v>589</v>
      </c>
      <c r="R33" s="126" t="s">
        <v>1194</v>
      </c>
      <c r="S33" s="126" t="s">
        <v>1214</v>
      </c>
    </row>
    <row r="34" spans="1:26" s="23" customFormat="1" ht="16" ns3:dyDescent="0.25">
      <c r="A34" s="126" t="s">
        <v>1823</v>
      </c>
      <c r="B34" s="25" t="str">
        <f t="shared" si="8"/>
      </c>
      <c r="C34" s="162" t="s">
        <v>102</v>
      </c>
      <c r="D34" s="162" t="s">
        <v>106</v>
      </c>
      <c r="E34" s="162" t="s">
        <v>120</v>
      </c>
      <c r="F34" s="162" t="s">
        <v>1771</v>
      </c>
      <c r="G34" s="162" t="s">
        <v>117</v>
      </c>
      <c r="H34" s="126" t="str">
        <f>IFERROR(VLOOKUP(#REF!34,'정보화기기 명부'!A$2:B$187,2,FALSE),"")</f>
        <v/>
      </c>
      <c r="I34" s="126" t="str">
        <f>IFERROR(VLOOKUP(#REF!34,'교직원용 IP'!$C$2:$H$230,6,FALSE),"")</f>
        <v/>
      </c>
      <c r="J34" s="192"/>
      <c r="K34" s="192"/>
      <c r="L34" s="126">
        <v>202402</v>
      </c>
      <c r="M34" s="127">
        <v>1360000</v>
      </c>
      <c r="N34" s="162" t="s">
        <v>1191</v>
      </c>
      <c r="O34" s="126">
        <f t="shared" si="9"/>
        <v>925</v>
      </c>
      <c r="P34" s="126" t="s">
        <v>1763</v>
      </c>
      <c r="Q34" s="126" t="s">
        <v>589</v>
      </c>
      <c r="R34" s="126" t="s">
        <v>1194</v>
      </c>
      <c r="S34" s="126" t="s">
        <v>1214</v>
      </c>
    </row>
    <row r="35" spans="1:26" s="23" customFormat="1" ht="16" ns3:dyDescent="0.25">
      <c r="A35" s="126" t="s">
        <v>25</v>
      </c>
      <c r="B35" s="25" t="str">
        <f t="shared" si="8"/>
      </c>
      <c r="C35" s="162" t="s">
        <v>102</v>
      </c>
      <c r="D35" s="162" t="s">
        <v>106</v>
      </c>
      <c r="E35" s="162" t="s">
        <v>120</v>
      </c>
      <c r="F35" s="162" t="s">
        <v>1771</v>
      </c>
      <c r="G35" s="162" t="s">
        <v>117</v>
      </c>
      <c r="H35" s="126" t="str">
        <f>IFERROR(VLOOKUP(#REF!35,'정보화기기 명부'!A$2:B$187,2,FALSE),"")</f>
        <v>3학년부</v>
      </c>
      <c r="I35" s="126" t="str">
        <f>IFERROR(VLOOKUP(#REF!35,'교직원용 IP'!$C$2:$H$230,6,FALSE),"")</f>
        <v>10.51.90.114</v>
      </c>
      <c r="J35" s="192"/>
      <c r="K35" s="192"/>
      <c r="L35" s="126">
        <v>202402</v>
      </c>
      <c r="M35" s="127">
        <v>1360000</v>
      </c>
      <c r="N35" s="162" t="s">
        <v>1191</v>
      </c>
      <c r="O35" s="126">
        <f t="shared" si="9"/>
        <v>924</v>
      </c>
      <c r="P35" s="126" t="s">
        <v>1763</v>
      </c>
      <c r="Q35" s="126" t="s">
        <v>589</v>
      </c>
      <c r="R35" s="126" t="s">
        <v>1194</v>
      </c>
      <c r="S35" s="126" t="s">
        <v>1214</v>
      </c>
    </row>
    <row r="36" spans="1:26" s="23" customFormat="1" ht="16" ns3:dyDescent="0.25">
      <c r="A36" s="126" t="s">
        <v>386</v>
      </c>
      <c r="B36" s="25" t="str">
        <f t="shared" si="8"/>
      </c>
      <c r="C36" s="162" t="s">
        <v>102</v>
      </c>
      <c r="D36" s="162" t="s">
        <v>106</v>
      </c>
      <c r="E36" s="162" t="s">
        <v>120</v>
      </c>
      <c r="F36" s="162" t="s">
        <v>1771</v>
      </c>
      <c r="G36" s="162" t="s">
        <v>117</v>
      </c>
      <c r="H36" s="126" t="str">
        <f>IFERROR(VLOOKUP(#REF!36,'정보화기기 명부'!A$2:B$187,2,FALSE),"")</f>
        <v>3학년부</v>
      </c>
      <c r="I36" s="126" t="str">
        <f>IFERROR(VLOOKUP(#REF!36,'교직원용 IP'!$C$2:$H$230,6,FALSE),"")</f>
        <v>10.51.90.94</v>
      </c>
      <c r="J36" s="192"/>
      <c r="K36" s="192"/>
      <c r="L36" s="126">
        <v>202402</v>
      </c>
      <c r="M36" s="127">
        <v>1360000</v>
      </c>
      <c r="N36" s="162" t="s">
        <v>1191</v>
      </c>
      <c r="O36" s="126">
        <f t="shared" si="9"/>
        <v>923</v>
      </c>
      <c r="P36" s="126" t="s">
        <v>1763</v>
      </c>
      <c r="Q36" s="126" t="s">
        <v>589</v>
      </c>
      <c r="R36" s="126" t="s">
        <v>1194</v>
      </c>
      <c r="S36" s="126" t="s">
        <v>1214</v>
      </c>
    </row>
    <row r="37" spans="1:26" s="23" customFormat="1" ht="16" ns3:dyDescent="0.25">
      <c r="A37" s="126" t="s">
        <v>68</v>
      </c>
      <c r="B37" s="25" t="str">
        <f t="shared" si="8"/>
      </c>
      <c r="C37" s="162" t="s">
        <v>102</v>
      </c>
      <c r="D37" s="162" t="s">
        <v>106</v>
      </c>
      <c r="E37" s="162" t="s">
        <v>120</v>
      </c>
      <c r="F37" s="162" t="s">
        <v>1771</v>
      </c>
      <c r="G37" s="162" t="s">
        <v>117</v>
      </c>
      <c r="H37" s="126" t="str">
        <f>IFERROR(VLOOKUP(#REF!37,'정보화기기 명부'!A$2:B$187,2,FALSE),"")</f>
        <v>3학년부</v>
      </c>
      <c r="I37" s="126" t="str">
        <f>IFERROR(VLOOKUP(#REF!37,'교직원용 IP'!$C$2:$H$230,6,FALSE),"")</f>
        <v>10.51.90.152</v>
      </c>
      <c r="J37" s="192"/>
      <c r="K37" s="192"/>
      <c r="L37" s="126">
        <v>202402</v>
      </c>
      <c r="M37" s="127">
        <v>1360000</v>
      </c>
      <c r="N37" s="162" t="s">
        <v>1191</v>
      </c>
      <c r="O37" s="126">
        <f t="shared" si="9"/>
        <v>922</v>
      </c>
      <c r="P37" s="126" t="s">
        <v>1763</v>
      </c>
      <c r="Q37" s="126" t="s">
        <v>589</v>
      </c>
      <c r="R37" s="126" t="s">
        <v>1194</v>
      </c>
      <c r="S37" s="126" t="s">
        <v>1214</v>
      </c>
    </row>
    <row r="38" spans="1:26" s="23" customFormat="1" ht="16" ns3:dyDescent="0.25">
      <c r="A38" s="126" t="s">
        <v>382</v>
      </c>
      <c r="B38" s="25" t="str">
        <f t="shared" si="8"/>
      </c>
      <c r="C38" s="162" t="s">
        <v>102</v>
      </c>
      <c r="D38" s="162" t="s">
        <v>106</v>
      </c>
      <c r="E38" s="162" t="s">
        <v>120</v>
      </c>
      <c r="F38" s="162" t="s">
        <v>1771</v>
      </c>
      <c r="G38" s="162" t="s">
        <v>117</v>
      </c>
      <c r="H38" s="126" t="str">
        <f>IFERROR(VLOOKUP(#REF!38,'정보화기기 명부'!A$2:B$187,2,FALSE),"")</f>
        <v>교무기획부</v>
      </c>
      <c r="I38" s="126" t="str">
        <f>IFERROR(VLOOKUP(#REF!38,'교직원용 IP'!$C$2:$H$230,6,FALSE),"")</f>
        <v>10.51.90.108</v>
      </c>
      <c r="J38" s="192"/>
      <c r="K38" s="192"/>
      <c r="L38" s="126">
        <v>202402</v>
      </c>
      <c r="M38" s="127">
        <v>1360000</v>
      </c>
      <c r="N38" s="162" t="s">
        <v>1191</v>
      </c>
      <c r="O38" s="126">
        <f>O40+1</f>
        <v>921</v>
      </c>
      <c r="P38" s="126" t="s">
        <v>1763</v>
      </c>
      <c r="Q38" s="126" t="s">
        <v>589</v>
      </c>
      <c r="R38" s="126" t="s">
        <v>1194</v>
      </c>
      <c r="S38" s="126" t="s">
        <v>1214</v>
      </c>
    </row>
    <row r="39" spans="1:26" s="23" customFormat="1" ht="15" customHeight="1" ns3:dyDescent="0.25">
      <c r="A39" s="126" t="s">
        <v>375</v>
      </c>
      <c r="B39" s="25">
        <f>LEFT(L39,6)&amp;"-"&amp;TEXT(O39,"0000")</f>
      </c>
      <c r="C39" s="162" t="s">
        <v>102</v>
      </c>
      <c r="D39" s="162" t="s">
        <v>106</v>
      </c>
      <c r="E39" s="162" t="s">
        <v>120</v>
      </c>
      <c r="F39" s="252" t="s">
        <v>1635</v>
      </c>
      <c r="G39" s="162" t="s">
        <v>117</v>
      </c>
      <c r="H39" s="162" t="str">
        <f>IFERROR(VLOOKUP(#REF!39,'정보화기기 명부'!A$2:B$187,2,FALSE),"")</f>
        <v>3학년부</v>
      </c>
      <c r="I39" s="126" t="str">
        <f>IFERROR(VLOOKUP(A39,'교직원용 IP'!$C$2:$H$230,6,FALSE),"")</f>
        <v>10.51.90.101</v>
      </c>
      <c r="J39" s="162"/>
      <c r="K39" s="253"/>
      <c r="L39" s="162">
        <v>20230315</v>
      </c>
      <c r="M39" s="254">
        <v>1028000</v>
      </c>
      <c r="N39" s="162" t="s">
        <v>1191</v>
      </c>
      <c r="O39" s="162">
        <v>921</v>
      </c>
      <c r="P39" s="162" t="s">
        <v>1400</v>
      </c>
      <c r="Q39" s="126" t="s">
        <v>1599</v>
      </c>
      <c r="R39" s="126" t="s">
        <v>54</v>
      </c>
      <c r="S39" s="126" t="s">
        <v>1214</v>
      </c>
    </row>
    <row r="40" spans="1:26" s="23" customFormat="1" ht="15" customHeight="1" ns3:dyDescent="0.25">
      <c r="A40" s="162" t="s">
        <v>48</v>
      </c>
      <c r="B40" s="25">
        <f>LEFT(L40,6)&amp;"-"&amp;TEXT(O40,"0000")</f>
      </c>
      <c r="C40" s="162" t="s">
        <v>102</v>
      </c>
      <c r="D40" s="162" t="s">
        <v>106</v>
      </c>
      <c r="E40" s="162" t="s">
        <v>120</v>
      </c>
      <c r="F40" s="252" t="s">
        <v>1635</v>
      </c>
      <c r="G40" s="162" t="s">
        <v>117</v>
      </c>
      <c r="H40" s="162" t="str">
        <f>IFERROR(VLOOKUP(#REF!40,'정보화기기 명부'!A$2:B$187,2,FALSE),"")</f>
        <v>수리과학부</v>
      </c>
      <c r="I40" s="126" t="str">
        <f>IFERROR(VLOOKUP(A40,'교직원용 IP'!$C$2:$H$230,6,FALSE),"")</f>
        <v>10.51.90.84</v>
      </c>
      <c r="J40" s="162"/>
      <c r="K40" s="253"/>
      <c r="L40" s="162">
        <v>20230315</v>
      </c>
      <c r="M40" s="254">
        <v>1028000</v>
      </c>
      <c r="N40" s="162" t="s">
        <v>1191</v>
      </c>
      <c r="O40" s="162">
        <v>920</v>
      </c>
      <c r="P40" s="162" t="s">
        <v>1400</v>
      </c>
      <c r="Q40" s="126" t="s">
        <v>1599</v>
      </c>
      <c r="R40" s="126" t="s">
        <v>54</v>
      </c>
      <c r="S40" s="126" t="s">
        <v>1214</v>
      </c>
    </row>
    <row r="41" spans="1:26" ht="15" customHeight="1" ns3:dyDescent="0.25">
      <c r="A41" s="25" t="s">
        <v>351</v>
      </c>
      <c r="B41" s="25">
        <f>LEFT(L41,6)&amp;"-"&amp;TEXT(O41,"0000")</f>
      </c>
      <c r="C41" s="25" t="s">
        <v>102</v>
      </c>
      <c r="D41" s="25" t="s">
        <v>106</v>
      </c>
      <c r="E41" s="25" t="s">
        <v>120</v>
      </c>
      <c r="F41" s="255" t="s">
        <v>1635</v>
      </c>
      <c r="G41" s="25" t="s">
        <v>117</v>
      </c>
      <c r="H41" s="25" t="str">
        <f>IFERROR(VLOOKUP(#REF!41,'정보화기기 명부'!A$2:B$187,2,FALSE),"")</f>
        <v>혁신교육부</v>
      </c>
      <c r="I41" s="126" t="str">
        <f>IFERROR(VLOOKUP(A41,'교직원용 IP'!$C$2:$H$230,6,FALSE),"")</f>
        <v>10.51.90.83</v>
      </c>
      <c r="J41" s="25"/>
      <c r="K41" s="117"/>
      <c r="L41" s="25">
        <v>20230315</v>
      </c>
      <c r="M41" s="125">
        <v>1028000</v>
      </c>
      <c r="N41" s="25" t="s">
        <v>1191</v>
      </c>
      <c r="O41" s="162">
        <v>919</v>
      </c>
      <c r="P41" s="25" t="s">
        <v>1400</v>
      </c>
      <c r="Q41" s="126" t="s">
        <v>1599</v>
      </c>
      <c r="R41" s="126" t="s">
        <v>54</v>
      </c>
      <c r="S41" s="126" t="s">
        <v>1214</v>
      </c>
    </row>
    <row r="42" spans="1:26" ht="15" customHeight="1" ns3:dyDescent="0.25">
      <c r="A42" s="25" t="s">
        <v>346</v>
      </c>
      <c r="B42" s="25" t="str">
        <f t="shared" ref="B42:B113" si="12">LEFT(L42,6)&amp;"-"&amp;TEXT(O42,"0000")</f>
      </c>
      <c r="C42" s="25" t="s">
        <v>102</v>
      </c>
      <c r="D42" s="25" t="s">
        <v>106</v>
      </c>
      <c r="E42" s="25" t="s">
        <v>120</v>
      </c>
      <c r="F42" s="255" t="s">
        <v>1636</v>
      </c>
      <c r="G42" s="25" t="s">
        <v>117</v>
      </c>
      <c r="H42" s="25" t="str">
        <f>IFERROR(VLOOKUP(#REF!42,'정보화기기 명부'!A$2:B$187,2,FALSE),"")</f>
        <v>특수교육부</v>
      </c>
      <c r="I42" s="126" t="str">
        <f>IFERROR(VLOOKUP(A42,'교직원용 IP'!$C$2:$H$230,6,FALSE),"")</f>
        <v>10.51.90.164</v>
      </c>
      <c r="J42" s="25"/>
      <c r="K42" s="117"/>
      <c r="L42" s="25">
        <v>202212</v>
      </c>
      <c r="M42" s="125">
        <v>1028000</v>
      </c>
      <c r="N42" s="25" t="s">
        <v>1191</v>
      </c>
      <c r="O42" s="162">
        <v>918</v>
      </c>
      <c r="P42" s="25" t="s">
        <v>1400</v>
      </c>
      <c r="Q42" s="162"/>
      <c r="R42" s="162"/>
      <c r="S42" s="162"/>
    </row>
    <row r="43" spans="1:26" ht="15" customHeight="1" ns3:dyDescent="0.25">
      <c r="A43" s="25" t="s">
        <v>1833</v>
      </c>
      <c r="B43" s="25" t="str">
        <f t="shared" si="12"/>
      </c>
      <c r="C43" s="25" t="s">
        <v>102</v>
      </c>
      <c r="D43" s="25" t="s">
        <v>106</v>
      </c>
      <c r="E43" s="25" t="s">
        <v>120</v>
      </c>
      <c r="F43" s="255" t="s">
        <v>1636</v>
      </c>
      <c r="G43" s="25" t="s">
        <v>117</v>
      </c>
      <c r="H43" s="25" t="str">
        <f>IFERROR(VLOOKUP(#REF!43,'정보화기기 명부'!A$2:B$187,2,FALSE),"")</f>
        <v/>
      </c>
      <c r="I43" s="126" t="str">
        <f>IFERROR(VLOOKUP(A43,'교직원용 IP'!$C$2:$H$230,6,FALSE),"")</f>
        <v/>
      </c>
      <c r="J43" s="25"/>
      <c r="K43" s="117"/>
      <c r="L43" s="25">
        <v>202212</v>
      </c>
      <c r="M43" s="125">
        <v>1028000</v>
      </c>
      <c r="N43" s="25" t="s">
        <v>1191</v>
      </c>
      <c r="O43" s="162">
        <v>917</v>
      </c>
      <c r="P43" s="25" t="s">
        <v>1400</v>
      </c>
      <c r="Q43" s="25"/>
      <c r="R43" s="25"/>
      <c r="S43" s="25"/>
    </row>
    <row r="44" spans="1:26" ht="15" customHeight="1" ns3:dyDescent="0.25">
      <c r="A44" s="25" t="s">
        <v>62</v>
      </c>
      <c r="B44" s="25" t="str">
        <f t="shared" si="12"/>
      </c>
      <c r="C44" s="25" t="s">
        <v>102</v>
      </c>
      <c r="D44" s="25" t="s">
        <v>106</v>
      </c>
      <c r="E44" s="25" t="s">
        <v>120</v>
      </c>
      <c r="F44" s="255" t="s">
        <v>1650</v>
      </c>
      <c r="G44" s="25" t="s">
        <v>78</v>
      </c>
      <c r="H44" s="25" t="str">
        <f>IFERROR(VLOOKUP(#REF!44,'정보화기기 명부'!A$2:B$187,2,FALSE),"")</f>
        <v>교육과정부</v>
      </c>
      <c r="I44" s="126" t="str">
        <f>IFERROR(VLOOKUP(A44,'교직원용 IP'!$C$2:$H$230,6,FALSE),"")</f>
        <v>10.51.90.109</v>
      </c>
      <c r="J44" s="25"/>
      <c r="K44" s="117"/>
      <c r="L44" s="25">
        <v>202212</v>
      </c>
      <c r="M44" s="125"/>
      <c r="N44" s="25" t="s">
        <v>1191</v>
      </c>
      <c r="O44" s="162">
        <v>916</v>
      </c>
      <c r="P44" s="25" t="s">
        <v>1400</v>
      </c>
      <c r="Q44" s="25"/>
      <c r="R44" s="25"/>
      <c r="S44" s="25"/>
    </row>
    <row r="45" spans="1:26" ht="15" customHeight="1" ns3:dyDescent="0.25">
      <c r="A45" s="213" t="s">
        <v>1179</v>
      </c>
      <c r="B45" s="25" t="str">
        <f t="shared" si="12"/>
      </c>
      <c r="C45" s="213" t="s">
        <v>102</v>
      </c>
      <c r="D45" s="213" t="s">
        <v>106</v>
      </c>
      <c r="E45" s="213" t="s">
        <v>120</v>
      </c>
      <c r="F45" s="256" t="s">
        <v>1652</v>
      </c>
      <c r="G45" s="213" t="s">
        <v>117</v>
      </c>
      <c r="H45" s="213" t="str">
        <f>IFERROR(VLOOKUP(#REF!45,'정보화기기 명부'!A$2:B$187,2,FALSE),"")</f>
        <v>교장실</v>
      </c>
      <c r="I45" s="126" t="str">
        <f>IFERROR(VLOOKUP(#REF!45,'교직원용 IP'!$C$2:$H$230,6,FALSE),"")</f>
        <v>10.51.90.144</v>
      </c>
      <c r="J45" s="213"/>
      <c r="K45" s="213"/>
      <c r="L45" s="213">
        <v>20220905</v>
      </c>
      <c r="M45" s="257">
        <v>1256750</v>
      </c>
      <c r="N45" s="213" t="s">
        <v>1191</v>
      </c>
      <c r="O45" s="126">
        <v>915</v>
      </c>
      <c r="P45" s="213" t="s">
        <v>1400</v>
      </c>
      <c r="Q45" s="213" t="s">
        <v>1599</v>
      </c>
      <c r="R45" s="213" t="s">
        <v>54</v>
      </c>
      <c r="S45" s="213" t="s">
        <v>1214</v>
      </c>
    </row>
    <row r="46" spans="1:26" s="23" customFormat="1" ht="15" customHeight="1" ns3:dyDescent="0.25">
      <c r="A46" s="126" t="s">
        <v>99</v>
      </c>
      <c r="B46" s="25" t="str">
        <f t="shared" si="12"/>
      </c>
      <c r="C46" s="126" t="s">
        <v>102</v>
      </c>
      <c r="D46" s="126" t="s">
        <v>106</v>
      </c>
      <c r="E46" s="126" t="s">
        <v>120</v>
      </c>
      <c r="F46" s="126" t="s">
        <v>1668</v>
      </c>
      <c r="G46" s="126" t="s">
        <v>41</v>
      </c>
      <c r="H46" s="126" t="str">
        <f>IFERROR(VLOOKUP(#REF!46,'정보화기기 명부'!A$2:B$187,2,FALSE),"")</f>
        <v>1학년부</v>
      </c>
      <c r="I46" s="126" t="str">
        <f>IFERROR(VLOOKUP(#REF!46,'교직원용 IP'!$C$2:$H$230,6,FALSE),"")</f>
        <v>10.51.90.142</v>
      </c>
      <c r="J46" s="126"/>
      <c r="K46" s="126"/>
      <c r="L46" s="126">
        <v>202208</v>
      </c>
      <c r="M46" s="127">
        <v>896800</v>
      </c>
      <c r="N46" s="126" t="s">
        <v>1191</v>
      </c>
      <c r="O46" s="126">
        <v>914</v>
      </c>
      <c r="P46" s="126" t="s">
        <v>1400</v>
      </c>
      <c r="Q46" s="126" t="s">
        <v>1603</v>
      </c>
      <c r="R46" s="126" t="s">
        <v>54</v>
      </c>
      <c r="S46" s="126" t="s">
        <v>1267</v>
      </c>
    </row>
    <row r="47" spans="1:26" s="23" customFormat="1" ht="15" customHeight="1" ns3:dyDescent="0.25">
      <c r="A47" s="217" t="s">
        <v>42</v>
      </c>
      <c r="B47" s="25" t="str">
        <f t="shared" si="12"/>
      </c>
      <c r="C47" s="126" t="s">
        <v>102</v>
      </c>
      <c r="D47" s="126" t="s">
        <v>106</v>
      </c>
      <c r="E47" s="126" t="s">
        <v>120</v>
      </c>
      <c r="F47" s="126" t="s">
        <v>1668</v>
      </c>
      <c r="G47" s="126" t="s">
        <v>41</v>
      </c>
      <c r="H47" s="126" t="str">
        <f>IFERROR(VLOOKUP(#REF!47,'정보화기기 명부'!A$2:B$187,2,FALSE),"")</f>
        <v>인문사회부</v>
      </c>
      <c r="I47" s="126" t="str">
        <f>IFERROR(VLOOKUP(#REF!47,'교직원용 IP'!$C$2:$H$230,6,FALSE),"")</f>
        <v>10.51.90.121</v>
      </c>
      <c r="J47" s="192"/>
      <c r="K47" s="192"/>
      <c r="L47" s="126">
        <v>202208</v>
      </c>
      <c r="M47" s="127">
        <v>896800</v>
      </c>
      <c r="N47" s="126" t="s">
        <v>1191</v>
      </c>
      <c r="O47" s="126">
        <v>913</v>
      </c>
      <c r="P47" s="126" t="s">
        <v>1400</v>
      </c>
      <c r="Q47" s="126" t="s">
        <v>1603</v>
      </c>
      <c r="R47" s="126" t="s">
        <v>54</v>
      </c>
      <c r="S47" s="126" t="s">
        <v>1267</v>
      </c>
    </row>
    <row r="48" spans="1:26" s="23" customFormat="1" ht="15" customHeight="1" ns3:dyDescent="0.25">
      <c r="A48" s="126" t="s">
        <v>1825</v>
      </c>
      <c r="B48" s="25" t="str">
        <f t="shared" si="12"/>
      </c>
      <c r="C48" s="126" t="s">
        <v>102</v>
      </c>
      <c r="D48" s="126" t="s">
        <v>106</v>
      </c>
      <c r="E48" s="126" t="s">
        <v>120</v>
      </c>
      <c r="F48" s="126" t="s">
        <v>1668</v>
      </c>
      <c r="G48" s="126" t="s">
        <v>41</v>
      </c>
      <c r="H48" s="126" t="str">
        <f>IFERROR(VLOOKUP(#REF!48,'정보화기기 명부'!A$2:B$187,2,FALSE),"")</f>
        <v/>
      </c>
      <c r="I48" s="126" t="str">
        <f>IFERROR(VLOOKUP(#REF!48,'교직원용 IP'!$C$2:$H$230,6,FALSE),"")</f>
        <v/>
      </c>
      <c r="J48" s="192"/>
      <c r="K48" s="192"/>
      <c r="L48" s="126">
        <v>202208</v>
      </c>
      <c r="M48" s="127">
        <v>896800</v>
      </c>
      <c r="N48" s="126" t="s">
        <v>1191</v>
      </c>
      <c r="O48" s="126">
        <v>912</v>
      </c>
      <c r="P48" s="126" t="s">
        <v>1400</v>
      </c>
      <c r="Q48" s="126" t="s">
        <v>1603</v>
      </c>
      <c r="R48" s="126" t="s">
        <v>54</v>
      </c>
      <c r="S48" s="126" t="s">
        <v>1267</v>
      </c>
    </row>
    <row r="49" spans="1:22" s="23" customFormat="1" ht="15" customHeight="1" ns3:dyDescent="0.25">
      <c r="A49" s="126" t="s">
        <v>349</v>
      </c>
      <c r="B49" s="25" t="str">
        <f t="shared" si="12"/>
      </c>
      <c r="C49" s="126" t="s">
        <v>102</v>
      </c>
      <c r="D49" s="126" t="s">
        <v>106</v>
      </c>
      <c r="E49" s="126" t="s">
        <v>120</v>
      </c>
      <c r="F49" s="126" t="s">
        <v>1668</v>
      </c>
      <c r="G49" s="126" t="s">
        <v>41</v>
      </c>
      <c r="H49" s="126" t="str">
        <f>IFERROR(VLOOKUP(#REF!49,'정보화기기 명부'!A$2:B$187,2,FALSE),"")</f>
        <v>학생인권안전부</v>
      </c>
      <c r="I49" s="126" t="str">
        <f>IFERROR(VLOOKUP(#REF!49,'교직원용 IP'!$C$2:$H$230,6,FALSE),"")</f>
        <v>10.51.90.136</v>
      </c>
      <c r="J49" s="192"/>
      <c r="K49" s="192"/>
      <c r="L49" s="126">
        <v>202208</v>
      </c>
      <c r="M49" s="127">
        <v>896800</v>
      </c>
      <c r="N49" s="126" t="s">
        <v>1191</v>
      </c>
      <c r="O49" s="126">
        <v>911</v>
      </c>
      <c r="P49" s="126" t="s">
        <v>1400</v>
      </c>
      <c r="Q49" s="126" t="s">
        <v>1603</v>
      </c>
      <c r="R49" s="126" t="s">
        <v>54</v>
      </c>
      <c r="S49" s="126" t="s">
        <v>1267</v>
      </c>
    </row>
    <row r="50" spans="1:22" s="23" customFormat="1" ht="15" customHeight="1" ns3:dyDescent="0.25">
      <c r="A50" s="126" t="s">
        <v>372</v>
      </c>
      <c r="B50" s="25" t="str">
        <f t="shared" si="12"/>
      </c>
      <c r="C50" s="126" t="s">
        <v>102</v>
      </c>
      <c r="D50" s="126" t="s">
        <v>106</v>
      </c>
      <c r="E50" s="126" t="s">
        <v>120</v>
      </c>
      <c r="F50" s="126" t="s">
        <v>1668</v>
      </c>
      <c r="G50" s="126" t="s">
        <v>41</v>
      </c>
      <c r="H50" s="126" t="str">
        <f>IFERROR(VLOOKUP(#REF!50,'정보화기기 명부'!A$2:B$187,2,FALSE),"")</f>
        <v>특수교육부</v>
      </c>
      <c r="I50" s="126" t="str">
        <f>IFERROR(VLOOKUP(#REF!50,'교직원용 IP'!$C$2:$H$230,6,FALSE),"")</f>
        <v>10.51.90.123</v>
      </c>
      <c r="J50" s="192"/>
      <c r="K50" s="192"/>
      <c r="L50" s="126">
        <v>202208</v>
      </c>
      <c r="M50" s="127">
        <v>896800</v>
      </c>
      <c r="N50" s="126" t="s">
        <v>1191</v>
      </c>
      <c r="O50" s="126">
        <v>910</v>
      </c>
      <c r="P50" s="126" t="s">
        <v>1400</v>
      </c>
      <c r="Q50" s="126" t="s">
        <v>1603</v>
      </c>
      <c r="R50" s="126" t="s">
        <v>54</v>
      </c>
      <c r="S50" s="126" t="s">
        <v>1267</v>
      </c>
    </row>
    <row r="51" spans="1:22" s="23" customFormat="1" ht="15" customHeight="1" ns3:dyDescent="0.25">
      <c r="A51" s="126" t="s">
        <v>94</v>
      </c>
      <c r="B51" s="25" t="str">
        <f t="shared" si="12"/>
      </c>
      <c r="C51" s="126" t="s">
        <v>102</v>
      </c>
      <c r="D51" s="126" t="s">
        <v>106</v>
      </c>
      <c r="E51" s="126" t="s">
        <v>120</v>
      </c>
      <c r="F51" s="126" t="s">
        <v>1668</v>
      </c>
      <c r="G51" s="126" t="s">
        <v>41</v>
      </c>
      <c r="H51" s="126" t="str">
        <f>IFERROR(VLOOKUP(#REF!51,'정보화기기 명부'!A$2:B$187,2,FALSE),"")</f>
        <v>수리과학부</v>
      </c>
      <c r="I51" s="126" t="str">
        <f>IFERROR(VLOOKUP(#REF!51,'교직원용 IP'!$C$2:$H$230,6,FALSE),"")</f>
        <v>10.51.90.126</v>
      </c>
      <c r="J51" s="192"/>
      <c r="K51" s="192"/>
      <c r="L51" s="126">
        <v>202208</v>
      </c>
      <c r="M51" s="127">
        <v>896800</v>
      </c>
      <c r="N51" s="126" t="s">
        <v>1191</v>
      </c>
      <c r="O51" s="126">
        <v>909</v>
      </c>
      <c r="P51" s="126" t="s">
        <v>1400</v>
      </c>
      <c r="Q51" s="126" t="s">
        <v>1603</v>
      </c>
      <c r="R51" s="126" t="s">
        <v>54</v>
      </c>
      <c r="S51" s="126" t="s">
        <v>1267</v>
      </c>
    </row>
    <row r="52" spans="1:22" s="23" customFormat="1" ht="15" customHeight="1" ns3:dyDescent="0.25">
      <c r="A52" s="126" t="s">
        <v>58</v>
      </c>
      <c r="B52" s="25" t="str">
        <f t="shared" si="12"/>
      </c>
      <c r="C52" s="126" t="s">
        <v>102</v>
      </c>
      <c r="D52" s="126" t="s">
        <v>106</v>
      </c>
      <c r="E52" s="126" t="s">
        <v>120</v>
      </c>
      <c r="F52" s="126" t="s">
        <v>1668</v>
      </c>
      <c r="G52" s="126" t="s">
        <v>41</v>
      </c>
      <c r="H52" s="126" t="str">
        <f>IFERROR(VLOOKUP(#REF!52,'정보화기기 명부'!A$2:B$187,2,FALSE),"")</f>
        <v>특수교육부</v>
      </c>
      <c r="I52" s="126" t="str">
        <f>IFERROR(VLOOKUP(#REF!52,'교직원용 IP'!$C$2:$H$230,6,FALSE),"")</f>
        <v>10.51.90.124</v>
      </c>
      <c r="J52" s="192"/>
      <c r="K52" s="192"/>
      <c r="L52" s="126">
        <v>202208</v>
      </c>
      <c r="M52" s="127">
        <v>896800</v>
      </c>
      <c r="N52" s="126" t="s">
        <v>1191</v>
      </c>
      <c r="O52" s="126">
        <v>908</v>
      </c>
      <c r="P52" s="126" t="s">
        <v>1400</v>
      </c>
      <c r="Q52" s="126" t="s">
        <v>1603</v>
      </c>
      <c r="R52" s="126" t="s">
        <v>54</v>
      </c>
      <c r="S52" s="126" t="s">
        <v>1267</v>
      </c>
    </row>
    <row r="53" spans="1:22" s="23" customFormat="1" ht="15" customHeight="1" ns3:dyDescent="0.25">
      <c r="A53" s="126" t="s">
        <v>1830</v>
      </c>
      <c r="B53" s="25" t="str">
        <f t="shared" si="12"/>
      </c>
      <c r="C53" s="126" t="s">
        <v>102</v>
      </c>
      <c r="D53" s="126" t="s">
        <v>106</v>
      </c>
      <c r="E53" s="126" t="s">
        <v>120</v>
      </c>
      <c r="F53" s="126" t="s">
        <v>1668</v>
      </c>
      <c r="G53" s="126" t="s">
        <v>41</v>
      </c>
      <c r="H53" s="126" t="str">
        <f>IFERROR(VLOOKUP(#REF!53,'정보화기기 명부'!A$2:B$187,2,FALSE),"")</f>
        <v/>
      </c>
      <c r="I53" s="126" t="str">
        <f>IFERROR(VLOOKUP(#REF!53,'교직원용 IP'!$C$2:$H$230,6,FALSE),"")</f>
        <v/>
      </c>
      <c r="J53" s="192"/>
      <c r="K53" s="192"/>
      <c r="L53" s="126">
        <v>202208</v>
      </c>
      <c r="M53" s="127">
        <v>896800</v>
      </c>
      <c r="N53" s="126" t="s">
        <v>1191</v>
      </c>
      <c r="O53" s="126">
        <v>907</v>
      </c>
      <c r="P53" s="126" t="s">
        <v>1400</v>
      </c>
      <c r="Q53" s="126" t="s">
        <v>1603</v>
      </c>
      <c r="R53" s="126" t="s">
        <v>54</v>
      </c>
      <c r="S53" s="126" t="s">
        <v>1267</v>
      </c>
    </row>
    <row r="54" spans="1:22" s="23" customFormat="1" ht="15" customHeight="1" ns3:dyDescent="0.25">
      <c r="A54" s="126" t="s">
        <v>359</v>
      </c>
      <c r="B54" s="25" t="str">
        <f t="shared" si="12"/>
      </c>
      <c r="C54" s="126" t="s">
        <v>102</v>
      </c>
      <c r="D54" s="126" t="s">
        <v>106</v>
      </c>
      <c r="E54" s="126" t="s">
        <v>120</v>
      </c>
      <c r="F54" s="126" t="s">
        <v>1668</v>
      </c>
      <c r="G54" s="126" t="s">
        <v>41</v>
      </c>
      <c r="H54" s="126" t="str">
        <f>IFERROR(VLOOKUP(#REF!54,'정보화기기 명부'!A$2:B$187,2,FALSE),"")</f>
        <v>교육과정부</v>
      </c>
      <c r="I54" s="126" t="str">
        <f>IFERROR(VLOOKUP(#REF!54,'교직원용 IP'!$C$2:$H$230,6,FALSE),"")</f>
        <v>10.51.90.131</v>
      </c>
      <c r="J54" s="192"/>
      <c r="K54" s="192"/>
      <c r="L54" s="126">
        <v>202208</v>
      </c>
      <c r="M54" s="127">
        <v>896800</v>
      </c>
      <c r="N54" s="126" t="s">
        <v>1191</v>
      </c>
      <c r="O54" s="126">
        <v>906</v>
      </c>
      <c r="P54" s="126" t="s">
        <v>1400</v>
      </c>
      <c r="Q54" s="126" t="s">
        <v>1603</v>
      </c>
      <c r="R54" s="126" t="s">
        <v>54</v>
      </c>
      <c r="S54" s="126" t="s">
        <v>1267</v>
      </c>
    </row>
    <row r="55" spans="1:22" s="23" customFormat="1" ht="17.399999999999999" customHeight="1" ns3:dyDescent="0.25">
      <c r="A55" s="126" t="s">
        <v>1820</v>
      </c>
      <c r="B55" s="25" t="str">
        <f t="shared" si="12"/>
      </c>
      <c r="C55" s="126" t="s">
        <v>102</v>
      </c>
      <c r="D55" s="126" t="s">
        <v>106</v>
      </c>
      <c r="E55" s="126" t="s">
        <v>120</v>
      </c>
      <c r="F55" s="126" t="s">
        <v>1668</v>
      </c>
      <c r="G55" s="126" t="s">
        <v>41</v>
      </c>
      <c r="H55" s="126" t="str">
        <f>IFERROR(VLOOKUP(#REF!55,'정보화기기 명부'!A$2:B$187,2,FALSE),"")</f>
        <v/>
      </c>
      <c r="I55" s="126" t="str">
        <f>IFERROR(VLOOKUP(#REF!55,'교직원용 IP'!$C$2:$H$230,6,FALSE),"")</f>
        <v/>
      </c>
      <c r="J55" s="192"/>
      <c r="K55" s="192"/>
      <c r="L55" s="126">
        <v>202208</v>
      </c>
      <c r="M55" s="127">
        <v>896800</v>
      </c>
      <c r="N55" s="126" t="s">
        <v>1191</v>
      </c>
      <c r="O55" s="126">
        <v>905</v>
      </c>
      <c r="P55" s="126" t="s">
        <v>1400</v>
      </c>
      <c r="Q55" s="126" t="s">
        <v>1603</v>
      </c>
      <c r="R55" s="126" t="s">
        <v>54</v>
      </c>
      <c r="S55" s="126" t="s">
        <v>1267</v>
      </c>
    </row>
    <row r="56" spans="1:22" s="23" customFormat="1" ht="15" customHeight="1" ns3:dyDescent="0.25">
      <c r="A56" s="25" t="s">
        <v>327</v>
      </c>
      <c r="B56" s="25" t="str">
        <f t="shared" si="12"/>
      </c>
      <c r="C56" s="126" t="s">
        <v>102</v>
      </c>
      <c r="D56" s="126" t="s">
        <v>106</v>
      </c>
      <c r="E56" s="126" t="s">
        <v>120</v>
      </c>
      <c r="F56" s="126" t="s">
        <v>1665</v>
      </c>
      <c r="G56" s="126" t="s">
        <v>117</v>
      </c>
      <c r="H56" s="126" t="str">
        <f>IFERROR(VLOOKUP(#REF!56,'정보화기기 명부'!A$2:B$187,2,FALSE),"")</f>
        <v>3학년부</v>
      </c>
      <c r="I56" s="126" t="str">
        <f>IFERROR(VLOOKUP(#REF!56,'교직원용 IP'!$C$2:$H$230,6,FALSE),"")</f>
        <v>10.51.90.133</v>
      </c>
      <c r="J56" s="25"/>
      <c r="K56" s="25"/>
      <c r="L56" s="131">
        <v>202203</v>
      </c>
      <c r="M56" s="127">
        <v>1160000</v>
      </c>
      <c r="N56" s="126" t="s">
        <v>1191</v>
      </c>
      <c r="O56" s="126">
        <v>904</v>
      </c>
      <c r="P56" s="213" t="s">
        <v>1401</v>
      </c>
      <c r="Q56" s="213" t="s">
        <v>1821</v>
      </c>
      <c r="R56" s="213" t="s">
        <v>54</v>
      </c>
      <c r="S56" s="213" t="s">
        <v>1214</v>
      </c>
    </row>
    <row r="57" spans="1:22" s="23" customFormat="1" ht="20.399999999999999" customHeight="1" ns3:dyDescent="0.25">
      <c r="A57" s="25" t="s">
        <v>1826</v>
      </c>
      <c r="B57" s="25" t="str">
        <f t="shared" si="12"/>
      </c>
      <c r="C57" s="126" t="s">
        <v>102</v>
      </c>
      <c r="D57" s="126" t="s">
        <v>106</v>
      </c>
      <c r="E57" s="126" t="s">
        <v>120</v>
      </c>
      <c r="F57" s="126" t="s">
        <v>1665</v>
      </c>
      <c r="G57" s="126" t="s">
        <v>117</v>
      </c>
      <c r="H57" s="126" t="str">
        <f>IFERROR(VLOOKUP(#REF!57,'정보화기기 명부'!A$2:B$187,2,FALSE),"")</f>
        <v/>
      </c>
      <c r="I57" s="126" t="str">
        <f>IFERROR(VLOOKUP(#REF!57,'교직원용 IP'!$C$2:$H$230,6,FALSE),"")</f>
        <v/>
      </c>
      <c r="J57" s="25"/>
      <c r="K57" s="25"/>
      <c r="L57" s="131">
        <v>202203</v>
      </c>
      <c r="M57" s="127">
        <v>1160000</v>
      </c>
      <c r="N57" s="126" t="s">
        <v>1191</v>
      </c>
      <c r="O57" s="126">
        <v>903</v>
      </c>
      <c r="P57" s="213" t="s">
        <v>1401</v>
      </c>
      <c r="Q57" s="213" t="s">
        <v>1821</v>
      </c>
      <c r="R57" s="213" t="s">
        <v>54</v>
      </c>
      <c r="S57" s="213" t="s">
        <v>1214</v>
      </c>
    </row>
    <row r="58" spans="1:22" s="23" customFormat="1" ht="16.75" hidden="1" customHeight="1" ns3:dyDescent="0.25">
      <c r="A58" s="218"/>
      <c r="B58" s="25">
        <f>LEFT(L58,6)&amp;"-"&amp;TEXT(O58,"0000")</f>
      </c>
      <c r="C58" s="126"/>
      <c r="D58" s="126"/>
      <c r="E58" s="126"/>
      <c r="F58" s="126"/>
      <c r="G58" s="126"/>
      <c r="H58" s="126"/>
      <c r="I58" s="126"/>
      <c r="J58" s="162"/>
      <c r="K58" s="162"/>
      <c r="L58" s="131"/>
      <c r="M58" s="127"/>
      <c r="N58" s="126"/>
      <c r="O58" s="126"/>
      <c r="P58" s="126"/>
      <c r="Q58" s="126"/>
      <c r="R58" s="126"/>
      <c r="S58" s="126"/>
    </row>
    <row r="59" spans="1:22" s="23" customFormat="1" ht="11.4" hidden="1" customHeight="1" ns3:dyDescent="0.25">
      <c r="A59" s="218" t="s">
        <v>344</v>
      </c>
      <c r="B59" s="25">
        <f>LEFT(L59,6)&amp;"-"&amp;TEXT(O59,"0000")</f>
      </c>
      <c r="C59" s="126"/>
      <c r="D59" s="126"/>
      <c r="E59" s="126"/>
      <c r="F59" s="126" t="s">
        <v>572</v>
      </c>
      <c r="G59" s="126" t="s">
        <v>41</v>
      </c>
      <c r="H59" s="126" t="s">
        <v>344</v>
      </c>
      <c r="I59" s="126"/>
      <c r="J59" s="162"/>
      <c r="K59" s="162"/>
      <c r="L59" s="131">
        <v>20231227</v>
      </c>
      <c r="M59" s="127">
        <v>1036660</v>
      </c>
      <c r="N59" s="126" t="s">
        <v>1191</v>
      </c>
      <c r="O59" s="126"/>
      <c r="P59" s="126"/>
      <c r="Q59" s="126"/>
      <c r="R59" s="126"/>
      <c r="S59" s="126"/>
    </row>
    <row r="60" spans="1:22" s="23" customFormat="1" ht="7.75" hidden="1" customHeight="1" ns3:dyDescent="0.25">
      <c r="A60" s="218"/>
      <c r="B60" s="25">
        <f>LEFT(L60,6)&amp;"-"&amp;TEXT(O60,"0000")</f>
      </c>
      <c r="C60" s="126"/>
      <c r="D60" s="126"/>
      <c r="E60" s="126"/>
      <c r="F60" s="126"/>
      <c r="G60" s="126"/>
      <c r="H60" s="126"/>
      <c r="I60" s="126"/>
      <c r="J60" s="162"/>
      <c r="K60" s="162"/>
      <c r="L60" s="131"/>
      <c r="M60" s="127"/>
      <c r="N60" s="126"/>
      <c r="O60" s="126"/>
      <c r="P60" s="126"/>
      <c r="Q60" s="126"/>
      <c r="R60" s="126"/>
      <c r="S60" s="126"/>
    </row>
    <row r="61" spans="1:22" s="23" customFormat="1" ht="10.75" hidden="1" customHeight="1" ns3:dyDescent="0.25">
      <c r="A61" s="25" t="s">
        <v>66</v>
      </c>
      <c r="B61" s="25" t="str">
        <f t="shared" si="12"/>
      </c>
      <c r="C61" s="126" t="s">
        <v>1147</v>
      </c>
      <c r="D61" s="126" t="s">
        <v>106</v>
      </c>
      <c r="E61" s="126" t="s">
        <v>40</v>
      </c>
      <c r="F61" s="126" t="s">
        <v>1386</v>
      </c>
      <c r="G61" s="126" t="s">
        <v>15</v>
      </c>
      <c r="H61" s="126" t="s">
        <v>1096</v>
      </c>
      <c r="I61" s="126" t="str">
        <f>IFERROR(VLOOKUP(#REF!61,'교직원용 IP'!$C$2:$H$230,6,FALSE),"")</f>
        <v>10.51.90.87</v>
      </c>
      <c r="J61" s="162"/>
      <c r="K61" s="162"/>
      <c r="L61" s="131">
        <v>202412</v>
      </c>
      <c r="M61" s="127">
        <v>893000</v>
      </c>
      <c r="N61" s="126" t="s">
        <v>1191</v>
      </c>
      <c r="O61" s="126">
        <v>907</v>
      </c>
      <c r="P61" s="126" t="s">
        <v>1400</v>
      </c>
      <c r="Q61" s="126"/>
      <c r="R61" s="126"/>
      <c r="S61" s="126"/>
    </row>
    <row r="62" spans="1:22" s="23" customFormat="1" ht="13.25" hidden="1" customHeight="1" ns3:dyDescent="0.25">
      <c r="A62" s="25" t="s">
        <v>82</v>
      </c>
      <c r="B62" s="25" t="str">
        <f t="shared" si="12"/>
      </c>
      <c r="C62" s="126" t="s">
        <v>1147</v>
      </c>
      <c r="D62" s="126" t="s">
        <v>106</v>
      </c>
      <c r="E62" s="126" t="s">
        <v>40</v>
      </c>
      <c r="F62" s="126" t="s">
        <v>1386</v>
      </c>
      <c r="G62" s="126" t="s">
        <v>15</v>
      </c>
      <c r="H62" s="126" t="s">
        <v>1096</v>
      </c>
      <c r="I62" s="126" t="str">
        <f>IFERROR(VLOOKUP(#REF!62,'교직원용 IP'!$C$2:$H$230,6,FALSE),"")</f>
        <v>10.51.90.86</v>
      </c>
      <c r="J62" s="162"/>
      <c r="K62" s="162"/>
      <c r="L62" s="131">
        <v>202412</v>
      </c>
      <c r="M62" s="127">
        <v>893000</v>
      </c>
      <c r="N62" s="126" t="s">
        <v>1191</v>
      </c>
      <c r="O62" s="126">
        <v>906</v>
      </c>
      <c r="P62" s="126" t="s">
        <v>1400</v>
      </c>
      <c r="Q62" s="126"/>
      <c r="R62" s="126"/>
      <c r="S62" s="126"/>
    </row>
    <row r="63" spans="1:22" s="23" customFormat="1" ht="9" hidden="1" customHeight="1" ns3:dyDescent="0.25">
      <c r="A63" s="25" t="s">
        <v>33</v>
      </c>
      <c r="B63" s="25" t="str">
        <f t="shared" si="12"/>
      </c>
      <c r="C63" s="126" t="s">
        <v>1147</v>
      </c>
      <c r="D63" s="126" t="s">
        <v>106</v>
      </c>
      <c r="E63" s="126" t="s">
        <v>40</v>
      </c>
      <c r="F63" s="126" t="s">
        <v>1384</v>
      </c>
      <c r="G63" s="126" t="s">
        <v>15</v>
      </c>
      <c r="H63" s="126" t="s">
        <v>1096</v>
      </c>
      <c r="I63" s="126" t="str">
        <f>IFERROR(VLOOKUP(#REF!63,'교직원용 IP'!$C$2:$H$230,6,FALSE),"")</f>
        <v>10.51.90.71</v>
      </c>
      <c r="J63" s="162"/>
      <c r="K63" s="162"/>
      <c r="L63" s="131">
        <v>202412</v>
      </c>
      <c r="M63" s="127">
        <v>880730</v>
      </c>
      <c r="N63" s="126" t="s">
        <v>1191</v>
      </c>
      <c r="O63" s="126">
        <v>905</v>
      </c>
      <c r="P63" s="126" t="s">
        <v>1400</v>
      </c>
      <c r="Q63" s="126"/>
      <c r="R63" s="126"/>
      <c r="S63" s="126"/>
    </row>
    <row r="64" spans="1:22" s="23" customFormat="1" ht="8.4" hidden="1" customHeight="1" ns3:dyDescent="0.25">
      <c r="A64" s="25" t="s">
        <v>387</v>
      </c>
      <c r="B64" s="25" t="str">
        <f t="shared" si="12"/>
      </c>
      <c r="C64" s="126" t="s">
        <v>1147</v>
      </c>
      <c r="D64" s="126" t="s">
        <v>106</v>
      </c>
      <c r="E64" s="126" t="s">
        <v>40</v>
      </c>
      <c r="F64" s="126" t="s">
        <v>1806</v>
      </c>
      <c r="G64" s="126" t="s">
        <v>41</v>
      </c>
      <c r="H64" s="126" t="s">
        <v>1096</v>
      </c>
      <c r="I64" s="126" t="str">
        <f>IFERROR(VLOOKUP(#REF!64,'교직원용 IP'!$C$2:$H$230,6,FALSE),"")</f>
        <v>10.51.90.74</v>
      </c>
      <c r="J64" s="162"/>
      <c r="K64" s="162"/>
      <c r="L64" s="131">
        <v>20231219</v>
      </c>
      <c r="M64" s="127">
        <v>1036660</v>
      </c>
      <c r="N64" s="126" t="s">
        <v>1191</v>
      </c>
      <c r="O64" s="126">
        <v>904</v>
      </c>
      <c r="P64" s="126"/>
      <c r="Q64" s="126"/>
      <c r="R64" s="126"/>
      <c r="S64" s="126"/>
    </row>
    <row r="65" spans="1:22" s="23" customFormat="1" ht="12.65" hidden="1" customHeight="1" ns3:dyDescent="0.25">
      <c r="A65" s="25" t="s">
        <v>394</v>
      </c>
      <c r="B65" s="25" t="str">
        <f t="shared" si="12"/>
      </c>
      <c r="C65" s="126" t="s">
        <v>1147</v>
      </c>
      <c r="D65" s="126" t="s">
        <v>106</v>
      </c>
      <c r="E65" s="126" t="s">
        <v>40</v>
      </c>
      <c r="F65" s="126" t="s">
        <v>565</v>
      </c>
      <c r="G65" s="126" t="s">
        <v>41</v>
      </c>
      <c r="H65" s="126" t="s">
        <v>1136</v>
      </c>
      <c r="I65" s="126" t="str">
        <f>IFERROR(VLOOKUP(#REF!65,'교직원용 IP'!$C$2:$H$230,6,FALSE),"")</f>
        <v>10.51.90.72</v>
      </c>
      <c r="J65" s="162"/>
      <c r="K65" s="162"/>
      <c r="L65" s="131">
        <v>20230721</v>
      </c>
      <c r="M65" s="127">
        <v>1028520</v>
      </c>
      <c r="N65" s="126" t="s">
        <v>1191</v>
      </c>
      <c r="O65" s="126">
        <v>903</v>
      </c>
      <c r="P65" s="126"/>
      <c r="Q65" s="126"/>
      <c r="R65" s="126"/>
      <c r="S65" s="126"/>
    </row>
    <row r="66" spans="1:22" s="23" customFormat="1" ht="16.25" hidden="1" customHeight="1" ns3:dyDescent="0.25">
      <c r="A66" s="25" t="s">
        <v>47</v>
      </c>
      <c r="B66" s="25" t="str">
        <f t="shared" si="12"/>
      </c>
      <c r="C66" s="126" t="s">
        <v>1147</v>
      </c>
      <c r="D66" s="126" t="s">
        <v>106</v>
      </c>
      <c r="E66" s="126" t="s">
        <v>40</v>
      </c>
      <c r="F66" s="126" t="s">
        <v>1644</v>
      </c>
      <c r="G66" s="126" t="s">
        <v>41</v>
      </c>
      <c r="H66" s="126" t="str">
        <f>IFERROR(VLOOKUP(#REF!66,'정보화기기 명부'!A$2:B$187,2,FALSE),"")</f>
        <v/>
      </c>
      <c r="I66" s="126" t="str">
        <f>IFERROR(VLOOKUP(#REF!66,'교직원용 IP'!$C$2:$H$230,6,FALSE),"")</f>
        <v/>
      </c>
      <c r="J66" s="162"/>
      <c r="K66" s="162"/>
      <c r="L66" s="131">
        <v>20220117</v>
      </c>
      <c r="M66" s="127">
        <v>587000</v>
      </c>
      <c r="N66" s="126" t="s">
        <v>1191</v>
      </c>
      <c r="O66" s="126">
        <v>902</v>
      </c>
      <c r="P66" s="126" t="s">
        <v>1401</v>
      </c>
      <c r="Q66" s="126"/>
      <c r="R66" s="126"/>
      <c r="S66" s="126"/>
    </row>
    <row r="67" spans="1:22" s="23" customFormat="1" ht="9" hidden="1" customHeight="1" ns3:dyDescent="0.25">
      <c r="A67" s="25" t="s">
        <v>358</v>
      </c>
      <c r="B67" s="25" t="str">
        <f t="shared" si="12"/>
      </c>
      <c r="C67" s="126" t="s">
        <v>1147</v>
      </c>
      <c r="D67" s="126" t="s">
        <v>106</v>
      </c>
      <c r="E67" s="126" t="s">
        <v>40</v>
      </c>
      <c r="F67" s="126" t="s">
        <v>1644</v>
      </c>
      <c r="G67" s="126" t="s">
        <v>41</v>
      </c>
      <c r="H67" s="126" t="str">
        <f>IFERROR(VLOOKUP(#REF!67,'정보화기기 명부'!A$2:B$187,2,FALSE),"")</f>
        <v>교육행정실</v>
      </c>
      <c r="I67" s="126" t="str">
        <f>IFERROR(VLOOKUP(#REF!67,'교직원용 IP'!$C$2:$H$230,6,FALSE),"")</f>
        <v>10.51.90.75</v>
      </c>
      <c r="J67" s="162"/>
      <c r="K67" s="162"/>
      <c r="L67" s="131">
        <v>20220117</v>
      </c>
      <c r="M67" s="127">
        <v>587000</v>
      </c>
      <c r="N67" s="126" t="s">
        <v>1191</v>
      </c>
      <c r="O67" s="126">
        <v>901</v>
      </c>
      <c r="P67" s="126" t="s">
        <v>1401</v>
      </c>
      <c r="Q67" s="126"/>
      <c r="R67" s="126"/>
      <c r="S67" s="126"/>
    </row>
    <row r="68" spans="1:22" s="23" customFormat="1" ht="7.25" hidden="1" customHeight="1" ns3:dyDescent="0.25">
      <c r="A68" s="25" t="s">
        <v>1403</v>
      </c>
      <c r="B68" s="25" t="str">
        <f t="shared" si="12"/>
      </c>
      <c r="C68" s="126" t="s">
        <v>1147</v>
      </c>
      <c r="D68" s="126" t="s">
        <v>106</v>
      </c>
      <c r="E68" s="126" t="s">
        <v>55</v>
      </c>
      <c r="F68" s="126" t="s">
        <v>1644</v>
      </c>
      <c r="G68" s="126" t="s">
        <v>41</v>
      </c>
      <c r="H68" s="126" t="str">
        <f>IFERROR(VLOOKUP(#REF!68,'정보화기기 명부'!A$2:B$187,2,FALSE),"")</f>
        <v>정보과학실</v>
      </c>
      <c r="I68" s="193" t="str">
        <f>IFERROR(VLOOKUP(#REF!68,'학생용 IP'!$C$11:$H$326,5,FALSE),"")</f>
        <v>10.54.36.22</v>
      </c>
      <c r="J68" s="162"/>
      <c r="K68" s="162"/>
      <c r="L68" s="131">
        <v>20220117</v>
      </c>
      <c r="M68" s="127">
        <v>587000</v>
      </c>
      <c r="N68" s="126" t="s">
        <v>1191</v>
      </c>
      <c r="O68" s="126">
        <v>900</v>
      </c>
      <c r="P68" s="126" t="s">
        <v>1401</v>
      </c>
      <c r="Q68" s="126"/>
      <c r="R68" s="126"/>
      <c r="S68" s="126"/>
    </row>
    <row r="69" spans="1:22" s="23" customFormat="1" ht="8.4" hidden="1" customHeight="1" ns3:dyDescent="0.25">
      <c r="A69" s="25" t="s">
        <v>1399</v>
      </c>
      <c r="B69" s="25" t="str">
        <f t="shared" si="12"/>
      </c>
      <c r="C69" s="126" t="s">
        <v>1147</v>
      </c>
      <c r="D69" s="126" t="s">
        <v>106</v>
      </c>
      <c r="E69" s="126" t="s">
        <v>55</v>
      </c>
      <c r="F69" s="126" t="s">
        <v>1644</v>
      </c>
      <c r="G69" s="126" t="s">
        <v>41</v>
      </c>
      <c r="H69" s="126" t="str">
        <f>IFERROR(VLOOKUP(#REF!69,'정보화기기 명부'!A$2:B$187,2,FALSE),"")</f>
        <v>정보과학실</v>
      </c>
      <c r="I69" s="193" t="str">
        <f>IFERROR(VLOOKUP(#REF!69,'학생용 IP'!$C$11:$H$326,5,FALSE),"")</f>
        <v>10.54.36.21</v>
      </c>
      <c r="J69" s="162"/>
      <c r="K69" s="162"/>
      <c r="L69" s="131">
        <v>20220117</v>
      </c>
      <c r="M69" s="127">
        <v>587000</v>
      </c>
      <c r="N69" s="126" t="s">
        <v>1191</v>
      </c>
      <c r="O69" s="126">
        <v>899</v>
      </c>
      <c r="P69" s="126" t="s">
        <v>1401</v>
      </c>
      <c r="Q69" s="126"/>
      <c r="R69" s="126"/>
      <c r="S69" s="126"/>
    </row>
    <row r="70" spans="1:22" s="23" customFormat="1" ht="9.65" hidden="1" customHeight="1" ns3:dyDescent="0.25">
      <c r="A70" s="25" t="s">
        <v>1397</v>
      </c>
      <c r="B70" s="25" t="str">
        <f t="shared" si="12"/>
      </c>
      <c r="C70" s="126" t="s">
        <v>1147</v>
      </c>
      <c r="D70" s="126" t="s">
        <v>106</v>
      </c>
      <c r="E70" s="126" t="s">
        <v>55</v>
      </c>
      <c r="F70" s="126" t="s">
        <v>1644</v>
      </c>
      <c r="G70" s="126" t="s">
        <v>41</v>
      </c>
      <c r="H70" s="126" t="str">
        <f>IFERROR(VLOOKUP(#REF!70,'정보화기기 명부'!A$2:B$187,2,FALSE),"")</f>
        <v>정보과학실</v>
      </c>
      <c r="I70" s="193" t="str">
        <f>IFERROR(VLOOKUP(#REF!70,'학생용 IP'!$C$11:$H$326,5,FALSE),"")</f>
        <v>10.54.36.20</v>
      </c>
      <c r="J70" s="162"/>
      <c r="K70" s="162"/>
      <c r="L70" s="131">
        <v>20220117</v>
      </c>
      <c r="M70" s="127">
        <v>587000</v>
      </c>
      <c r="N70" s="126" t="s">
        <v>1191</v>
      </c>
      <c r="O70" s="126">
        <v>898</v>
      </c>
      <c r="P70" s="126" t="s">
        <v>1401</v>
      </c>
      <c r="Q70" s="126"/>
      <c r="R70" s="126"/>
      <c r="S70" s="126"/>
    </row>
    <row r="71" spans="1:22" s="23" customFormat="1" ht="5.4" hidden="1" customHeight="1" ns3:dyDescent="0.25">
      <c r="A71" s="25" t="s">
        <v>1398</v>
      </c>
      <c r="B71" s="25" t="str">
        <f t="shared" si="12"/>
      </c>
      <c r="C71" s="126" t="s">
        <v>1147</v>
      </c>
      <c r="D71" s="126" t="s">
        <v>106</v>
      </c>
      <c r="E71" s="126" t="s">
        <v>55</v>
      </c>
      <c r="F71" s="126" t="s">
        <v>1644</v>
      </c>
      <c r="G71" s="126" t="s">
        <v>41</v>
      </c>
      <c r="H71" s="126" t="str">
        <f>IFERROR(VLOOKUP(#REF!71,'정보화기기 명부'!A$2:B$187,2,FALSE),"")</f>
        <v>정보과학실</v>
      </c>
      <c r="I71" s="193" t="str">
        <f>IFERROR(VLOOKUP(#REF!71,'학생용 IP'!$C$11:$H$326,5,FALSE),"")</f>
        <v>10.54.36.19</v>
      </c>
      <c r="J71" s="162"/>
      <c r="K71" s="162"/>
      <c r="L71" s="131">
        <v>20220117</v>
      </c>
      <c r="M71" s="127">
        <v>587000</v>
      </c>
      <c r="N71" s="126" t="s">
        <v>1191</v>
      </c>
      <c r="O71" s="126">
        <v>897</v>
      </c>
      <c r="P71" s="126" t="s">
        <v>1401</v>
      </c>
      <c r="Q71" s="126"/>
      <c r="R71" s="126"/>
      <c r="S71" s="126"/>
    </row>
    <row r="72" spans="1:22" s="23" customFormat="1" ht="9.65" hidden="1" customHeight="1" ns3:dyDescent="0.25">
      <c r="A72" s="25" t="s">
        <v>1418</v>
      </c>
      <c r="B72" s="25" t="str">
        <f t="shared" si="12"/>
      </c>
      <c r="C72" s="126" t="s">
        <v>1147</v>
      </c>
      <c r="D72" s="126" t="s">
        <v>106</v>
      </c>
      <c r="E72" s="126" t="s">
        <v>55</v>
      </c>
      <c r="F72" s="126" t="s">
        <v>1644</v>
      </c>
      <c r="G72" s="126" t="s">
        <v>41</v>
      </c>
      <c r="H72" s="126" t="str">
        <f>IFERROR(VLOOKUP(#REF!72,'정보화기기 명부'!A$2:B$187,2,FALSE),"")</f>
        <v>정보과학실</v>
      </c>
      <c r="I72" s="193" t="str">
        <f>IFERROR(VLOOKUP(#REF!72,'학생용 IP'!$C$11:$H$326,5,FALSE),"")</f>
        <v>10.54.36.18</v>
      </c>
      <c r="J72" s="162"/>
      <c r="K72" s="162"/>
      <c r="L72" s="131">
        <v>20220117</v>
      </c>
      <c r="M72" s="127">
        <v>587000</v>
      </c>
      <c r="N72" s="126" t="s">
        <v>1191</v>
      </c>
      <c r="O72" s="126">
        <v>896</v>
      </c>
      <c r="P72" s="126" t="s">
        <v>1401</v>
      </c>
      <c r="Q72" s="126"/>
      <c r="R72" s="126"/>
      <c r="S72" s="126"/>
    </row>
    <row r="73" spans="1:22" s="23" customFormat="1" ht="15" customHeight="1" ns3:dyDescent="0.25">
      <c r="A73" s="315" t="s">
        <v>416</v>
      </c>
      <c r="B73" s="315" t="str">
        <f t="shared" si="12"/>
      </c>
      <c r="C73" s="268" t="s">
        <v>102</v>
      </c>
      <c r="D73" s="268" t="s">
        <v>106</v>
      </c>
      <c r="E73" s="268" t="s">
        <v>120</v>
      </c>
      <c r="F73" s="268" t="s">
        <v>1652</v>
      </c>
      <c r="G73" s="268" t="s">
        <v>117</v>
      </c>
      <c r="H73" s="268" t="str">
        <f>IFERROR(VLOOKUP(#REF!73,'정보화기기 명부'!A$2:B$187,2,FALSE),"")</f>
        <v/>
      </c>
      <c r="I73" s="268" t="str">
        <f>IFERROR(VLOOKUP(#REF!73,'교직원용 IP'!$C$2:$H$230,6,FALSE),"")</f>
        <v>10.51.90.198</v>
      </c>
      <c r="J73" s="268"/>
      <c r="K73" s="268"/>
      <c r="L73" s="315">
        <v>20210823</v>
      </c>
      <c r="M73" s="316">
        <v>855000</v>
      </c>
      <c r="N73" s="268" t="s">
        <v>1191</v>
      </c>
      <c r="O73" s="126">
        <v>894</v>
      </c>
      <c r="P73" s="126" t="s">
        <v>1401</v>
      </c>
      <c r="Q73" s="126"/>
      <c r="R73" s="126" t="s">
        <v>54</v>
      </c>
      <c r="S73" s="126" t="s">
        <v>1197</v>
      </c>
    </row>
    <row r="74" spans="1:22" s="23" customFormat="1" ht="15" customHeight="1" ns3:dyDescent="0.25">
      <c r="A74" s="219" t="s">
        <v>1786</v>
      </c>
      <c r="B74" s="219" t="str">
        <f t="shared" si="12"/>
      </c>
      <c r="C74" s="220" t="s">
        <v>102</v>
      </c>
      <c r="D74" s="220" t="s">
        <v>106</v>
      </c>
      <c r="E74" s="220" t="s">
        <v>120</v>
      </c>
      <c r="F74" s="220" t="s">
        <v>1652</v>
      </c>
      <c r="G74" s="220" t="s">
        <v>117</v>
      </c>
      <c r="H74" s="220" t="str">
        <f>IFERROR(VLOOKUP(#REF!74,'정보화기기 명부'!A$2:B$187,2,FALSE),"")</f>
        <v/>
      </c>
      <c r="I74" s="220" t="str">
        <f>IFERROR(VLOOKUP(#REF!74,'교직원용 IP'!$C$2:$H$230,6,FALSE),"")</f>
        <v/>
      </c>
      <c r="J74" s="220"/>
      <c r="K74" s="220"/>
      <c r="L74" s="219">
        <v>20210823</v>
      </c>
      <c r="M74" s="286">
        <v>855000</v>
      </c>
      <c r="N74" s="220" t="s">
        <v>1191</v>
      </c>
      <c r="O74" s="126">
        <v>893</v>
      </c>
      <c r="P74" s="126" t="s">
        <v>1401</v>
      </c>
      <c r="Q74" s="126"/>
      <c r="R74" s="126" t="s">
        <v>54</v>
      </c>
      <c r="S74" s="126" t="s">
        <v>1197</v>
      </c>
    </row>
    <row r="75" spans="1:22" s="23" customFormat="1" ht="15" customHeight="1" ns3:dyDescent="0.25">
      <c r="A75" s="219" t="s">
        <v>1790</v>
      </c>
      <c r="B75" s="219" t="str">
        <f t="shared" si="12"/>
      </c>
      <c r="C75" s="220" t="s">
        <v>102</v>
      </c>
      <c r="D75" s="220" t="s">
        <v>106</v>
      </c>
      <c r="E75" s="220" t="s">
        <v>120</v>
      </c>
      <c r="F75" s="220" t="s">
        <v>1652</v>
      </c>
      <c r="G75" s="220" t="s">
        <v>117</v>
      </c>
      <c r="H75" s="220" t="str">
        <f>IFERROR(VLOOKUP(#REF!75,'정보화기기 명부'!A$2:B$187,2,FALSE),"")</f>
        <v/>
      </c>
      <c r="I75" s="220" t="str">
        <f>IFERROR(VLOOKUP(#REF!75,'교직원용 IP'!$C$2:$H$230,6,FALSE),"")</f>
        <v/>
      </c>
      <c r="J75" s="292"/>
      <c r="K75" s="220"/>
      <c r="L75" s="219">
        <v>20210823</v>
      </c>
      <c r="M75" s="286">
        <v>855000</v>
      </c>
      <c r="N75" s="220" t="s">
        <v>1191</v>
      </c>
      <c r="O75" s="126">
        <v>892</v>
      </c>
      <c r="P75" s="126" t="s">
        <v>1401</v>
      </c>
      <c r="Q75" s="126"/>
      <c r="R75" s="126" t="s">
        <v>54</v>
      </c>
      <c r="S75" s="126" t="s">
        <v>1197</v>
      </c>
    </row>
    <row r="76" spans="1:22" s="23" customFormat="1" ht="15" customHeight="1" ns3:dyDescent="0.25">
      <c r="A76" s="219" t="s">
        <v>1791</v>
      </c>
      <c r="B76" s="219" t="str">
        <f t="shared" si="12"/>
      </c>
      <c r="C76" s="220" t="s">
        <v>102</v>
      </c>
      <c r="D76" s="220" t="s">
        <v>106</v>
      </c>
      <c r="E76" s="220" t="s">
        <v>120</v>
      </c>
      <c r="F76" s="220" t="s">
        <v>1652</v>
      </c>
      <c r="G76" s="220" t="s">
        <v>117</v>
      </c>
      <c r="H76" s="220" t="str">
        <f>IFERROR(VLOOKUP(#REF!76,'정보화기기 명부'!A$2:B$187,2,FALSE),"")</f>
        <v/>
      </c>
      <c r="I76" s="220" t="str">
        <f>IFERROR(VLOOKUP(#REF!76,'교직원용 IP'!$C$2:$H$230,6,FALSE),"")</f>
        <v/>
      </c>
      <c r="J76" s="220"/>
      <c r="K76" s="220"/>
      <c r="L76" s="219">
        <v>20210823</v>
      </c>
      <c r="M76" s="286">
        <v>855000</v>
      </c>
      <c r="N76" s="220" t="s">
        <v>1191</v>
      </c>
      <c r="O76" s="126">
        <v>891</v>
      </c>
      <c r="P76" s="126" t="s">
        <v>1401</v>
      </c>
      <c r="Q76" s="126"/>
      <c r="R76" s="126" t="s">
        <v>54</v>
      </c>
      <c r="S76" s="126" t="s">
        <v>1197</v>
      </c>
    </row>
    <row r="77" spans="1:22" s="23" customFormat="1" ht="15" customHeight="1" ns3:dyDescent="0.25">
      <c r="A77" s="89" t="s">
        <v>873</v>
      </c>
      <c r="B77" s="89" t="str">
        <f t="shared" si="12"/>
      </c>
      <c r="C77" s="126" t="s">
        <v>102</v>
      </c>
      <c r="D77" s="126" t="s">
        <v>106</v>
      </c>
      <c r="E77" s="126" t="s">
        <v>120</v>
      </c>
      <c r="F77" s="126" t="s">
        <v>1652</v>
      </c>
      <c r="G77" s="126" t="s">
        <v>117</v>
      </c>
      <c r="H77" s="126" t="str">
        <f>IFERROR(VLOOKUP(#REF!77,'정보화기기 명부'!A$2:B$187,2,FALSE),"")</f>
        <v/>
      </c>
      <c r="I77" s="126" t="str">
        <f>IFERROR(VLOOKUP(#REF!77,'교직원용 IP'!$C$2:$H$230,6,FALSE),"")</f>
        <v/>
      </c>
      <c r="J77" s="126"/>
      <c r="K77" s="126"/>
      <c r="L77" s="135">
        <v>20210823</v>
      </c>
      <c r="M77" s="127">
        <v>855000</v>
      </c>
      <c r="N77" s="126" t="s">
        <v>1191</v>
      </c>
      <c r="O77" s="126">
        <v>890</v>
      </c>
      <c r="P77" s="126" t="s">
        <v>1401</v>
      </c>
      <c r="Q77" s="126"/>
      <c r="R77" s="126" t="s">
        <v>54</v>
      </c>
      <c r="S77" s="126" t="s">
        <v>1197</v>
      </c>
    </row>
    <row r="78" spans="1:22" s="284" customFormat="1" ht="15" customHeight="1" ns3:dyDescent="0.25">
      <c r="A78" s="219" t="s">
        <v>1795</v>
      </c>
      <c r="B78" s="219" t="str">
        <f t="shared" si="12"/>
      </c>
      <c r="C78" s="220" t="s">
        <v>102</v>
      </c>
      <c r="D78" s="220" t="s">
        <v>106</v>
      </c>
      <c r="E78" s="220" t="s">
        <v>120</v>
      </c>
      <c r="F78" s="220" t="s">
        <v>1652</v>
      </c>
      <c r="G78" s="220" t="s">
        <v>117</v>
      </c>
      <c r="H78" s="220" t="str">
        <f>IFERROR(VLOOKUP(#REF!78,'정보화기기 명부'!A$2:B$187,2,FALSE),"")</f>
        <v/>
      </c>
      <c r="I78" s="220" t="str">
        <f>IFERROR(VLOOKUP(#REF!78,'교직원용 IP'!$C$2:$H$230,6,FALSE),"")</f>
        <v/>
      </c>
      <c r="J78" s="220"/>
      <c r="K78" s="220"/>
      <c r="L78" s="219">
        <v>20210823</v>
      </c>
      <c r="M78" s="286">
        <v>855000</v>
      </c>
      <c r="N78" s="220" t="s">
        <v>1191</v>
      </c>
      <c r="O78" s="267">
        <v>889</v>
      </c>
      <c r="P78" s="267" t="s">
        <v>1401</v>
      </c>
      <c r="Q78" s="267"/>
      <c r="R78" s="267" t="s">
        <v>54</v>
      </c>
      <c r="S78" s="267" t="s">
        <v>1197</v>
      </c>
    </row>
    <row r="79" spans="1:22" s="284" customFormat="1" ht="15" customHeight="1" ns3:dyDescent="0.25">
      <c r="A79" s="90" t="s">
        <v>1797</v>
      </c>
      <c r="B79" s="90" t="str">
        <f t="shared" si="12"/>
      </c>
      <c r="C79" s="193" t="s">
        <v>102</v>
      </c>
      <c r="D79" s="193" t="s">
        <v>106</v>
      </c>
      <c r="E79" s="193" t="s">
        <v>120</v>
      </c>
      <c r="F79" s="193" t="s">
        <v>1652</v>
      </c>
      <c r="G79" s="193" t="s">
        <v>117</v>
      </c>
      <c r="H79" s="193" t="str">
        <f>IFERROR(VLOOKUP(#REF!79,'정보화기기 명부'!A$2:B$187,2,FALSE),"")</f>
        <v/>
      </c>
      <c r="I79" s="193" t="str">
        <f>IFERROR(VLOOKUP(#REF!79,'교직원용 IP'!$C$2:$H$230,6,FALSE),"")</f>
        <v>10.51.90.180</v>
      </c>
      <c r="J79" s="193"/>
      <c r="K79" s="193"/>
      <c r="L79" s="90">
        <v>20210823</v>
      </c>
      <c r="M79" s="201">
        <v>855000</v>
      </c>
      <c r="N79" s="193" t="s">
        <v>1191</v>
      </c>
      <c r="O79" s="267">
        <v>888</v>
      </c>
      <c r="P79" s="267" t="s">
        <v>1401</v>
      </c>
      <c r="Q79" s="267"/>
      <c r="R79" s="267" t="s">
        <v>54</v>
      </c>
      <c r="S79" s="267" t="s">
        <v>1197</v>
      </c>
    </row>
    <row r="80" spans="1:22" s="284" customFormat="1" ht="15" customHeight="1" ns3:dyDescent="0.25">
      <c r="A80" s="219" t="s">
        <v>1792</v>
      </c>
      <c r="B80" s="219" t="str">
        <f t="shared" si="12"/>
      </c>
      <c r="C80" s="220" t="s">
        <v>102</v>
      </c>
      <c r="D80" s="220" t="s">
        <v>106</v>
      </c>
      <c r="E80" s="220" t="s">
        <v>120</v>
      </c>
      <c r="F80" s="220" t="s">
        <v>1652</v>
      </c>
      <c r="G80" s="220" t="s">
        <v>117</v>
      </c>
      <c r="H80" s="220" t="str">
        <f>IFERROR(VLOOKUP(#REF!80,'정보화기기 명부'!A$2:B$187,2,FALSE),"")</f>
        <v/>
      </c>
      <c r="I80" s="220" t="str">
        <f>IFERROR(VLOOKUP(#REF!80,'교직원용 IP'!$C$2:$H$230,6,FALSE),"")</f>
        <v/>
      </c>
      <c r="J80" s="220"/>
      <c r="K80" s="220"/>
      <c r="L80" s="219">
        <v>20210823</v>
      </c>
      <c r="M80" s="286">
        <v>855000</v>
      </c>
      <c r="N80" s="220" t="s">
        <v>1191</v>
      </c>
      <c r="O80" s="267">
        <v>887</v>
      </c>
      <c r="P80" s="267" t="s">
        <v>1401</v>
      </c>
      <c r="Q80" s="267"/>
      <c r="R80" s="267" t="s">
        <v>54</v>
      </c>
      <c r="S80" s="267" t="s">
        <v>1197</v>
      </c>
    </row>
    <row r="81" spans="1:22" s="284" customFormat="1" ht="20.399999999999999" customHeight="1" ns3:dyDescent="0.25">
      <c r="A81" s="219" t="s">
        <v>1789</v>
      </c>
      <c r="B81" s="219" t="str">
        <f t="shared" si="12"/>
      </c>
      <c r="C81" s="220" t="s">
        <v>102</v>
      </c>
      <c r="D81" s="220" t="s">
        <v>106</v>
      </c>
      <c r="E81" s="220" t="s">
        <v>120</v>
      </c>
      <c r="F81" s="220" t="s">
        <v>1652</v>
      </c>
      <c r="G81" s="220" t="s">
        <v>117</v>
      </c>
      <c r="H81" s="220" t="str">
        <f>IFERROR(VLOOKUP(#REF!81,'정보화기기 명부'!A$2:B$187,2,FALSE),"")</f>
        <v/>
      </c>
      <c r="I81" s="220" t="str">
        <f>IFERROR(VLOOKUP(#REF!81,'교직원용 IP'!$C$2:$H$230,6,FALSE),"")</f>
        <v/>
      </c>
      <c r="J81" s="220"/>
      <c r="K81" s="220"/>
      <c r="L81" s="219">
        <v>20210823</v>
      </c>
      <c r="M81" s="286">
        <v>855000</v>
      </c>
      <c r="N81" s="220" t="s">
        <v>1191</v>
      </c>
      <c r="O81" s="267">
        <v>886</v>
      </c>
      <c r="P81" s="267" t="s">
        <v>1401</v>
      </c>
      <c r="Q81" s="267"/>
      <c r="R81" s="267" t="s">
        <v>54</v>
      </c>
      <c r="S81" s="267" t="s">
        <v>1197</v>
      </c>
    </row>
    <row r="82" spans="1:22" s="23" customFormat="1" ht="20.399999999999999" hidden="1" customHeight="1" ns3:dyDescent="0.25">
      <c r="A82" s="25" t="s">
        <v>308</v>
      </c>
      <c r="B82" s="25" t="str">
        <f t="shared" si="12"/>
      </c>
      <c r="C82" s="126" t="s">
        <v>1147</v>
      </c>
      <c r="D82" s="126" t="s">
        <v>106</v>
      </c>
      <c r="E82" s="126" t="s">
        <v>40</v>
      </c>
      <c r="F82" s="126" t="s">
        <v>1646</v>
      </c>
      <c r="G82" s="126" t="s">
        <v>1178</v>
      </c>
      <c r="H82" s="126" t="str">
        <f>IFERROR(VLOOKUP(#REF!82,'정보화기기 명부'!A$2:B$187,2,FALSE),"")</f>
        <v>교육행정실</v>
      </c>
      <c r="I82" s="126" t="str">
        <f>IFERROR(VLOOKUP(#REF!82,'교직원용 IP'!$C$2:$H$230,6,FALSE),"")</f>
        <v>10.51.90.76</v>
      </c>
      <c r="J82" s="126"/>
      <c r="K82" s="126"/>
      <c r="L82" s="135">
        <v>20210512</v>
      </c>
      <c r="M82" s="127">
        <v>814370</v>
      </c>
      <c r="N82" s="126" t="s">
        <v>1191</v>
      </c>
      <c r="O82" s="126">
        <v>885</v>
      </c>
      <c r="P82" s="126" t="s">
        <v>1401</v>
      </c>
      <c r="Q82" s="126"/>
      <c r="R82" s="126" t="s">
        <v>54</v>
      </c>
      <c r="S82" s="126" t="s">
        <v>1197</v>
      </c>
    </row>
    <row r="83" spans="1:22" s="23" customFormat="1" ht="17.399999999999999" hidden="1" customHeight="1" ns3:dyDescent="0.25">
      <c r="A83" s="25" t="s">
        <v>33</v>
      </c>
      <c r="B83" s="25" t="str">
        <f t="shared" si="12"/>
      </c>
      <c r="C83" s="126" t="s">
        <v>1147</v>
      </c>
      <c r="D83" s="126" t="s">
        <v>106</v>
      </c>
      <c r="E83" s="126" t="s">
        <v>120</v>
      </c>
      <c r="F83" s="126" t="s">
        <v>1416</v>
      </c>
      <c r="G83" s="126" t="s">
        <v>1395</v>
      </c>
      <c r="H83" s="126" t="str">
        <f>IFERROR(VLOOKUP(#REF!83,'정보화기기 명부'!A$2:B$187,2,FALSE),"")</f>
        <v>교장실</v>
      </c>
      <c r="I83" s="126" t="str">
        <f>IFERROR(VLOOKUP(#REF!83,'교직원용 IP'!$C$2:$H$230,6,FALSE),"")</f>
        <v>10.51.90.71</v>
      </c>
      <c r="J83" s="126"/>
      <c r="K83" s="126"/>
      <c r="L83" s="135">
        <v>20210111</v>
      </c>
      <c r="M83" s="127">
        <v>684000</v>
      </c>
      <c r="N83" s="126" t="s">
        <v>1191</v>
      </c>
      <c r="O83" s="126">
        <v>884</v>
      </c>
      <c r="P83" s="126" t="s">
        <v>1401</v>
      </c>
      <c r="Q83" s="126"/>
      <c r="R83" s="126" t="s">
        <v>54</v>
      </c>
      <c r="S83" s="126" t="s">
        <v>1197</v>
      </c>
    </row>
    <row r="84" spans="1:22" s="23" customFormat="1" ht="16.25" hidden="1" customHeight="1" ns3:dyDescent="0.25">
      <c r="A84" s="25" t="s">
        <v>1412</v>
      </c>
      <c r="B84" s="25" t="str">
        <f t="shared" si="12"/>
      </c>
      <c r="C84" s="126" t="s">
        <v>1147</v>
      </c>
      <c r="D84" s="126" t="s">
        <v>106</v>
      </c>
      <c r="E84" s="126" t="s">
        <v>120</v>
      </c>
      <c r="F84" s="126" t="s">
        <v>1661</v>
      </c>
      <c r="G84" s="126" t="s">
        <v>1178</v>
      </c>
      <c r="H84" s="126" t="str">
        <f>IFERROR(VLOOKUP(#REF!84,'정보화기기 명부'!A$2:B$187,2,FALSE),"")</f>
        <v>지구과학실</v>
      </c>
      <c r="I84" s="193" t="str">
        <f>IFERROR(VLOOKUP(#REF!84,'학생용 IP'!$C$11:$H$326,5,FALSE),"")</f>
        <v>10.54.36.11</v>
      </c>
      <c r="J84" s="126"/>
      <c r="K84" s="126"/>
      <c r="L84" s="177">
        <v>20201102</v>
      </c>
      <c r="M84" s="127">
        <v>758000</v>
      </c>
      <c r="N84" s="126" t="s">
        <v>1191</v>
      </c>
      <c r="O84" s="126">
        <v>883</v>
      </c>
      <c r="P84" s="126" t="s">
        <v>1401</v>
      </c>
      <c r="Q84" s="126" t="s">
        <v>1218</v>
      </c>
      <c r="R84" s="126" t="s">
        <v>54</v>
      </c>
      <c r="S84" s="126" t="s">
        <v>29</v>
      </c>
    </row>
    <row r="85" spans="1:22" s="23" customFormat="1" ht="12" hidden="1" customHeight="1" ns3:dyDescent="0.25">
      <c r="A85" s="25" t="s">
        <v>1421</v>
      </c>
      <c r="B85" s="25" t="str">
        <f t="shared" si="12"/>
      </c>
      <c r="C85" s="126" t="s">
        <v>1147</v>
      </c>
      <c r="D85" s="126" t="s">
        <v>106</v>
      </c>
      <c r="E85" s="126" t="s">
        <v>120</v>
      </c>
      <c r="F85" s="126" t="s">
        <v>1661</v>
      </c>
      <c r="G85" s="126" t="s">
        <v>1178</v>
      </c>
      <c r="H85" s="126" t="str">
        <f>IFERROR(VLOOKUP(#REF!85,'정보화기기 명부'!A$2:B$187,2,FALSE),"")</f>
        <v>생명과학실</v>
      </c>
      <c r="I85" s="193" t="str">
        <f>IFERROR(VLOOKUP(#REF!85,'학생용 IP'!$C$11:$H$326,5,FALSE),"")</f>
        <v>10.54.36.12</v>
      </c>
      <c r="J85" s="126"/>
      <c r="K85" s="126"/>
      <c r="L85" s="177">
        <v>20201102</v>
      </c>
      <c r="M85" s="127">
        <v>758000</v>
      </c>
      <c r="N85" s="126" t="s">
        <v>1191</v>
      </c>
      <c r="O85" s="126">
        <v>882</v>
      </c>
      <c r="P85" s="126" t="s">
        <v>1401</v>
      </c>
      <c r="Q85" s="126" t="s">
        <v>1218</v>
      </c>
      <c r="R85" s="126" t="s">
        <v>54</v>
      </c>
      <c r="S85" s="126" t="s">
        <v>29</v>
      </c>
    </row>
    <row r="86" spans="1:22" s="23" customFormat="1" ht="21" hidden="1" customHeight="1" ns3:dyDescent="0.25">
      <c r="A86" s="25" t="s">
        <v>1394</v>
      </c>
      <c r="B86" s="25" t="str">
        <f t="shared" si="12"/>
      </c>
      <c r="C86" s="126" t="s">
        <v>1147</v>
      </c>
      <c r="D86" s="126" t="s">
        <v>106</v>
      </c>
      <c r="E86" s="126" t="s">
        <v>120</v>
      </c>
      <c r="F86" s="126" t="s">
        <v>1661</v>
      </c>
      <c r="G86" s="126" t="s">
        <v>1178</v>
      </c>
      <c r="H86" s="126" t="str">
        <f>IFERROR(VLOOKUP(#REF!86,'정보화기기 명부'!A$2:B$187,2,FALSE),"")</f>
        <v>화학실험실</v>
      </c>
      <c r="I86" s="193" t="str">
        <f>IFERROR(VLOOKUP(#REF!86,'학생용 IP'!$C$11:$H$326,5,FALSE),"")</f>
        <v>10.54.36.13</v>
      </c>
      <c r="J86" s="126"/>
      <c r="K86" s="126"/>
      <c r="L86" s="177">
        <v>20201102</v>
      </c>
      <c r="M86" s="127">
        <v>758000</v>
      </c>
      <c r="N86" s="126" t="s">
        <v>1191</v>
      </c>
      <c r="O86" s="126">
        <v>881</v>
      </c>
      <c r="P86" s="126" t="s">
        <v>1401</v>
      </c>
      <c r="Q86" s="126" t="s">
        <v>1218</v>
      </c>
      <c r="R86" s="126" t="s">
        <v>54</v>
      </c>
      <c r="S86" s="126" t="s">
        <v>29</v>
      </c>
    </row>
    <row r="87" spans="1:22" s="23" customFormat="1" ht="16.25" hidden="1" customHeight="1" ns3:dyDescent="0.25">
      <c r="A87" s="25" t="s">
        <v>1419</v>
      </c>
      <c r="B87" s="25" t="str">
        <f t="shared" si="12"/>
      </c>
      <c r="C87" s="126" t="s">
        <v>1147</v>
      </c>
      <c r="D87" s="126" t="s">
        <v>106</v>
      </c>
      <c r="E87" s="126" t="s">
        <v>120</v>
      </c>
      <c r="F87" s="126" t="s">
        <v>1661</v>
      </c>
      <c r="G87" s="126" t="s">
        <v>1178</v>
      </c>
      <c r="H87" s="126" t="str">
        <f>IFERROR(VLOOKUP(#REF!87,'정보화기기 명부'!A$2:B$187,2,FALSE),"")</f>
        <v>물리실험실</v>
      </c>
      <c r="I87" s="193" t="str">
        <f>IFERROR(VLOOKUP(#REF!87,'학생용 IP'!$C$11:$H$326,5,FALSE),"")</f>
        <v>10.54.36.14</v>
      </c>
      <c r="J87" s="126"/>
      <c r="K87" s="126"/>
      <c r="L87" s="177">
        <v>20201102</v>
      </c>
      <c r="M87" s="127">
        <v>758000</v>
      </c>
      <c r="N87" s="126" t="s">
        <v>1191</v>
      </c>
      <c r="O87" s="126">
        <v>880</v>
      </c>
      <c r="P87" s="126" t="s">
        <v>1401</v>
      </c>
      <c r="Q87" s="126" t="s">
        <v>1218</v>
      </c>
      <c r="R87" s="126" t="s">
        <v>54</v>
      </c>
      <c r="S87" s="126" t="s">
        <v>29</v>
      </c>
    </row>
    <row r="88" spans="1:22" s="23" customFormat="1" ht="17.399999999999999" hidden="1" customHeight="1" ns3:dyDescent="0.25">
      <c r="A88" s="25" t="s">
        <v>22</v>
      </c>
      <c r="B88" s="25" t="str">
        <f t="shared" si="12"/>
      </c>
      <c r="C88" s="126" t="s">
        <v>1185</v>
      </c>
      <c r="D88" s="126" t="s">
        <v>106</v>
      </c>
      <c r="E88" s="126" t="s">
        <v>120</v>
      </c>
      <c r="F88" s="126" t="s">
        <v>1563</v>
      </c>
      <c r="G88" s="126" t="s">
        <v>117</v>
      </c>
      <c r="H88" s="126" t="str">
        <f>IFERROR(VLOOKUP(#REF!88,'정보화기기 명부'!A$2:B$187,2,FALSE),"")</f>
        <v/>
      </c>
      <c r="I88" s="127" t="str">
        <f>IFERROR(VLOOKUP(#REF!88,'학생용 IP'!$C$11:$H$326,5,FALSE),"")</f>
        <v/>
      </c>
      <c r="J88" s="126"/>
      <c r="K88" s="126"/>
      <c r="L88" s="176">
        <v>20201021</v>
      </c>
      <c r="M88" s="127">
        <v>447000</v>
      </c>
      <c r="N88" s="126" t="s">
        <v>1191</v>
      </c>
      <c r="O88" s="126">
        <v>879</v>
      </c>
      <c r="P88" s="126" t="s">
        <v>104</v>
      </c>
      <c r="Q88" s="126" t="s">
        <v>1204</v>
      </c>
      <c r="R88" s="126" t="s">
        <v>24</v>
      </c>
      <c r="S88" s="126" t="s">
        <v>1202</v>
      </c>
    </row>
    <row r="89" spans="1:22" s="23" customFormat="1" ht="12.65" hidden="1" customHeight="1" ns3:dyDescent="0.25">
      <c r="A89" s="25" t="s">
        <v>22</v>
      </c>
      <c r="B89" s="25" t="str">
        <f t="shared" si="12"/>
      </c>
      <c r="C89" s="126" t="s">
        <v>1185</v>
      </c>
      <c r="D89" s="126" t="s">
        <v>106</v>
      </c>
      <c r="E89" s="126" t="s">
        <v>120</v>
      </c>
      <c r="F89" s="126" t="s">
        <v>1563</v>
      </c>
      <c r="G89" s="126" t="s">
        <v>117</v>
      </c>
      <c r="H89" s="126" t="str">
        <f>IFERROR(VLOOKUP(#REF!89,'정보화기기 명부'!A$2:B$187,2,FALSE),"")</f>
        <v/>
      </c>
      <c r="I89" s="127" t="str">
        <f>IFERROR(VLOOKUP(#REF!89,'학생용 IP'!$C$11:$H$326,5,FALSE),"")</f>
        <v/>
      </c>
      <c r="J89" s="126"/>
      <c r="K89" s="126"/>
      <c r="L89" s="176">
        <v>20201021</v>
      </c>
      <c r="M89" s="127">
        <v>447000</v>
      </c>
      <c r="N89" s="126" t="s">
        <v>1191</v>
      </c>
      <c r="O89" s="126">
        <v>878</v>
      </c>
      <c r="P89" s="126" t="s">
        <v>104</v>
      </c>
      <c r="Q89" s="126" t="s">
        <v>1204</v>
      </c>
      <c r="R89" s="126" t="s">
        <v>24</v>
      </c>
      <c r="S89" s="126" t="s">
        <v>1202</v>
      </c>
    </row>
    <row r="90" spans="1:22" s="23" customFormat="1" ht="15.65" hidden="1" customHeight="1" ns3:dyDescent="0.25">
      <c r="A90" s="25" t="s">
        <v>22</v>
      </c>
      <c r="B90" s="25" t="str">
        <f t="shared" si="12"/>
      </c>
      <c r="C90" s="126" t="s">
        <v>1185</v>
      </c>
      <c r="D90" s="126" t="s">
        <v>106</v>
      </c>
      <c r="E90" s="126" t="s">
        <v>120</v>
      </c>
      <c r="F90" s="126" t="s">
        <v>1563</v>
      </c>
      <c r="G90" s="126" t="s">
        <v>117</v>
      </c>
      <c r="H90" s="126" t="str">
        <f>IFERROR(VLOOKUP(#REF!90,'정보화기기 명부'!A$2:B$187,2,FALSE),"")</f>
        <v/>
      </c>
      <c r="I90" s="127" t="str">
        <f>IFERROR(VLOOKUP(#REF!90,'학생용 IP'!$C$11:$H$326,5,FALSE),"")</f>
        <v/>
      </c>
      <c r="J90" s="126"/>
      <c r="K90" s="126"/>
      <c r="L90" s="176">
        <v>20201021</v>
      </c>
      <c r="M90" s="127">
        <v>447000</v>
      </c>
      <c r="N90" s="126" t="s">
        <v>1191</v>
      </c>
      <c r="O90" s="126">
        <v>877</v>
      </c>
      <c r="P90" s="126" t="s">
        <v>104</v>
      </c>
      <c r="Q90" s="126" t="s">
        <v>1204</v>
      </c>
      <c r="R90" s="126" t="s">
        <v>24</v>
      </c>
      <c r="S90" s="126" t="s">
        <v>1202</v>
      </c>
    </row>
    <row r="91" spans="1:22" s="23" customFormat="1" ht="15" hidden="1" customHeight="1" ns3:dyDescent="0.25">
      <c r="A91" s="25" t="s">
        <v>22</v>
      </c>
      <c r="B91" s="25" t="str">
        <f t="shared" si="12"/>
      </c>
      <c r="C91" s="126" t="s">
        <v>1185</v>
      </c>
      <c r="D91" s="126" t="s">
        <v>106</v>
      </c>
      <c r="E91" s="126" t="s">
        <v>120</v>
      </c>
      <c r="F91" s="126" t="s">
        <v>1563</v>
      </c>
      <c r="G91" s="126" t="s">
        <v>117</v>
      </c>
      <c r="H91" s="126" t="str">
        <f>IFERROR(VLOOKUP(#REF!91,'정보화기기 명부'!A$2:B$187,2,FALSE),"")</f>
        <v/>
      </c>
      <c r="I91" s="127" t="str">
        <f>IFERROR(VLOOKUP(#REF!91,'학생용 IP'!$C$11:$H$326,5,FALSE),"")</f>
        <v/>
      </c>
      <c r="J91" s="126"/>
      <c r="K91" s="126"/>
      <c r="L91" s="176">
        <v>20201021</v>
      </c>
      <c r="M91" s="127">
        <v>447000</v>
      </c>
      <c r="N91" s="126" t="s">
        <v>1191</v>
      </c>
      <c r="O91" s="126">
        <v>876</v>
      </c>
      <c r="P91" s="126" t="s">
        <v>104</v>
      </c>
      <c r="Q91" s="126" t="s">
        <v>1204</v>
      </c>
      <c r="R91" s="126" t="s">
        <v>24</v>
      </c>
      <c r="S91" s="126" t="s">
        <v>1202</v>
      </c>
    </row>
    <row r="92" spans="1:22" s="23" customFormat="1" ht="21.65" hidden="1" customHeight="1" ns3:dyDescent="0.25">
      <c r="A92" s="25" t="s">
        <v>22</v>
      </c>
      <c r="B92" s="25" t="str">
        <f t="shared" si="12"/>
      </c>
      <c r="C92" s="126" t="s">
        <v>1185</v>
      </c>
      <c r="D92" s="126" t="s">
        <v>106</v>
      </c>
      <c r="E92" s="126" t="s">
        <v>120</v>
      </c>
      <c r="F92" s="126" t="s">
        <v>1563</v>
      </c>
      <c r="G92" s="126" t="s">
        <v>117</v>
      </c>
      <c r="H92" s="126" t="str">
        <f>IFERROR(VLOOKUP(#REF!92,'정보화기기 명부'!A$2:B$187,2,FALSE),"")</f>
        <v/>
      </c>
      <c r="I92" s="127" t="str">
        <f>IFERROR(VLOOKUP(#REF!92,'학생용 IP'!$C$11:$H$326,5,FALSE),"")</f>
        <v/>
      </c>
      <c r="J92" s="126"/>
      <c r="K92" s="126"/>
      <c r="L92" s="176">
        <v>20201021</v>
      </c>
      <c r="M92" s="127">
        <v>447000</v>
      </c>
      <c r="N92" s="126" t="s">
        <v>1191</v>
      </c>
      <c r="O92" s="126">
        <v>875</v>
      </c>
      <c r="P92" s="126" t="s">
        <v>104</v>
      </c>
      <c r="Q92" s="126" t="s">
        <v>1204</v>
      </c>
      <c r="R92" s="126" t="s">
        <v>24</v>
      </c>
      <c r="S92" s="126" t="s">
        <v>1202</v>
      </c>
    </row>
    <row r="93" spans="1:22" s="23" customFormat="1" ht="13.25" hidden="1" customHeight="1" ns3:dyDescent="0.25">
      <c r="A93" s="25" t="s">
        <v>22</v>
      </c>
      <c r="B93" s="25" t="str">
        <f t="shared" si="12"/>
      </c>
      <c r="C93" s="126" t="s">
        <v>1185</v>
      </c>
      <c r="D93" s="126" t="s">
        <v>106</v>
      </c>
      <c r="E93" s="126" t="s">
        <v>120</v>
      </c>
      <c r="F93" s="126" t="s">
        <v>1563</v>
      </c>
      <c r="G93" s="126" t="s">
        <v>117</v>
      </c>
      <c r="H93" s="126" t="str">
        <f>IFERROR(VLOOKUP(#REF!93,'정보화기기 명부'!A$2:B$187,2,FALSE),"")</f>
        <v/>
      </c>
      <c r="I93" s="127" t="str">
        <f>IFERROR(VLOOKUP(#REF!93,'학생용 IP'!$C$11:$H$326,5,FALSE),"")</f>
        <v/>
      </c>
      <c r="J93" s="126"/>
      <c r="K93" s="126"/>
      <c r="L93" s="176">
        <v>20201021</v>
      </c>
      <c r="M93" s="127">
        <v>447000</v>
      </c>
      <c r="N93" s="126" t="s">
        <v>1191</v>
      </c>
      <c r="O93" s="126">
        <v>874</v>
      </c>
      <c r="P93" s="126" t="s">
        <v>104</v>
      </c>
      <c r="Q93" s="126" t="s">
        <v>1204</v>
      </c>
      <c r="R93" s="126" t="s">
        <v>24</v>
      </c>
      <c r="S93" s="126" t="s">
        <v>1202</v>
      </c>
    </row>
    <row r="94" spans="1:22" s="23" customFormat="1" ht="13.25" hidden="1" customHeight="1" ns3:dyDescent="0.25">
      <c r="A94" s="25" t="s">
        <v>22</v>
      </c>
      <c r="B94" s="25" t="str">
        <f t="shared" si="12"/>
      </c>
      <c r="C94" s="126" t="s">
        <v>1185</v>
      </c>
      <c r="D94" s="126" t="s">
        <v>106</v>
      </c>
      <c r="E94" s="126" t="s">
        <v>120</v>
      </c>
      <c r="F94" s="126" t="s">
        <v>1563</v>
      </c>
      <c r="G94" s="126" t="s">
        <v>117</v>
      </c>
      <c r="H94" s="126" t="str">
        <f>IFERROR(VLOOKUP(#REF!94,'정보화기기 명부'!A$2:B$187,2,FALSE),"")</f>
        <v/>
      </c>
      <c r="I94" s="127" t="str">
        <f>IFERROR(VLOOKUP(#REF!94,'학생용 IP'!$C$11:$H$326,5,FALSE),"")</f>
        <v/>
      </c>
      <c r="J94" s="126"/>
      <c r="K94" s="126"/>
      <c r="L94" s="176">
        <v>20201021</v>
      </c>
      <c r="M94" s="127">
        <v>447000</v>
      </c>
      <c r="N94" s="126" t="s">
        <v>1191</v>
      </c>
      <c r="O94" s="126">
        <v>873</v>
      </c>
      <c r="P94" s="126" t="s">
        <v>104</v>
      </c>
      <c r="Q94" s="126" t="s">
        <v>1204</v>
      </c>
      <c r="R94" s="126" t="s">
        <v>24</v>
      </c>
      <c r="S94" s="126" t="s">
        <v>1202</v>
      </c>
    </row>
    <row r="95" spans="1:22" s="23" customFormat="1" ht="13.25" hidden="1" customHeight="1" ns3:dyDescent="0.25">
      <c r="A95" s="25" t="s">
        <v>22</v>
      </c>
      <c r="B95" s="25" t="str">
        <f t="shared" si="12"/>
      </c>
      <c r="C95" s="126" t="s">
        <v>1185</v>
      </c>
      <c r="D95" s="126" t="s">
        <v>106</v>
      </c>
      <c r="E95" s="126" t="s">
        <v>120</v>
      </c>
      <c r="F95" s="126" t="s">
        <v>1563</v>
      </c>
      <c r="G95" s="126" t="s">
        <v>117</v>
      </c>
      <c r="H95" s="126" t="str">
        <f>IFERROR(VLOOKUP(#REF!95,'정보화기기 명부'!A$2:B$187,2,FALSE),"")</f>
        <v/>
      </c>
      <c r="I95" s="127" t="str">
        <f>IFERROR(VLOOKUP(#REF!95,'학생용 IP'!$C$11:$H$326,5,FALSE),"")</f>
        <v/>
      </c>
      <c r="J95" s="126"/>
      <c r="K95" s="126"/>
      <c r="L95" s="176">
        <v>20201021</v>
      </c>
      <c r="M95" s="127">
        <v>447000</v>
      </c>
      <c r="N95" s="126" t="s">
        <v>1191</v>
      </c>
      <c r="O95" s="126">
        <v>872</v>
      </c>
      <c r="P95" s="126" t="s">
        <v>104</v>
      </c>
      <c r="Q95" s="126" t="s">
        <v>1204</v>
      </c>
      <c r="R95" s="126" t="s">
        <v>24</v>
      </c>
      <c r="S95" s="126" t="s">
        <v>1202</v>
      </c>
    </row>
    <row r="96" spans="1:22" s="23" customFormat="1" ht="13.25" hidden="1" customHeight="1" ns3:dyDescent="0.25">
      <c r="A96" s="25" t="s">
        <v>22</v>
      </c>
      <c r="B96" s="25" t="str">
        <f t="shared" si="12"/>
      </c>
      <c r="C96" s="126" t="s">
        <v>1185</v>
      </c>
      <c r="D96" s="126" t="s">
        <v>106</v>
      </c>
      <c r="E96" s="126" t="s">
        <v>120</v>
      </c>
      <c r="F96" s="126" t="s">
        <v>1563</v>
      </c>
      <c r="G96" s="126" t="s">
        <v>117</v>
      </c>
      <c r="H96" s="126" t="str">
        <f>IFERROR(VLOOKUP(#REF!96,'정보화기기 명부'!A$2:B$187,2,FALSE),"")</f>
        <v/>
      </c>
      <c r="I96" s="127" t="str">
        <f>IFERROR(VLOOKUP(#REF!96,'학생용 IP'!$C$11:$H$326,5,FALSE),"")</f>
        <v/>
      </c>
      <c r="J96" s="126"/>
      <c r="K96" s="126"/>
      <c r="L96" s="176">
        <v>20201021</v>
      </c>
      <c r="M96" s="127">
        <v>447000</v>
      </c>
      <c r="N96" s="126" t="s">
        <v>1191</v>
      </c>
      <c r="O96" s="126">
        <v>871</v>
      </c>
      <c r="P96" s="126" t="s">
        <v>104</v>
      </c>
      <c r="Q96" s="126" t="s">
        <v>1204</v>
      </c>
      <c r="R96" s="126" t="s">
        <v>24</v>
      </c>
      <c r="S96" s="126" t="s">
        <v>1202</v>
      </c>
    </row>
    <row r="97" spans="1:22" s="23" customFormat="1" ht="13.25" hidden="1" customHeight="1" ns3:dyDescent="0.25">
      <c r="A97" s="25" t="s">
        <v>22</v>
      </c>
      <c r="B97" s="25" t="str">
        <f t="shared" si="12"/>
      </c>
      <c r="C97" s="126" t="s">
        <v>1185</v>
      </c>
      <c r="D97" s="126" t="s">
        <v>106</v>
      </c>
      <c r="E97" s="126" t="s">
        <v>120</v>
      </c>
      <c r="F97" s="126" t="s">
        <v>1563</v>
      </c>
      <c r="G97" s="126" t="s">
        <v>117</v>
      </c>
      <c r="H97" s="126" t="str">
        <f>IFERROR(VLOOKUP(#REF!97,'정보화기기 명부'!A$2:B$187,2,FALSE),"")</f>
        <v/>
      </c>
      <c r="I97" s="127" t="str">
        <f>IFERROR(VLOOKUP(#REF!97,'학생용 IP'!$C$11:$H$326,5,FALSE),"")</f>
        <v/>
      </c>
      <c r="J97" s="126"/>
      <c r="K97" s="126"/>
      <c r="L97" s="176">
        <v>20201021</v>
      </c>
      <c r="M97" s="127">
        <v>447000</v>
      </c>
      <c r="N97" s="126" t="s">
        <v>1191</v>
      </c>
      <c r="O97" s="126">
        <v>870</v>
      </c>
      <c r="P97" s="126" t="s">
        <v>104</v>
      </c>
      <c r="Q97" s="126" t="s">
        <v>1204</v>
      </c>
      <c r="R97" s="126" t="s">
        <v>24</v>
      </c>
      <c r="S97" s="126" t="s">
        <v>1202</v>
      </c>
    </row>
    <row r="98" spans="1:22" s="23" customFormat="1" ht="13.25" hidden="1" customHeight="1" ns3:dyDescent="0.25">
      <c r="A98" s="25" t="s">
        <v>22</v>
      </c>
      <c r="B98" s="25" t="str">
        <f t="shared" si="12"/>
      </c>
      <c r="C98" s="126" t="s">
        <v>1185</v>
      </c>
      <c r="D98" s="126" t="s">
        <v>106</v>
      </c>
      <c r="E98" s="126" t="s">
        <v>120</v>
      </c>
      <c r="F98" s="126" t="s">
        <v>1563</v>
      </c>
      <c r="G98" s="126" t="s">
        <v>117</v>
      </c>
      <c r="H98" s="126" t="str">
        <f>IFERROR(VLOOKUP(#REF!98,'정보화기기 명부'!A$2:B$187,2,FALSE),"")</f>
        <v/>
      </c>
      <c r="I98" s="127" t="str">
        <f>IFERROR(VLOOKUP(#REF!98,'학생용 IP'!$C$11:$H$326,5,FALSE),"")</f>
        <v/>
      </c>
      <c r="J98" s="126"/>
      <c r="K98" s="126"/>
      <c r="L98" s="176">
        <v>20201021</v>
      </c>
      <c r="M98" s="127">
        <v>447000</v>
      </c>
      <c r="N98" s="126" t="s">
        <v>1191</v>
      </c>
      <c r="O98" s="126">
        <v>869</v>
      </c>
      <c r="P98" s="126" t="s">
        <v>104</v>
      </c>
      <c r="Q98" s="126" t="s">
        <v>1204</v>
      </c>
      <c r="R98" s="126" t="s">
        <v>24</v>
      </c>
      <c r="S98" s="126" t="s">
        <v>1202</v>
      </c>
    </row>
    <row r="99" spans="1:22" s="23" customFormat="1" ht="22.75" hidden="1" customHeight="1" ns3:dyDescent="0.25">
      <c r="A99" s="25" t="s">
        <v>22</v>
      </c>
      <c r="B99" s="25" t="str">
        <f t="shared" si="12"/>
      </c>
      <c r="C99" s="126" t="s">
        <v>1185</v>
      </c>
      <c r="D99" s="126" t="s">
        <v>106</v>
      </c>
      <c r="E99" s="126" t="s">
        <v>120</v>
      </c>
      <c r="F99" s="126" t="s">
        <v>1563</v>
      </c>
      <c r="G99" s="126" t="s">
        <v>117</v>
      </c>
      <c r="H99" s="126" t="str">
        <f>IFERROR(VLOOKUP(#REF!99,'정보화기기 명부'!A$2:B$187,2,FALSE),"")</f>
        <v/>
      </c>
      <c r="I99" s="127" t="str">
        <f>IFERROR(VLOOKUP(#REF!99,'학생용 IP'!$C$11:$H$326,5,FALSE),"")</f>
        <v/>
      </c>
      <c r="J99" s="126"/>
      <c r="K99" s="126"/>
      <c r="L99" s="176">
        <v>20201021</v>
      </c>
      <c r="M99" s="127">
        <v>447000</v>
      </c>
      <c r="N99" s="126" t="s">
        <v>1191</v>
      </c>
      <c r="O99" s="126">
        <v>868</v>
      </c>
      <c r="P99" s="126" t="s">
        <v>104</v>
      </c>
      <c r="Q99" s="126" t="s">
        <v>1204</v>
      </c>
      <c r="R99" s="126" t="s">
        <v>24</v>
      </c>
      <c r="S99" s="126" t="s">
        <v>1202</v>
      </c>
    </row>
    <row r="100" spans="1:22" s="23" customFormat="1" ht="17.399999999999999" hidden="1" customHeight="1" ns3:dyDescent="0.25">
      <c r="A100" s="25" t="s">
        <v>22</v>
      </c>
      <c r="B100" s="25" t="str">
        <f t="shared" si="12"/>
      </c>
      <c r="C100" s="126" t="s">
        <v>1185</v>
      </c>
      <c r="D100" s="126" t="s">
        <v>106</v>
      </c>
      <c r="E100" s="126" t="s">
        <v>120</v>
      </c>
      <c r="F100" s="126" t="s">
        <v>1563</v>
      </c>
      <c r="G100" s="126" t="s">
        <v>117</v>
      </c>
      <c r="H100" s="126" t="str">
        <f>IFERROR(VLOOKUP(#REF!100,'정보화기기 명부'!A$2:B$187,2,FALSE),"")</f>
        <v/>
      </c>
      <c r="I100" s="127" t="str">
        <f>IFERROR(VLOOKUP(#REF!100,'학생용 IP'!$C$11:$H$326,5,FALSE),"")</f>
        <v/>
      </c>
      <c r="J100" s="126"/>
      <c r="K100" s="126"/>
      <c r="L100" s="176">
        <v>20201021</v>
      </c>
      <c r="M100" s="127">
        <v>447000</v>
      </c>
      <c r="N100" s="126" t="s">
        <v>1191</v>
      </c>
      <c r="O100" s="126">
        <v>867</v>
      </c>
      <c r="P100" s="126" t="s">
        <v>104</v>
      </c>
      <c r="Q100" s="126" t="s">
        <v>1204</v>
      </c>
      <c r="R100" s="126" t="s">
        <v>24</v>
      </c>
      <c r="S100" s="126" t="s">
        <v>1202</v>
      </c>
    </row>
    <row r="101" spans="1:22" s="23" customFormat="1" ht="12.65" hidden="1" customHeight="1" ns3:dyDescent="0.25">
      <c r="A101" s="25" t="s">
        <v>22</v>
      </c>
      <c r="B101" s="25" t="str">
        <f t="shared" si="12"/>
      </c>
      <c r="C101" s="126" t="s">
        <v>1185</v>
      </c>
      <c r="D101" s="126" t="s">
        <v>106</v>
      </c>
      <c r="E101" s="126" t="s">
        <v>120</v>
      </c>
      <c r="F101" s="126" t="s">
        <v>1563</v>
      </c>
      <c r="G101" s="126" t="s">
        <v>117</v>
      </c>
      <c r="H101" s="126" t="str">
        <f>IFERROR(VLOOKUP(#REF!101,'정보화기기 명부'!A$2:B$187,2,FALSE),"")</f>
        <v/>
      </c>
      <c r="I101" s="127" t="str">
        <f>IFERROR(VLOOKUP(#REF!101,'학생용 IP'!$C$11:$H$326,5,FALSE),"")</f>
        <v/>
      </c>
      <c r="J101" s="126"/>
      <c r="K101" s="126"/>
      <c r="L101" s="176">
        <v>20201021</v>
      </c>
      <c r="M101" s="127">
        <v>447000</v>
      </c>
      <c r="N101" s="126" t="s">
        <v>1191</v>
      </c>
      <c r="O101" s="126">
        <v>866</v>
      </c>
      <c r="P101" s="126" t="s">
        <v>104</v>
      </c>
      <c r="Q101" s="126" t="s">
        <v>1204</v>
      </c>
      <c r="R101" s="126" t="s">
        <v>24</v>
      </c>
      <c r="S101" s="126" t="s">
        <v>1202</v>
      </c>
    </row>
    <row r="102" spans="1:22" s="23" customFormat="1" ht="22.75" hidden="1" customHeight="1" ns3:dyDescent="0.25">
      <c r="A102" s="25" t="s">
        <v>22</v>
      </c>
      <c r="B102" s="25" t="str">
        <f t="shared" si="12"/>
      </c>
      <c r="C102" s="126" t="s">
        <v>1185</v>
      </c>
      <c r="D102" s="126" t="s">
        <v>106</v>
      </c>
      <c r="E102" s="126" t="s">
        <v>120</v>
      </c>
      <c r="F102" s="126" t="s">
        <v>1563</v>
      </c>
      <c r="G102" s="126" t="s">
        <v>117</v>
      </c>
      <c r="H102" s="126" t="str">
        <f>IFERROR(VLOOKUP(#REF!102,'정보화기기 명부'!A$2:B$187,2,FALSE),"")</f>
        <v/>
      </c>
      <c r="I102" s="127" t="str">
        <f>IFERROR(VLOOKUP(#REF!102,'학생용 IP'!$C$11:$H$326,5,FALSE),"")</f>
        <v/>
      </c>
      <c r="J102" s="126"/>
      <c r="K102" s="126"/>
      <c r="L102" s="176">
        <v>20201021</v>
      </c>
      <c r="M102" s="127">
        <v>447000</v>
      </c>
      <c r="N102" s="126" t="s">
        <v>1191</v>
      </c>
      <c r="O102" s="126">
        <v>865</v>
      </c>
      <c r="P102" s="126" t="s">
        <v>104</v>
      </c>
      <c r="Q102" s="126" t="s">
        <v>1204</v>
      </c>
      <c r="R102" s="126" t="s">
        <v>24</v>
      </c>
      <c r="S102" s="126" t="s">
        <v>1202</v>
      </c>
    </row>
    <row r="103" spans="1:22" s="23" customFormat="1" ht="15.65" hidden="1" customHeight="1" ns3:dyDescent="0.25">
      <c r="A103" s="25" t="s">
        <v>22</v>
      </c>
      <c r="B103" s="25" t="str">
        <f t="shared" si="12"/>
      </c>
      <c r="C103" s="126" t="s">
        <v>1185</v>
      </c>
      <c r="D103" s="126" t="s">
        <v>106</v>
      </c>
      <c r="E103" s="126" t="s">
        <v>120</v>
      </c>
      <c r="F103" s="126" t="s">
        <v>1563</v>
      </c>
      <c r="G103" s="126" t="s">
        <v>117</v>
      </c>
      <c r="H103" s="126" t="str">
        <f>IFERROR(VLOOKUP(#REF!103,'정보화기기 명부'!A$2:B$187,2,FALSE),"")</f>
        <v/>
      </c>
      <c r="I103" s="127" t="str">
        <f>IFERROR(VLOOKUP(#REF!103,'학생용 IP'!$C$11:$H$326,5,FALSE),"")</f>
        <v/>
      </c>
      <c r="J103" s="126"/>
      <c r="K103" s="126"/>
      <c r="L103" s="176">
        <v>20201021</v>
      </c>
      <c r="M103" s="127">
        <v>447000</v>
      </c>
      <c r="N103" s="126" t="s">
        <v>1191</v>
      </c>
      <c r="O103" s="126">
        <v>864</v>
      </c>
      <c r="P103" s="126" t="s">
        <v>104</v>
      </c>
      <c r="Q103" s="126" t="s">
        <v>1204</v>
      </c>
      <c r="R103" s="126" t="s">
        <v>24</v>
      </c>
      <c r="S103" s="126" t="s">
        <v>1202</v>
      </c>
    </row>
    <row r="104" spans="1:22" s="23" customFormat="1" ht="16.75" hidden="1" customHeight="1" ns3:dyDescent="0.25">
      <c r="A104" s="25" t="s">
        <v>22</v>
      </c>
      <c r="B104" s="25" t="str">
        <f t="shared" si="12"/>
      </c>
      <c r="C104" s="126" t="s">
        <v>1185</v>
      </c>
      <c r="D104" s="126" t="s">
        <v>106</v>
      </c>
      <c r="E104" s="126" t="s">
        <v>120</v>
      </c>
      <c r="F104" s="126" t="s">
        <v>1563</v>
      </c>
      <c r="G104" s="126" t="s">
        <v>117</v>
      </c>
      <c r="H104" s="126" t="str">
        <f>IFERROR(VLOOKUP(#REF!104,'정보화기기 명부'!A$2:B$187,2,FALSE),"")</f>
        <v/>
      </c>
      <c r="I104" s="127" t="str">
        <f>IFERROR(VLOOKUP(#REF!104,'학생용 IP'!$C$11:$H$326,5,FALSE),"")</f>
        <v/>
      </c>
      <c r="J104" s="126"/>
      <c r="K104" s="126"/>
      <c r="L104" s="176">
        <v>20201021</v>
      </c>
      <c r="M104" s="127">
        <v>447000</v>
      </c>
      <c r="N104" s="126" t="s">
        <v>1191</v>
      </c>
      <c r="O104" s="126">
        <v>863</v>
      </c>
      <c r="P104" s="126" t="s">
        <v>104</v>
      </c>
      <c r="Q104" s="126" t="s">
        <v>1204</v>
      </c>
      <c r="R104" s="126" t="s">
        <v>24</v>
      </c>
      <c r="S104" s="126" t="s">
        <v>1202</v>
      </c>
    </row>
    <row r="105" spans="1:22" s="23" customFormat="1" ht="15.65" hidden="1" customHeight="1" ns3:dyDescent="0.25">
      <c r="A105" s="25" t="s">
        <v>22</v>
      </c>
      <c r="B105" s="25" t="str">
        <f t="shared" si="12"/>
      </c>
      <c r="C105" s="126" t="s">
        <v>1185</v>
      </c>
      <c r="D105" s="126" t="s">
        <v>106</v>
      </c>
      <c r="E105" s="126" t="s">
        <v>120</v>
      </c>
      <c r="F105" s="126" t="s">
        <v>1563</v>
      </c>
      <c r="G105" s="126" t="s">
        <v>117</v>
      </c>
      <c r="H105" s="126" t="str">
        <f>IFERROR(VLOOKUP(#REF!105,'정보화기기 명부'!A$2:B$187,2,FALSE),"")</f>
        <v/>
      </c>
      <c r="I105" s="127" t="str">
        <f>IFERROR(VLOOKUP(#REF!105,'학생용 IP'!$C$11:$H$326,5,FALSE),"")</f>
        <v/>
      </c>
      <c r="J105" s="126"/>
      <c r="K105" s="126"/>
      <c r="L105" s="176">
        <v>20201021</v>
      </c>
      <c r="M105" s="127">
        <v>447000</v>
      </c>
      <c r="N105" s="126" t="s">
        <v>1191</v>
      </c>
      <c r="O105" s="126">
        <v>862</v>
      </c>
      <c r="P105" s="126" t="s">
        <v>104</v>
      </c>
      <c r="Q105" s="126" t="s">
        <v>1204</v>
      </c>
      <c r="R105" s="126" t="s">
        <v>24</v>
      </c>
      <c r="S105" s="126" t="s">
        <v>1202</v>
      </c>
    </row>
    <row r="106" spans="1:22" s="23" customFormat="1" ht="15" hidden="1" customHeight="1" ns3:dyDescent="0.25">
      <c r="A106" s="25" t="s">
        <v>22</v>
      </c>
      <c r="B106" s="25" t="str">
        <f t="shared" si="12"/>
      </c>
      <c r="C106" s="126" t="s">
        <v>1185</v>
      </c>
      <c r="D106" s="126" t="s">
        <v>106</v>
      </c>
      <c r="E106" s="126" t="s">
        <v>120</v>
      </c>
      <c r="F106" s="126" t="s">
        <v>1563</v>
      </c>
      <c r="G106" s="126" t="s">
        <v>117</v>
      </c>
      <c r="H106" s="126" t="str">
        <f>IFERROR(VLOOKUP(#REF!106,'정보화기기 명부'!A$2:B$187,2,FALSE),"")</f>
        <v/>
      </c>
      <c r="I106" s="127" t="str">
        <f>IFERROR(VLOOKUP(#REF!106,'학생용 IP'!$C$11:$H$326,5,FALSE),"")</f>
        <v/>
      </c>
      <c r="J106" s="126"/>
      <c r="K106" s="126"/>
      <c r="L106" s="176">
        <v>20201021</v>
      </c>
      <c r="M106" s="127">
        <v>447000</v>
      </c>
      <c r="N106" s="126" t="s">
        <v>1191</v>
      </c>
      <c r="O106" s="126">
        <v>861</v>
      </c>
      <c r="P106" s="126" t="s">
        <v>104</v>
      </c>
      <c r="Q106" s="126" t="s">
        <v>1204</v>
      </c>
      <c r="R106" s="126" t="s">
        <v>24</v>
      </c>
      <c r="S106" s="126" t="s">
        <v>1202</v>
      </c>
    </row>
    <row r="107" spans="1:22" s="23" customFormat="1" ht="12.65" hidden="1" customHeight="1" ns3:dyDescent="0.25">
      <c r="A107" s="25" t="s">
        <v>22</v>
      </c>
      <c r="B107" s="25" t="str">
        <f t="shared" si="12"/>
      </c>
      <c r="C107" s="126" t="s">
        <v>1185</v>
      </c>
      <c r="D107" s="126" t="s">
        <v>106</v>
      </c>
      <c r="E107" s="126" t="s">
        <v>120</v>
      </c>
      <c r="F107" s="126" t="s">
        <v>1563</v>
      </c>
      <c r="G107" s="126" t="s">
        <v>117</v>
      </c>
      <c r="H107" s="126" t="str">
        <f>IFERROR(VLOOKUP(#REF!107,'정보화기기 명부'!A$2:B$187,2,FALSE),"")</f>
        <v/>
      </c>
      <c r="I107" s="127" t="str">
        <f>IFERROR(VLOOKUP(#REF!107,'학생용 IP'!$C$11:$H$326,5,FALSE),"")</f>
        <v/>
      </c>
      <c r="J107" s="126"/>
      <c r="K107" s="126"/>
      <c r="L107" s="176">
        <v>20201021</v>
      </c>
      <c r="M107" s="127">
        <v>447000</v>
      </c>
      <c r="N107" s="126" t="s">
        <v>1191</v>
      </c>
      <c r="O107" s="126">
        <v>860</v>
      </c>
      <c r="P107" s="126" t="s">
        <v>104</v>
      </c>
      <c r="Q107" s="126" t="s">
        <v>1204</v>
      </c>
      <c r="R107" s="126" t="s">
        <v>24</v>
      </c>
      <c r="S107" s="126" t="s">
        <v>1202</v>
      </c>
    </row>
    <row r="108" spans="1:22" s="23" customFormat="1" ht="16.25" hidden="1" customHeight="1" ns3:dyDescent="0.25">
      <c r="A108" s="25" t="s">
        <v>22</v>
      </c>
      <c r="B108" s="25" t="str">
        <f t="shared" si="12"/>
      </c>
      <c r="C108" s="126" t="s">
        <v>1185</v>
      </c>
      <c r="D108" s="126" t="s">
        <v>106</v>
      </c>
      <c r="E108" s="126" t="s">
        <v>120</v>
      </c>
      <c r="F108" s="126" t="s">
        <v>1563</v>
      </c>
      <c r="G108" s="126" t="s">
        <v>117</v>
      </c>
      <c r="H108" s="126" t="str">
        <f>IFERROR(VLOOKUP(#REF!108,'정보화기기 명부'!A$2:B$187,2,FALSE),"")</f>
        <v/>
      </c>
      <c r="I108" s="127" t="str">
        <f>IFERROR(VLOOKUP(#REF!108,'학생용 IP'!$C$11:$H$326,5,FALSE),"")</f>
        <v/>
      </c>
      <c r="J108" s="126"/>
      <c r="K108" s="126"/>
      <c r="L108" s="176">
        <v>20201021</v>
      </c>
      <c r="M108" s="127">
        <v>447000</v>
      </c>
      <c r="N108" s="126" t="s">
        <v>1191</v>
      </c>
      <c r="O108" s="126">
        <v>859</v>
      </c>
      <c r="P108" s="126" t="s">
        <v>104</v>
      </c>
      <c r="Q108" s="126" t="s">
        <v>1204</v>
      </c>
      <c r="R108" s="126" t="s">
        <v>24</v>
      </c>
      <c r="S108" s="126" t="s">
        <v>1202</v>
      </c>
    </row>
    <row r="109" spans="1:22" s="23" customFormat="1" ht="19.75" hidden="1" customHeight="1" ns3:dyDescent="0.25">
      <c r="A109" s="25" t="s">
        <v>22</v>
      </c>
      <c r="B109" s="25" t="str">
        <f t="shared" si="12"/>
      </c>
      <c r="C109" s="126" t="s">
        <v>1185</v>
      </c>
      <c r="D109" s="126" t="s">
        <v>106</v>
      </c>
      <c r="E109" s="126" t="s">
        <v>120</v>
      </c>
      <c r="F109" s="126" t="s">
        <v>1563</v>
      </c>
      <c r="G109" s="126" t="s">
        <v>117</v>
      </c>
      <c r="H109" s="126" t="str">
        <f>IFERROR(VLOOKUP(#REF!109,'정보화기기 명부'!A$2:B$187,2,FALSE),"")</f>
        <v/>
      </c>
      <c r="I109" s="127" t="str">
        <f>IFERROR(VLOOKUP(#REF!109,'학생용 IP'!$C$11:$H$326,5,FALSE),"")</f>
        <v/>
      </c>
      <c r="J109" s="126"/>
      <c r="K109" s="126"/>
      <c r="L109" s="176">
        <v>20201021</v>
      </c>
      <c r="M109" s="127">
        <v>447000</v>
      </c>
      <c r="N109" s="126" t="s">
        <v>1191</v>
      </c>
      <c r="O109" s="126">
        <v>858</v>
      </c>
      <c r="P109" s="126" t="s">
        <v>104</v>
      </c>
      <c r="Q109" s="126" t="s">
        <v>1204</v>
      </c>
      <c r="R109" s="126" t="s">
        <v>24</v>
      </c>
      <c r="S109" s="126" t="s">
        <v>1202</v>
      </c>
    </row>
    <row r="110" spans="1:22" s="23" customFormat="1" ht="18.649999999999999" hidden="1" customHeight="1" ns3:dyDescent="0.25">
      <c r="A110" s="25" t="s">
        <v>22</v>
      </c>
      <c r="B110" s="25" t="str">
        <f t="shared" si="12"/>
      </c>
      <c r="C110" s="126" t="s">
        <v>1185</v>
      </c>
      <c r="D110" s="126" t="s">
        <v>106</v>
      </c>
      <c r="E110" s="126" t="s">
        <v>120</v>
      </c>
      <c r="F110" s="126" t="s">
        <v>1563</v>
      </c>
      <c r="G110" s="126" t="s">
        <v>117</v>
      </c>
      <c r="H110" s="126" t="str">
        <f>IFERROR(VLOOKUP(#REF!110,'정보화기기 명부'!A$2:B$187,2,FALSE),"")</f>
        <v/>
      </c>
      <c r="I110" s="127" t="str">
        <f>IFERROR(VLOOKUP(#REF!110,'학생용 IP'!$C$11:$H$326,5,FALSE),"")</f>
        <v/>
      </c>
      <c r="J110" s="126"/>
      <c r="K110" s="126"/>
      <c r="L110" s="176">
        <v>20201021</v>
      </c>
      <c r="M110" s="127">
        <v>447000</v>
      </c>
      <c r="N110" s="126" t="s">
        <v>1191</v>
      </c>
      <c r="O110" s="126">
        <v>857</v>
      </c>
      <c r="P110" s="126" t="s">
        <v>104</v>
      </c>
      <c r="Q110" s="126" t="s">
        <v>1204</v>
      </c>
      <c r="R110" s="126" t="s">
        <v>24</v>
      </c>
      <c r="S110" s="126" t="s">
        <v>1202</v>
      </c>
    </row>
    <row r="111" spans="1:22" s="23" customFormat="1" ht="28.25" hidden="1" customHeight="1" ns3:dyDescent="0.25">
      <c r="A111" s="25" t="s">
        <v>22</v>
      </c>
      <c r="B111" s="25" t="str">
        <f t="shared" si="12"/>
      </c>
      <c r="C111" s="126" t="s">
        <v>1185</v>
      </c>
      <c r="D111" s="126" t="s">
        <v>106</v>
      </c>
      <c r="E111" s="126" t="s">
        <v>120</v>
      </c>
      <c r="F111" s="126" t="s">
        <v>1563</v>
      </c>
      <c r="G111" s="126" t="s">
        <v>117</v>
      </c>
      <c r="H111" s="126" t="str">
        <f>IFERROR(VLOOKUP(#REF!111,'정보화기기 명부'!A$2:B$187,2,FALSE),"")</f>
        <v/>
      </c>
      <c r="I111" s="127" t="str">
        <f>IFERROR(VLOOKUP(#REF!111,'학생용 IP'!$C$11:$H$326,5,FALSE),"")</f>
        <v/>
      </c>
      <c r="J111" s="126"/>
      <c r="K111" s="126"/>
      <c r="L111" s="176">
        <v>20201021</v>
      </c>
      <c r="M111" s="127">
        <v>447000</v>
      </c>
      <c r="N111" s="126" t="s">
        <v>1191</v>
      </c>
      <c r="O111" s="126">
        <v>856</v>
      </c>
      <c r="P111" s="126" t="s">
        <v>104</v>
      </c>
      <c r="Q111" s="126" t="s">
        <v>1204</v>
      </c>
      <c r="R111" s="126" t="s">
        <v>24</v>
      </c>
      <c r="S111" s="126" t="s">
        <v>1202</v>
      </c>
    </row>
    <row r="112" spans="1:22" s="23" customFormat="1" ht="12.65" hidden="1" customHeight="1" ns3:dyDescent="0.25">
      <c r="A112" s="25" t="s">
        <v>22</v>
      </c>
      <c r="B112" s="25" t="str">
        <f t="shared" si="12"/>
      </c>
      <c r="C112" s="126" t="s">
        <v>1185</v>
      </c>
      <c r="D112" s="126" t="s">
        <v>106</v>
      </c>
      <c r="E112" s="126" t="s">
        <v>120</v>
      </c>
      <c r="F112" s="126" t="s">
        <v>1563</v>
      </c>
      <c r="G112" s="126" t="s">
        <v>117</v>
      </c>
      <c r="H112" s="126" t="str">
        <f>IFERROR(VLOOKUP(#REF!112,'정보화기기 명부'!A$2:B$187,2,FALSE),"")</f>
        <v/>
      </c>
      <c r="I112" s="127" t="str">
        <f>IFERROR(VLOOKUP(#REF!112,'학생용 IP'!$C$11:$H$326,5,FALSE),"")</f>
        <v/>
      </c>
      <c r="J112" s="126"/>
      <c r="K112" s="126"/>
      <c r="L112" s="176">
        <v>20201021</v>
      </c>
      <c r="M112" s="127">
        <v>447000</v>
      </c>
      <c r="N112" s="126" t="s">
        <v>1191</v>
      </c>
      <c r="O112" s="126">
        <v>855</v>
      </c>
      <c r="P112" s="126" t="s">
        <v>104</v>
      </c>
      <c r="Q112" s="126" t="s">
        <v>1204</v>
      </c>
      <c r="R112" s="126" t="s">
        <v>24</v>
      </c>
      <c r="S112" s="126" t="s">
        <v>1202</v>
      </c>
    </row>
    <row r="113" spans="1:22" s="23" customFormat="1" ht="7.25" hidden="1" customHeight="1" ns3:dyDescent="0.25">
      <c r="A113" s="25" t="s">
        <v>1195</v>
      </c>
      <c r="B113" s="25" t="str">
        <f t="shared" si="12"/>
      </c>
      <c r="C113" s="126" t="s">
        <v>1147</v>
      </c>
      <c r="D113" s="126" t="s">
        <v>106</v>
      </c>
      <c r="E113" s="126" t="s">
        <v>55</v>
      </c>
      <c r="F113" s="126" t="s">
        <v>12</v>
      </c>
      <c r="G113" s="126" t="s">
        <v>12</v>
      </c>
      <c r="H113" s="126" t="str">
        <f>IFERROR(VLOOKUP(#REF!113,'정보화기기 명부'!A$2:B$187,2,FALSE),"")</f>
        <v>방송실</v>
      </c>
      <c r="I113" s="193" t="str">
        <f>IFERROR(VLOOKUP(#REF!113,'학생용 IP'!$C$11:$H$326,5,FALSE),"")</f>
        <v>10.54.36.102</v>
      </c>
      <c r="J113" s="126"/>
      <c r="K113" s="126"/>
      <c r="L113" s="177">
        <v>20200925</v>
      </c>
      <c r="M113" s="127">
        <v>915000</v>
      </c>
      <c r="N113" s="126" t="s">
        <v>1191</v>
      </c>
      <c r="O113" s="126">
        <v>854</v>
      </c>
      <c r="P113" s="126" t="s">
        <v>1401</v>
      </c>
      <c r="Q113" s="126" t="s">
        <v>1190</v>
      </c>
      <c r="R113" s="126" t="s">
        <v>1194</v>
      </c>
      <c r="S113" s="126" t="s">
        <v>29</v>
      </c>
    </row>
    <row r="114" spans="1:22" s="23" customFormat="1" ht="16.75" customHeight="1" ns3:dyDescent="0.25">
      <c r="A114" s="289" t="s">
        <v>396</v>
      </c>
      <c r="B114" s="25" t="str">
        <f t="shared" ref="B114:B177" si="15">LEFT(L114,6)&amp;"-"&amp;TEXT(O114,"0000")</f>
      </c>
      <c r="C114" s="126" t="s">
        <v>1147</v>
      </c>
      <c r="D114" s="126" t="s">
        <v>106</v>
      </c>
      <c r="E114" s="126" t="s">
        <v>120</v>
      </c>
      <c r="F114" s="126" t="s">
        <v>1777</v>
      </c>
      <c r="G114" s="126" t="s">
        <v>1173</v>
      </c>
      <c r="H114" s="126" t="str">
        <f>IFERROR(VLOOKUP(#REF!114,'정보화기기 명부'!A$2:B$187,2,FALSE),"")</f>
        <v>Wee클래스</v>
      </c>
      <c r="I114" s="126" t="str">
        <f>IFERROR(VLOOKUP(#REF!114,'교직원용 IP'!$C$2:$H$230,6,FALSE),"")</f>
        <v>10.51.90.117</v>
      </c>
      <c r="J114" s="126"/>
      <c r="K114" s="126"/>
      <c r="L114" s="176">
        <v>20250708</v>
      </c>
      <c r="M114" s="127">
        <v>897100</v>
      </c>
      <c r="N114" s="126" t="s">
        <v>1186</v>
      </c>
      <c r="O114" s="126">
        <v>853</v>
      </c>
      <c r="P114" s="126" t="s">
        <v>1400</v>
      </c>
      <c r="Q114" s="126" t="s">
        <v>1580</v>
      </c>
      <c r="R114" s="126"/>
      <c r="S114" s="126" t="s">
        <v>1215</v>
      </c>
    </row>
    <row r="115" spans="1:22" s="23" customFormat="1" ht="15" customHeight="1" ns3:dyDescent="0.25">
      <c r="A115" s="219" t="s">
        <v>1788</v>
      </c>
      <c r="B115" s="219" t="str">
        <f t="shared" si="15"/>
      </c>
      <c r="C115" s="220" t="s">
        <v>102</v>
      </c>
      <c r="D115" s="220" t="s">
        <v>106</v>
      </c>
      <c r="E115" s="220" t="s">
        <v>120</v>
      </c>
      <c r="F115" s="220" t="s">
        <v>1280</v>
      </c>
      <c r="G115" s="220" t="s">
        <v>117</v>
      </c>
      <c r="H115" s="220" t="str">
        <f>IFERROR(VLOOKUP(#REF!115,'정보화기기 명부'!A$2:B$187,2,FALSE),"")</f>
        <v/>
      </c>
      <c r="I115" s="220" t="str">
        <f>IFERROR(VLOOKUP(#REF!115,'교직원용 IP'!$C$2:$H$230,6,FALSE),"")</f>
        <v/>
      </c>
      <c r="J115" s="220"/>
      <c r="K115" s="220"/>
      <c r="L115" s="220">
        <v>20200901</v>
      </c>
      <c r="M115" s="286">
        <v>820000</v>
      </c>
      <c r="N115" s="220" t="s">
        <v>1186</v>
      </c>
      <c r="O115" s="126">
        <v>852</v>
      </c>
      <c r="P115" s="126" t="s">
        <v>1401</v>
      </c>
      <c r="Q115" s="126" t="s">
        <v>1187</v>
      </c>
      <c r="R115" s="126" t="s">
        <v>54</v>
      </c>
      <c r="S115" s="126" t="s">
        <v>1214</v>
      </c>
    </row>
    <row r="116" spans="1:22" s="23" customFormat="1" ht="15" customHeight="1" ns3:dyDescent="0.25">
      <c r="A116" s="90" t="s">
        <v>1774</v>
      </c>
      <c r="B116" s="90" t="str">
        <f t="shared" si="15"/>
      </c>
      <c r="C116" s="193" t="s">
        <v>102</v>
      </c>
      <c r="D116" s="193" t="s">
        <v>106</v>
      </c>
      <c r="E116" s="193" t="s">
        <v>120</v>
      </c>
      <c r="F116" s="193" t="s">
        <v>1280</v>
      </c>
      <c r="G116" s="193" t="s">
        <v>117</v>
      </c>
      <c r="H116" s="193" t="str">
        <f>IFERROR(VLOOKUP(#REF!116,'정보화기기 명부'!A$2:B$187,2,FALSE),"")</f>
        <v/>
      </c>
      <c r="I116" s="193" t="str">
        <f>IFERROR(VLOOKUP(#REF!116,'교직원용 IP'!$C$2:$H$230,6,FALSE),"")</f>
        <v>10.51.90.181</v>
      </c>
      <c r="J116" s="193" t="s">
        <v>1775</v>
      </c>
      <c r="K116" s="193"/>
      <c r="L116" s="193">
        <v>20200901</v>
      </c>
      <c r="M116" s="201">
        <v>820000</v>
      </c>
      <c r="N116" s="193" t="s">
        <v>1186</v>
      </c>
      <c r="O116" s="126">
        <v>851</v>
      </c>
      <c r="P116" s="126" t="s">
        <v>1401</v>
      </c>
      <c r="Q116" s="126" t="s">
        <v>1187</v>
      </c>
      <c r="R116" s="126" t="s">
        <v>54</v>
      </c>
      <c r="S116" s="126" t="s">
        <v>1214</v>
      </c>
    </row>
    <row r="117" spans="1:22" s="23" customFormat="1" ht="15" customHeight="1" ns3:dyDescent="0.25">
      <c r="A117" s="89" t="s">
        <v>860</v>
      </c>
      <c r="B117" s="89" t="str">
        <f t="shared" si="15"/>
      </c>
      <c r="C117" s="126" t="s">
        <v>102</v>
      </c>
      <c r="D117" s="126" t="s">
        <v>106</v>
      </c>
      <c r="E117" s="126" t="s">
        <v>120</v>
      </c>
      <c r="F117" s="126" t="s">
        <v>1280</v>
      </c>
      <c r="G117" s="126" t="s">
        <v>117</v>
      </c>
      <c r="H117" s="126" t="str">
        <f>IFERROR(VLOOKUP(#REF!117,'정보화기기 명부'!A$2:B$187,2,FALSE),"")</f>
        <v/>
      </c>
      <c r="I117" s="126" t="str">
        <f>IFERROR(VLOOKUP(#REF!117,'교직원용 IP'!$C$2:$H$230,6,FALSE),"")</f>
        <v/>
      </c>
      <c r="J117" s="126"/>
      <c r="K117" s="126"/>
      <c r="L117" s="176">
        <v>20200901</v>
      </c>
      <c r="M117" s="127">
        <v>820000</v>
      </c>
      <c r="N117" s="126" t="s">
        <v>1186</v>
      </c>
      <c r="O117" s="126">
        <v>850</v>
      </c>
      <c r="P117" s="126" t="s">
        <v>1401</v>
      </c>
      <c r="Q117" s="126" t="s">
        <v>1187</v>
      </c>
      <c r="R117" s="126" t="s">
        <v>54</v>
      </c>
      <c r="S117" s="126" t="s">
        <v>1214</v>
      </c>
    </row>
    <row r="118" spans="1:22" s="23" customFormat="1" ht="15" customHeight="1" ns3:dyDescent="0.25">
      <c r="A118" s="219" t="s">
        <v>1793</v>
      </c>
      <c r="B118" s="219" t="str">
        <f t="shared" si="15"/>
      </c>
      <c r="C118" s="220" t="s">
        <v>102</v>
      </c>
      <c r="D118" s="220" t="s">
        <v>106</v>
      </c>
      <c r="E118" s="220" t="s">
        <v>120</v>
      </c>
      <c r="F118" s="220" t="s">
        <v>1280</v>
      </c>
      <c r="G118" s="220" t="s">
        <v>117</v>
      </c>
      <c r="H118" s="220" t="str">
        <f>IFERROR(VLOOKUP(#REF!118,'정보화기기 명부'!A$2:B$187,2,FALSE),"")</f>
        <v/>
      </c>
      <c r="I118" s="220" t="str">
        <f>IFERROR(VLOOKUP(#REF!118,'교직원용 IP'!$C$2:$H$230,6,FALSE),"")</f>
        <v/>
      </c>
      <c r="J118" s="220"/>
      <c r="K118" s="220"/>
      <c r="L118" s="220">
        <v>20200901</v>
      </c>
      <c r="M118" s="286">
        <v>820000</v>
      </c>
      <c r="N118" s="220" t="s">
        <v>1186</v>
      </c>
      <c r="O118" s="126">
        <v>849</v>
      </c>
      <c r="P118" s="126" t="s">
        <v>1401</v>
      </c>
      <c r="Q118" s="126" t="s">
        <v>1187</v>
      </c>
      <c r="R118" s="126" t="s">
        <v>54</v>
      </c>
      <c r="S118" s="126" t="s">
        <v>1214</v>
      </c>
    </row>
    <row r="119" spans="1:22" s="23" customFormat="1" ht="14.4" customHeight="1" ns3:dyDescent="0.25">
      <c r="A119" s="313" t="s">
        <v>1787</v>
      </c>
      <c r="B119" s="219" t="str">
        <f t="shared" si="15"/>
      </c>
      <c r="C119" s="220" t="s">
        <v>102</v>
      </c>
      <c r="D119" s="220" t="s">
        <v>106</v>
      </c>
      <c r="E119" s="220" t="s">
        <v>120</v>
      </c>
      <c r="F119" s="220">
        <v>0</v>
      </c>
      <c r="G119" s="220" t="s">
        <v>117</v>
      </c>
      <c r="H119" s="314"/>
      <c r="I119" s="220" t="str">
        <f>IFERROR(VLOOKUP(#REF!119,'교직원용 IP'!$C$2:$H$230,6,FALSE),"")</f>
        <v/>
      </c>
      <c r="J119" s="220"/>
      <c r="K119" s="220"/>
      <c r="L119" s="220">
        <v>20200901</v>
      </c>
      <c r="M119" s="286">
        <v>820000</v>
      </c>
      <c r="N119" s="220" t="s">
        <v>1186</v>
      </c>
      <c r="O119" s="126">
        <v>848</v>
      </c>
      <c r="P119" s="126" t="s">
        <v>1401</v>
      </c>
      <c r="Q119" s="126" t="s">
        <v>1187</v>
      </c>
      <c r="R119" s="126" t="s">
        <v>54</v>
      </c>
      <c r="S119" s="126" t="s">
        <v>1214</v>
      </c>
    </row>
    <row r="120" spans="1:22" s="23" customFormat="1" ht="16.75" hidden="1" customHeight="1" ns3:dyDescent="0.25">
      <c r="A120" s="25" t="s">
        <v>1396</v>
      </c>
      <c r="B120" s="25" t="str">
        <f t="shared" si="15"/>
      </c>
      <c r="C120" s="126" t="s">
        <v>1147</v>
      </c>
      <c r="D120" s="126" t="s">
        <v>106</v>
      </c>
      <c r="E120" s="126" t="s">
        <v>55</v>
      </c>
      <c r="F120" s="126" t="s">
        <v>1659</v>
      </c>
      <c r="G120" s="126" t="s">
        <v>1209</v>
      </c>
      <c r="H120" s="126" t="s">
        <v>1172</v>
      </c>
      <c r="I120" s="201" t="str">
        <f>IFERROR(VLOOKUP(#REF!120,'학생용 IP'!$C$11:$H$326,5,FALSE),"")</f>
        <v>10.54.37.131</v>
      </c>
      <c r="J120" s="126" t="s">
        <v>1380</v>
      </c>
      <c r="K120" s="126"/>
      <c r="L120" s="176">
        <v>20200717</v>
      </c>
      <c r="M120" s="127">
        <v>870000</v>
      </c>
      <c r="N120" s="126" t="s">
        <v>1193</v>
      </c>
      <c r="O120" s="126">
        <v>847</v>
      </c>
      <c r="P120" s="126" t="s">
        <v>1401</v>
      </c>
      <c r="Q120" s="126" t="s">
        <v>1218</v>
      </c>
      <c r="R120" s="126" t="s">
        <v>54</v>
      </c>
      <c r="S120" s="126" t="s">
        <v>1171</v>
      </c>
    </row>
    <row r="121" spans="1:22" s="23" customFormat="1" ht="10.75" hidden="1" customHeight="1" ns3:dyDescent="0.25">
      <c r="A121" s="25" t="s">
        <v>1408</v>
      </c>
      <c r="B121" s="25" t="str">
        <f t="shared" si="15"/>
      </c>
      <c r="C121" s="126" t="s">
        <v>1147</v>
      </c>
      <c r="D121" s="126" t="s">
        <v>106</v>
      </c>
      <c r="E121" s="126" t="s">
        <v>55</v>
      </c>
      <c r="F121" s="126" t="s">
        <v>1659</v>
      </c>
      <c r="G121" s="126" t="s">
        <v>1209</v>
      </c>
      <c r="H121" s="126" t="s">
        <v>1172</v>
      </c>
      <c r="I121" s="201" t="str">
        <f>IFERROR(VLOOKUP(#REF!121,'학생용 IP'!$C$11:$H$326,5,FALSE),"")</f>
        <v>10.54.37.130</v>
      </c>
      <c r="J121" s="126" t="s">
        <v>1380</v>
      </c>
      <c r="K121" s="126"/>
      <c r="L121" s="176">
        <v>20200717</v>
      </c>
      <c r="M121" s="127">
        <v>870000</v>
      </c>
      <c r="N121" s="126" t="s">
        <v>1193</v>
      </c>
      <c r="O121" s="126">
        <v>846</v>
      </c>
      <c r="P121" s="126" t="s">
        <v>1401</v>
      </c>
      <c r="Q121" s="126" t="s">
        <v>1218</v>
      </c>
      <c r="R121" s="126" t="s">
        <v>54</v>
      </c>
      <c r="S121" s="126" t="s">
        <v>1171</v>
      </c>
    </row>
    <row r="122" spans="1:22" s="23" customFormat="1" ht="12.65" hidden="1" customHeight="1" ns3:dyDescent="0.25">
      <c r="A122" s="25" t="s">
        <v>1404</v>
      </c>
      <c r="B122" s="25" t="str">
        <f t="shared" si="15"/>
      </c>
      <c r="C122" s="126" t="s">
        <v>1147</v>
      </c>
      <c r="D122" s="126" t="s">
        <v>106</v>
      </c>
      <c r="E122" s="126" t="s">
        <v>55</v>
      </c>
      <c r="F122" s="126" t="s">
        <v>1659</v>
      </c>
      <c r="G122" s="126" t="s">
        <v>1209</v>
      </c>
      <c r="H122" s="126" t="s">
        <v>1172</v>
      </c>
      <c r="I122" s="201" t="str">
        <f>IFERROR(VLOOKUP(#REF!122,'학생용 IP'!$C$11:$H$326,5,FALSE),"")</f>
        <v>10.54.37.129</v>
      </c>
      <c r="J122" s="126" t="s">
        <v>1380</v>
      </c>
      <c r="K122" s="126"/>
      <c r="L122" s="176">
        <v>20200717</v>
      </c>
      <c r="M122" s="127">
        <v>870000</v>
      </c>
      <c r="N122" s="126" t="s">
        <v>1193</v>
      </c>
      <c r="O122" s="126">
        <v>845</v>
      </c>
      <c r="P122" s="126" t="s">
        <v>1401</v>
      </c>
      <c r="Q122" s="126" t="s">
        <v>1218</v>
      </c>
      <c r="R122" s="126" t="s">
        <v>54</v>
      </c>
      <c r="S122" s="126" t="s">
        <v>1171</v>
      </c>
    </row>
    <row r="123" spans="1:22" s="23" customFormat="1" ht="12" hidden="1" customHeight="1" ns3:dyDescent="0.25">
      <c r="A123" s="25" t="s">
        <v>1413</v>
      </c>
      <c r="B123" s="25" t="str">
        <f t="shared" si="15"/>
      </c>
      <c r="C123" s="126" t="s">
        <v>1147</v>
      </c>
      <c r="D123" s="126" t="s">
        <v>106</v>
      </c>
      <c r="E123" s="126" t="s">
        <v>55</v>
      </c>
      <c r="F123" s="126" t="s">
        <v>1659</v>
      </c>
      <c r="G123" s="126" t="s">
        <v>1209</v>
      </c>
      <c r="H123" s="126" t="s">
        <v>1172</v>
      </c>
      <c r="I123" s="201" t="str">
        <f>IFERROR(VLOOKUP(#REF!123,'학생용 IP'!$C$11:$H$326,5,FALSE),"")</f>
        <v>10.54.37.128</v>
      </c>
      <c r="J123" s="126" t="s">
        <v>1380</v>
      </c>
      <c r="K123" s="126"/>
      <c r="L123" s="176">
        <v>20200717</v>
      </c>
      <c r="M123" s="127">
        <v>870000</v>
      </c>
      <c r="N123" s="126" t="s">
        <v>1193</v>
      </c>
      <c r="O123" s="126">
        <v>844</v>
      </c>
      <c r="P123" s="126" t="s">
        <v>1401</v>
      </c>
      <c r="Q123" s="126" t="s">
        <v>1218</v>
      </c>
      <c r="R123" s="126" t="s">
        <v>54</v>
      </c>
      <c r="S123" s="126" t="s">
        <v>1171</v>
      </c>
    </row>
    <row r="124" spans="1:22" s="23" customFormat="1" ht="13.25" hidden="1" customHeight="1" ns3:dyDescent="0.25">
      <c r="A124" s="25" t="s">
        <v>1424</v>
      </c>
      <c r="B124" s="25" t="str">
        <f t="shared" si="15"/>
      </c>
      <c r="C124" s="126" t="s">
        <v>1147</v>
      </c>
      <c r="D124" s="126" t="s">
        <v>106</v>
      </c>
      <c r="E124" s="126" t="s">
        <v>55</v>
      </c>
      <c r="F124" s="126" t="s">
        <v>1659</v>
      </c>
      <c r="G124" s="126" t="s">
        <v>1209</v>
      </c>
      <c r="H124" s="126" t="s">
        <v>1172</v>
      </c>
      <c r="I124" s="201" t="str">
        <f>IFERROR(VLOOKUP(#REF!124,'학생용 IP'!$C$11:$H$326,5,FALSE),"")</f>
        <v>10.54.37.127</v>
      </c>
      <c r="J124" s="126" t="s">
        <v>1380</v>
      </c>
      <c r="K124" s="126"/>
      <c r="L124" s="176">
        <v>20200717</v>
      </c>
      <c r="M124" s="127">
        <v>870000</v>
      </c>
      <c r="N124" s="126" t="s">
        <v>1193</v>
      </c>
      <c r="O124" s="126">
        <v>843</v>
      </c>
      <c r="P124" s="126" t="s">
        <v>1401</v>
      </c>
      <c r="Q124" s="126" t="s">
        <v>1218</v>
      </c>
      <c r="R124" s="126" t="s">
        <v>54</v>
      </c>
      <c r="S124" s="126" t="s">
        <v>1171</v>
      </c>
    </row>
    <row r="125" spans="1:22" s="23" customFormat="1" ht="11.4" hidden="1" customHeight="1" ns3:dyDescent="0.25">
      <c r="A125" s="25" t="s">
        <v>1411</v>
      </c>
      <c r="B125" s="25" t="str">
        <f t="shared" si="15"/>
      </c>
      <c r="C125" s="126" t="s">
        <v>1147</v>
      </c>
      <c r="D125" s="126" t="s">
        <v>106</v>
      </c>
      <c r="E125" s="126" t="s">
        <v>55</v>
      </c>
      <c r="F125" s="126" t="s">
        <v>1659</v>
      </c>
      <c r="G125" s="126" t="s">
        <v>1209</v>
      </c>
      <c r="H125" s="126" t="s">
        <v>1172</v>
      </c>
      <c r="I125" s="201" t="str">
        <f>IFERROR(VLOOKUP(#REF!125,'학생용 IP'!$C$11:$H$326,5,FALSE),"")</f>
        <v>10.54.37.126</v>
      </c>
      <c r="J125" s="126" t="s">
        <v>1380</v>
      </c>
      <c r="K125" s="126"/>
      <c r="L125" s="176">
        <v>20200717</v>
      </c>
      <c r="M125" s="127">
        <v>870000</v>
      </c>
      <c r="N125" s="126" t="s">
        <v>1193</v>
      </c>
      <c r="O125" s="126">
        <v>842</v>
      </c>
      <c r="P125" s="126" t="s">
        <v>1401</v>
      </c>
      <c r="Q125" s="126" t="s">
        <v>1218</v>
      </c>
      <c r="R125" s="126" t="s">
        <v>54</v>
      </c>
      <c r="S125" s="126" t="s">
        <v>1171</v>
      </c>
    </row>
    <row r="126" spans="1:22" s="23" customFormat="1" ht="16.75" hidden="1" customHeight="1" ns3:dyDescent="0.25">
      <c r="A126" s="25" t="s">
        <v>1407</v>
      </c>
      <c r="B126" s="25" t="str">
        <f t="shared" si="15"/>
      </c>
      <c r="C126" s="126" t="s">
        <v>1147</v>
      </c>
      <c r="D126" s="126" t="s">
        <v>106</v>
      </c>
      <c r="E126" s="126" t="s">
        <v>55</v>
      </c>
      <c r="F126" s="126" t="s">
        <v>1659</v>
      </c>
      <c r="G126" s="126" t="s">
        <v>1209</v>
      </c>
      <c r="H126" s="126" t="s">
        <v>1172</v>
      </c>
      <c r="I126" s="201" t="str">
        <f>IFERROR(VLOOKUP(#REF!126,'학생용 IP'!$C$11:$H$326,5,FALSE),"")</f>
        <v>10.54.37.125</v>
      </c>
      <c r="J126" s="126" t="s">
        <v>1380</v>
      </c>
      <c r="K126" s="126"/>
      <c r="L126" s="176">
        <v>20200717</v>
      </c>
      <c r="M126" s="127">
        <v>870000</v>
      </c>
      <c r="N126" s="126" t="s">
        <v>1193</v>
      </c>
      <c r="O126" s="126">
        <v>841</v>
      </c>
      <c r="P126" s="126" t="s">
        <v>1401</v>
      </c>
      <c r="Q126" s="126" t="s">
        <v>1218</v>
      </c>
      <c r="R126" s="126" t="s">
        <v>54</v>
      </c>
      <c r="S126" s="126" t="s">
        <v>1171</v>
      </c>
    </row>
    <row r="127" spans="1:22" s="23" customFormat="1" ht="14.4" hidden="1" customHeight="1" ns3:dyDescent="0.25">
      <c r="A127" s="25" t="s">
        <v>1405</v>
      </c>
      <c r="B127" s="25" t="str">
        <f t="shared" si="15"/>
      </c>
      <c r="C127" s="126" t="s">
        <v>1147</v>
      </c>
      <c r="D127" s="126" t="s">
        <v>106</v>
      </c>
      <c r="E127" s="126" t="s">
        <v>55</v>
      </c>
      <c r="F127" s="126" t="s">
        <v>1659</v>
      </c>
      <c r="G127" s="126" t="s">
        <v>1209</v>
      </c>
      <c r="H127" s="126" t="s">
        <v>1172</v>
      </c>
      <c r="I127" s="201" t="str">
        <f>IFERROR(VLOOKUP(#REF!127,'학생용 IP'!$C$11:$H$326,5,FALSE),"")</f>
        <v>10.54.37.124</v>
      </c>
      <c r="J127" s="126" t="s">
        <v>1380</v>
      </c>
      <c r="K127" s="126"/>
      <c r="L127" s="176">
        <v>20200717</v>
      </c>
      <c r="M127" s="127">
        <v>870000</v>
      </c>
      <c r="N127" s="126" t="s">
        <v>1193</v>
      </c>
      <c r="O127" s="126">
        <v>840</v>
      </c>
      <c r="P127" s="126" t="s">
        <v>1401</v>
      </c>
      <c r="Q127" s="126" t="s">
        <v>1218</v>
      </c>
      <c r="R127" s="126" t="s">
        <v>54</v>
      </c>
      <c r="S127" s="126" t="s">
        <v>1171</v>
      </c>
    </row>
    <row r="128" spans="1:22" s="23" customFormat="1" ht="16.25" hidden="1" customHeight="1" ns3:dyDescent="0.25">
      <c r="A128" s="25" t="s">
        <v>1409</v>
      </c>
      <c r="B128" s="25" t="str">
        <f t="shared" si="15"/>
      </c>
      <c r="C128" s="126" t="s">
        <v>1147</v>
      </c>
      <c r="D128" s="126" t="s">
        <v>106</v>
      </c>
      <c r="E128" s="126" t="s">
        <v>55</v>
      </c>
      <c r="F128" s="126" t="s">
        <v>1659</v>
      </c>
      <c r="G128" s="126" t="s">
        <v>1209</v>
      </c>
      <c r="H128" s="126" t="s">
        <v>1172</v>
      </c>
      <c r="I128" s="201" t="str">
        <f>IFERROR(VLOOKUP(#REF!128,'학생용 IP'!$C$11:$H$326,5,FALSE),"")</f>
        <v>10.54.37.123</v>
      </c>
      <c r="J128" s="126" t="s">
        <v>1380</v>
      </c>
      <c r="K128" s="126"/>
      <c r="L128" s="176">
        <v>20200717</v>
      </c>
      <c r="M128" s="127">
        <v>870000</v>
      </c>
      <c r="N128" s="126" t="s">
        <v>1193</v>
      </c>
      <c r="O128" s="126">
        <v>839</v>
      </c>
      <c r="P128" s="126" t="s">
        <v>1401</v>
      </c>
      <c r="Q128" s="126" t="s">
        <v>1218</v>
      </c>
      <c r="R128" s="126" t="s">
        <v>54</v>
      </c>
      <c r="S128" s="126" t="s">
        <v>1171</v>
      </c>
    </row>
    <row r="129" spans="1:22" s="23" customFormat="1" ht="24" hidden="1" customHeight="1" ns3:dyDescent="0.25">
      <c r="A129" s="25" t="s">
        <v>1410</v>
      </c>
      <c r="B129" s="25" t="str">
        <f t="shared" si="15"/>
      </c>
      <c r="C129" s="126" t="s">
        <v>1147</v>
      </c>
      <c r="D129" s="126" t="s">
        <v>106</v>
      </c>
      <c r="E129" s="126" t="s">
        <v>55</v>
      </c>
      <c r="F129" s="126" t="s">
        <v>1659</v>
      </c>
      <c r="G129" s="126" t="s">
        <v>1209</v>
      </c>
      <c r="H129" s="126" t="s">
        <v>1172</v>
      </c>
      <c r="I129" s="201" t="str">
        <f>IFERROR(VLOOKUP(#REF!129,'학생용 IP'!$C$11:$H$326,5,FALSE),"")</f>
        <v>10.54.37.122</v>
      </c>
      <c r="J129" s="126" t="s">
        <v>1380</v>
      </c>
      <c r="K129" s="126"/>
      <c r="L129" s="176">
        <v>20200717</v>
      </c>
      <c r="M129" s="127">
        <v>870000</v>
      </c>
      <c r="N129" s="126" t="s">
        <v>1193</v>
      </c>
      <c r="O129" s="126">
        <v>838</v>
      </c>
      <c r="P129" s="126" t="s">
        <v>1401</v>
      </c>
      <c r="Q129" s="126" t="s">
        <v>1218</v>
      </c>
      <c r="R129" s="126" t="s">
        <v>54</v>
      </c>
      <c r="S129" s="126" t="s">
        <v>1171</v>
      </c>
    </row>
    <row r="130" spans="1:22" s="23" customFormat="1" ht="7.75" hidden="1" customHeight="1" ns3:dyDescent="0.25">
      <c r="A130" s="25" t="s">
        <v>1433</v>
      </c>
      <c r="B130" s="25" t="str">
        <f t="shared" si="15"/>
      </c>
      <c r="C130" s="126" t="s">
        <v>1147</v>
      </c>
      <c r="D130" s="126" t="s">
        <v>106</v>
      </c>
      <c r="E130" s="126" t="s">
        <v>55</v>
      </c>
      <c r="F130" s="126" t="s">
        <v>1659</v>
      </c>
      <c r="G130" s="126" t="s">
        <v>1209</v>
      </c>
      <c r="H130" s="126" t="s">
        <v>1172</v>
      </c>
      <c r="I130" s="201" t="str">
        <f>IFERROR(VLOOKUP(#REF!130,'학생용 IP'!$C$11:$H$326,5,FALSE),"")</f>
        <v>10.54.37.121</v>
      </c>
      <c r="J130" s="126" t="s">
        <v>1380</v>
      </c>
      <c r="K130" s="126"/>
      <c r="L130" s="176">
        <v>20200717</v>
      </c>
      <c r="M130" s="127">
        <v>870000</v>
      </c>
      <c r="N130" s="126" t="s">
        <v>1193</v>
      </c>
      <c r="O130" s="126">
        <v>837</v>
      </c>
      <c r="P130" s="126" t="s">
        <v>1401</v>
      </c>
      <c r="Q130" s="126" t="s">
        <v>1218</v>
      </c>
      <c r="R130" s="126" t="s">
        <v>54</v>
      </c>
      <c r="S130" s="126" t="s">
        <v>1171</v>
      </c>
    </row>
    <row r="131" spans="1:22" s="23" customFormat="1" ht="9" hidden="1" customHeight="1" ns3:dyDescent="0.25">
      <c r="A131" s="25" t="s">
        <v>1425</v>
      </c>
      <c r="B131" s="25" t="str">
        <f t="shared" si="15"/>
      </c>
      <c r="C131" s="126" t="s">
        <v>1147</v>
      </c>
      <c r="D131" s="126" t="s">
        <v>106</v>
      </c>
      <c r="E131" s="126" t="s">
        <v>55</v>
      </c>
      <c r="F131" s="126" t="s">
        <v>1659</v>
      </c>
      <c r="G131" s="126" t="s">
        <v>1209</v>
      </c>
      <c r="H131" s="126" t="s">
        <v>1172</v>
      </c>
      <c r="I131" s="201" t="str">
        <f>IFERROR(VLOOKUP(#REF!131,'학생용 IP'!$C$11:$H$326,5,FALSE),"")</f>
        <v>10.54.37.120</v>
      </c>
      <c r="J131" s="126" t="s">
        <v>1380</v>
      </c>
      <c r="K131" s="126"/>
      <c r="L131" s="176">
        <v>20200717</v>
      </c>
      <c r="M131" s="127">
        <v>870000</v>
      </c>
      <c r="N131" s="126" t="s">
        <v>1193</v>
      </c>
      <c r="O131" s="126">
        <v>836</v>
      </c>
      <c r="P131" s="126" t="s">
        <v>1401</v>
      </c>
      <c r="Q131" s="126" t="s">
        <v>1218</v>
      </c>
      <c r="R131" s="126" t="s">
        <v>54</v>
      </c>
      <c r="S131" s="126" t="s">
        <v>1171</v>
      </c>
    </row>
    <row r="132" spans="1:22" s="23" customFormat="1" ht="12" hidden="1" customHeight="1" ns3:dyDescent="0.25">
      <c r="A132" s="25" t="s">
        <v>1414</v>
      </c>
      <c r="B132" s="25" t="str">
        <f t="shared" si="15"/>
      </c>
      <c r="C132" s="126" t="s">
        <v>1147</v>
      </c>
      <c r="D132" s="126" t="s">
        <v>106</v>
      </c>
      <c r="E132" s="126" t="s">
        <v>55</v>
      </c>
      <c r="F132" s="126" t="s">
        <v>1659</v>
      </c>
      <c r="G132" s="126" t="s">
        <v>1209</v>
      </c>
      <c r="H132" s="126" t="s">
        <v>1172</v>
      </c>
      <c r="I132" s="201" t="str">
        <f>IFERROR(VLOOKUP(#REF!132,'학생용 IP'!$C$11:$H$326,5,FALSE),"")</f>
        <v>10.54.37.119</v>
      </c>
      <c r="J132" s="126" t="s">
        <v>1380</v>
      </c>
      <c r="K132" s="126"/>
      <c r="L132" s="176">
        <v>20200717</v>
      </c>
      <c r="M132" s="127">
        <v>870000</v>
      </c>
      <c r="N132" s="126" t="s">
        <v>1193</v>
      </c>
      <c r="O132" s="126">
        <v>835</v>
      </c>
      <c r="P132" s="126" t="s">
        <v>1401</v>
      </c>
      <c r="Q132" s="126" t="s">
        <v>1218</v>
      </c>
      <c r="R132" s="126" t="s">
        <v>54</v>
      </c>
      <c r="S132" s="126" t="s">
        <v>1171</v>
      </c>
    </row>
    <row r="133" spans="1:22" s="23" customFormat="1" ht="24.65" hidden="1" customHeight="1" ns3:dyDescent="0.25">
      <c r="A133" s="25" t="s">
        <v>1415</v>
      </c>
      <c r="B133" s="25" t="str">
        <f t="shared" si="15"/>
      </c>
      <c r="C133" s="126" t="s">
        <v>1147</v>
      </c>
      <c r="D133" s="126" t="s">
        <v>106</v>
      </c>
      <c r="E133" s="126" t="s">
        <v>55</v>
      </c>
      <c r="F133" s="126" t="s">
        <v>1659</v>
      </c>
      <c r="G133" s="126" t="s">
        <v>1209</v>
      </c>
      <c r="H133" s="126" t="s">
        <v>1172</v>
      </c>
      <c r="I133" s="201" t="str">
        <f>IFERROR(VLOOKUP(#REF!133,'학생용 IP'!$C$11:$H$326,5,FALSE),"")</f>
        <v>10.54.37.118</v>
      </c>
      <c r="J133" s="126" t="s">
        <v>1380</v>
      </c>
      <c r="K133" s="126"/>
      <c r="L133" s="176">
        <v>20200717</v>
      </c>
      <c r="M133" s="127">
        <v>870000</v>
      </c>
      <c r="N133" s="126" t="s">
        <v>1193</v>
      </c>
      <c r="O133" s="126">
        <v>834</v>
      </c>
      <c r="P133" s="126" t="s">
        <v>1401</v>
      </c>
      <c r="Q133" s="126" t="s">
        <v>1218</v>
      </c>
      <c r="R133" s="126" t="s">
        <v>54</v>
      </c>
      <c r="S133" s="126" t="s">
        <v>1171</v>
      </c>
    </row>
    <row r="134" spans="1:22" s="23" customFormat="1" ht="7.75" hidden="1" customHeight="1" ns3:dyDescent="0.25">
      <c r="A134" s="25" t="s">
        <v>1437</v>
      </c>
      <c r="B134" s="25" t="str">
        <f t="shared" si="15"/>
      </c>
      <c r="C134" s="126" t="s">
        <v>1147</v>
      </c>
      <c r="D134" s="126" t="s">
        <v>106</v>
      </c>
      <c r="E134" s="126" t="s">
        <v>55</v>
      </c>
      <c r="F134" s="126" t="s">
        <v>1659</v>
      </c>
      <c r="G134" s="126" t="s">
        <v>1209</v>
      </c>
      <c r="H134" s="126" t="s">
        <v>1172</v>
      </c>
      <c r="I134" s="201" t="str">
        <f>IFERROR(VLOOKUP(#REF!134,'학생용 IP'!$C$11:$H$326,5,FALSE),"")</f>
        <v>10.54.37.117</v>
      </c>
      <c r="J134" s="126" t="s">
        <v>1380</v>
      </c>
      <c r="K134" s="126"/>
      <c r="L134" s="176">
        <v>20200717</v>
      </c>
      <c r="M134" s="127">
        <v>870000</v>
      </c>
      <c r="N134" s="126" t="s">
        <v>1193</v>
      </c>
      <c r="O134" s="126">
        <v>833</v>
      </c>
      <c r="P134" s="126" t="s">
        <v>1401</v>
      </c>
      <c r="Q134" s="126" t="s">
        <v>1218</v>
      </c>
      <c r="R134" s="126" t="s">
        <v>54</v>
      </c>
      <c r="S134" s="126" t="s">
        <v>1171</v>
      </c>
    </row>
    <row r="135" spans="1:22" s="23" customFormat="1" ht="5.4" hidden="1" customHeight="1" ns3:dyDescent="0.25">
      <c r="A135" s="25" t="s">
        <v>1420</v>
      </c>
      <c r="B135" s="25" t="str">
        <f t="shared" si="15"/>
      </c>
      <c r="C135" s="126" t="s">
        <v>1147</v>
      </c>
      <c r="D135" s="126" t="s">
        <v>106</v>
      </c>
      <c r="E135" s="126" t="s">
        <v>55</v>
      </c>
      <c r="F135" s="126" t="s">
        <v>1659</v>
      </c>
      <c r="G135" s="126" t="s">
        <v>1209</v>
      </c>
      <c r="H135" s="126" t="s">
        <v>1172</v>
      </c>
      <c r="I135" s="201" t="str">
        <f>IFERROR(VLOOKUP(#REF!135,'학생용 IP'!$C$11:$H$326,5,FALSE),"")</f>
        <v>10.54.37.116</v>
      </c>
      <c r="J135" s="126" t="s">
        <v>1380</v>
      </c>
      <c r="K135" s="126"/>
      <c r="L135" s="176">
        <v>20200717</v>
      </c>
      <c r="M135" s="127">
        <v>870000</v>
      </c>
      <c r="N135" s="126" t="s">
        <v>1193</v>
      </c>
      <c r="O135" s="126">
        <v>832</v>
      </c>
      <c r="P135" s="126" t="s">
        <v>1401</v>
      </c>
      <c r="Q135" s="126" t="s">
        <v>1218</v>
      </c>
      <c r="R135" s="126" t="s">
        <v>54</v>
      </c>
      <c r="S135" s="126" t="s">
        <v>1171</v>
      </c>
    </row>
    <row r="136" spans="1:22" s="23" customFormat="1" ht="8.4" hidden="1" customHeight="1" ns3:dyDescent="0.25">
      <c r="A136" s="25" t="s">
        <v>1422</v>
      </c>
      <c r="B136" s="25" t="str">
        <f t="shared" si="15"/>
      </c>
      <c r="C136" s="126" t="s">
        <v>1147</v>
      </c>
      <c r="D136" s="126" t="s">
        <v>106</v>
      </c>
      <c r="E136" s="126" t="s">
        <v>55</v>
      </c>
      <c r="F136" s="126" t="s">
        <v>1659</v>
      </c>
      <c r="G136" s="126" t="s">
        <v>1209</v>
      </c>
      <c r="H136" s="126" t="s">
        <v>1172</v>
      </c>
      <c r="I136" s="201" t="str">
        <f>IFERROR(VLOOKUP(#REF!136,'학생용 IP'!$C$11:$H$326,5,FALSE),"")</f>
        <v>10.54.37.115</v>
      </c>
      <c r="J136" s="126" t="s">
        <v>1380</v>
      </c>
      <c r="K136" s="126"/>
      <c r="L136" s="176">
        <v>20200717</v>
      </c>
      <c r="M136" s="127">
        <v>870000</v>
      </c>
      <c r="N136" s="126" t="s">
        <v>1193</v>
      </c>
      <c r="O136" s="126">
        <v>831</v>
      </c>
      <c r="P136" s="126" t="s">
        <v>1401</v>
      </c>
      <c r="Q136" s="126" t="s">
        <v>1218</v>
      </c>
      <c r="R136" s="126" t="s">
        <v>54</v>
      </c>
      <c r="S136" s="126" t="s">
        <v>1171</v>
      </c>
    </row>
    <row r="137" spans="1:22" s="23" customFormat="1" ht="11.4" hidden="1" customHeight="1" ns3:dyDescent="0.25">
      <c r="A137" s="25" t="s">
        <v>1432</v>
      </c>
      <c r="B137" s="25" t="str">
        <f t="shared" si="15"/>
      </c>
      <c r="C137" s="126" t="s">
        <v>1147</v>
      </c>
      <c r="D137" s="126" t="s">
        <v>106</v>
      </c>
      <c r="E137" s="126" t="s">
        <v>55</v>
      </c>
      <c r="F137" s="126" t="s">
        <v>1659</v>
      </c>
      <c r="G137" s="126" t="s">
        <v>1209</v>
      </c>
      <c r="H137" s="126" t="s">
        <v>1172</v>
      </c>
      <c r="I137" s="201" t="str">
        <f>IFERROR(VLOOKUP(#REF!137,'학생용 IP'!$C$11:$H$326,5,FALSE),"")</f>
        <v>10.54.37.114</v>
      </c>
      <c r="J137" s="126" t="s">
        <v>1380</v>
      </c>
      <c r="K137" s="126"/>
      <c r="L137" s="176">
        <v>20200717</v>
      </c>
      <c r="M137" s="127">
        <v>870000</v>
      </c>
      <c r="N137" s="126" t="s">
        <v>1193</v>
      </c>
      <c r="O137" s="126">
        <v>830</v>
      </c>
      <c r="P137" s="126" t="s">
        <v>1401</v>
      </c>
      <c r="Q137" s="126" t="s">
        <v>1218</v>
      </c>
      <c r="R137" s="126" t="s">
        <v>54</v>
      </c>
      <c r="S137" s="126" t="s">
        <v>1171</v>
      </c>
    </row>
    <row r="138" spans="1:22" s="23" customFormat="1" ht="9" hidden="1" customHeight="1" ns3:dyDescent="0.25">
      <c r="A138" s="25" t="s">
        <v>1436</v>
      </c>
      <c r="B138" s="25" t="str">
        <f t="shared" si="15"/>
      </c>
      <c r="C138" s="126" t="s">
        <v>1147</v>
      </c>
      <c r="D138" s="126" t="s">
        <v>106</v>
      </c>
      <c r="E138" s="126" t="s">
        <v>55</v>
      </c>
      <c r="F138" s="126" t="s">
        <v>1659</v>
      </c>
      <c r="G138" s="126" t="s">
        <v>1209</v>
      </c>
      <c r="H138" s="126" t="s">
        <v>1172</v>
      </c>
      <c r="I138" s="201" t="str">
        <f>IFERROR(VLOOKUP(#REF!138,'학생용 IP'!$C$11:$H$326,5,FALSE),"")</f>
        <v>10.54.37.113</v>
      </c>
      <c r="J138" s="126" t="s">
        <v>1380</v>
      </c>
      <c r="K138" s="126"/>
      <c r="L138" s="176">
        <v>20200717</v>
      </c>
      <c r="M138" s="127">
        <v>870000</v>
      </c>
      <c r="N138" s="126" t="s">
        <v>1193</v>
      </c>
      <c r="O138" s="126">
        <v>829</v>
      </c>
      <c r="P138" s="126" t="s">
        <v>1401</v>
      </c>
      <c r="Q138" s="126" t="s">
        <v>1218</v>
      </c>
      <c r="R138" s="126" t="s">
        <v>54</v>
      </c>
      <c r="S138" s="126" t="s">
        <v>1171</v>
      </c>
    </row>
    <row r="139" spans="1:22" s="23" customFormat="1" ht="8.4" hidden="1" customHeight="1" ns3:dyDescent="0.25">
      <c r="A139" s="25" t="s">
        <v>1417</v>
      </c>
      <c r="B139" s="25" t="str">
        <f t="shared" si="15"/>
      </c>
      <c r="C139" s="126" t="s">
        <v>1147</v>
      </c>
      <c r="D139" s="126" t="s">
        <v>106</v>
      </c>
      <c r="E139" s="126" t="s">
        <v>55</v>
      </c>
      <c r="F139" s="126" t="s">
        <v>1659</v>
      </c>
      <c r="G139" s="126" t="s">
        <v>1209</v>
      </c>
      <c r="H139" s="126" t="s">
        <v>1172</v>
      </c>
      <c r="I139" s="201" t="str">
        <f>IFERROR(VLOOKUP(#REF!139,'학생용 IP'!$C$11:$H$326,5,FALSE),"")</f>
        <v>10.54.37.112</v>
      </c>
      <c r="J139" s="126" t="s">
        <v>1380</v>
      </c>
      <c r="K139" s="126"/>
      <c r="L139" s="176">
        <v>20200717</v>
      </c>
      <c r="M139" s="127">
        <v>870000</v>
      </c>
      <c r="N139" s="126" t="s">
        <v>1193</v>
      </c>
      <c r="O139" s="126">
        <v>828</v>
      </c>
      <c r="P139" s="126" t="s">
        <v>1401</v>
      </c>
      <c r="Q139" s="126" t="s">
        <v>1218</v>
      </c>
      <c r="R139" s="126" t="s">
        <v>54</v>
      </c>
      <c r="S139" s="126" t="s">
        <v>1171</v>
      </c>
    </row>
    <row r="140" spans="1:22" s="23" customFormat="1" ht="12" hidden="1" customHeight="1" ns3:dyDescent="0.25">
      <c r="A140" s="25" t="s">
        <v>1427</v>
      </c>
      <c r="B140" s="25" t="str">
        <f t="shared" si="15"/>
      </c>
      <c r="C140" s="126" t="s">
        <v>1147</v>
      </c>
      <c r="D140" s="126" t="s">
        <v>106</v>
      </c>
      <c r="E140" s="126" t="s">
        <v>55</v>
      </c>
      <c r="F140" s="126" t="s">
        <v>1659</v>
      </c>
      <c r="G140" s="126" t="s">
        <v>1209</v>
      </c>
      <c r="H140" s="126" t="s">
        <v>1172</v>
      </c>
      <c r="I140" s="201" t="str">
        <f>IFERROR(VLOOKUP(#REF!140,'학생용 IP'!$C$11:$H$326,5,FALSE),"")</f>
        <v>10.54.37.111</v>
      </c>
      <c r="J140" s="126" t="s">
        <v>1380</v>
      </c>
      <c r="K140" s="126"/>
      <c r="L140" s="176">
        <v>20200717</v>
      </c>
      <c r="M140" s="127">
        <v>870000</v>
      </c>
      <c r="N140" s="126" t="s">
        <v>1193</v>
      </c>
      <c r="O140" s="126">
        <v>827</v>
      </c>
      <c r="P140" s="126" t="s">
        <v>1401</v>
      </c>
      <c r="Q140" s="126" t="s">
        <v>1218</v>
      </c>
      <c r="R140" s="126" t="s">
        <v>54</v>
      </c>
      <c r="S140" s="126" t="s">
        <v>1171</v>
      </c>
    </row>
    <row r="141" spans="1:22" s="23" customFormat="1" ht="6.65" hidden="1" customHeight="1" ns3:dyDescent="0.25">
      <c r="A141" s="25" t="s">
        <v>1406</v>
      </c>
      <c r="B141" s="25" t="str">
        <f t="shared" si="15"/>
      </c>
      <c r="C141" s="126" t="s">
        <v>1147</v>
      </c>
      <c r="D141" s="126" t="s">
        <v>106</v>
      </c>
      <c r="E141" s="126" t="s">
        <v>55</v>
      </c>
      <c r="F141" s="126" t="s">
        <v>1659</v>
      </c>
      <c r="G141" s="126" t="s">
        <v>1209</v>
      </c>
      <c r="H141" s="126" t="s">
        <v>1172</v>
      </c>
      <c r="I141" s="201" t="str">
        <f>IFERROR(VLOOKUP(#REF!141,'학생용 IP'!$C$11:$H$326,5,FALSE),"")</f>
        <v>10.54.37.110</v>
      </c>
      <c r="J141" s="126" t="s">
        <v>1380</v>
      </c>
      <c r="K141" s="126"/>
      <c r="L141" s="176">
        <v>20200717</v>
      </c>
      <c r="M141" s="127">
        <v>870000</v>
      </c>
      <c r="N141" s="126" t="s">
        <v>1193</v>
      </c>
      <c r="O141" s="126">
        <v>826</v>
      </c>
      <c r="P141" s="126" t="s">
        <v>1401</v>
      </c>
      <c r="Q141" s="126" t="s">
        <v>1218</v>
      </c>
      <c r="R141" s="126" t="s">
        <v>54</v>
      </c>
      <c r="S141" s="126" t="s">
        <v>1171</v>
      </c>
    </row>
    <row r="142" spans="1:22" s="23" customFormat="1" ht="9.65" hidden="1" customHeight="1" ns3:dyDescent="0.25">
      <c r="A142" s="25" t="s">
        <v>1435</v>
      </c>
      <c r="B142" s="25" t="str">
        <f t="shared" si="15"/>
      </c>
      <c r="C142" s="126" t="s">
        <v>1147</v>
      </c>
      <c r="D142" s="126" t="s">
        <v>106</v>
      </c>
      <c r="E142" s="126" t="s">
        <v>55</v>
      </c>
      <c r="F142" s="126" t="s">
        <v>1659</v>
      </c>
      <c r="G142" s="126" t="s">
        <v>1209</v>
      </c>
      <c r="H142" s="126" t="s">
        <v>1172</v>
      </c>
      <c r="I142" s="201" t="str">
        <f>IFERROR(VLOOKUP(#REF!142,'학생용 IP'!$C$11:$H$326,5,FALSE),"")</f>
        <v>10.54.37.109</v>
      </c>
      <c r="J142" s="126" t="s">
        <v>1380</v>
      </c>
      <c r="K142" s="126"/>
      <c r="L142" s="176">
        <v>20200717</v>
      </c>
      <c r="M142" s="127">
        <v>870000</v>
      </c>
      <c r="N142" s="126" t="s">
        <v>1193</v>
      </c>
      <c r="O142" s="126">
        <v>825</v>
      </c>
      <c r="P142" s="126" t="s">
        <v>1401</v>
      </c>
      <c r="Q142" s="126" t="s">
        <v>1218</v>
      </c>
      <c r="R142" s="126" t="s">
        <v>54</v>
      </c>
      <c r="S142" s="126" t="s">
        <v>1171</v>
      </c>
    </row>
    <row r="143" spans="1:22" s="23" customFormat="1" ht="13.75" hidden="1" customHeight="1" ns3:dyDescent="0.25">
      <c r="A143" s="25" t="s">
        <v>1423</v>
      </c>
      <c r="B143" s="25" t="str">
        <f t="shared" si="15"/>
      </c>
      <c r="C143" s="126" t="s">
        <v>1147</v>
      </c>
      <c r="D143" s="126" t="s">
        <v>106</v>
      </c>
      <c r="E143" s="126" t="s">
        <v>55</v>
      </c>
      <c r="F143" s="126" t="s">
        <v>1659</v>
      </c>
      <c r="G143" s="126" t="s">
        <v>1209</v>
      </c>
      <c r="H143" s="126" t="s">
        <v>1172</v>
      </c>
      <c r="I143" s="201" t="str">
        <f>IFERROR(VLOOKUP(#REF!143,'학생용 IP'!$C$11:$H$326,5,FALSE),"")</f>
        <v>10.54.37.108</v>
      </c>
      <c r="J143" s="126" t="s">
        <v>1380</v>
      </c>
      <c r="K143" s="126"/>
      <c r="L143" s="176">
        <v>20200717</v>
      </c>
      <c r="M143" s="127">
        <v>870000</v>
      </c>
      <c r="N143" s="126" t="s">
        <v>1193</v>
      </c>
      <c r="O143" s="126">
        <v>824</v>
      </c>
      <c r="P143" s="126" t="s">
        <v>1401</v>
      </c>
      <c r="Q143" s="126" t="s">
        <v>1218</v>
      </c>
      <c r="R143" s="126" t="s">
        <v>54</v>
      </c>
      <c r="S143" s="126" t="s">
        <v>1171</v>
      </c>
    </row>
    <row r="144" spans="1:22" s="23" customFormat="1" ht="8.4" hidden="1" customHeight="1" ns3:dyDescent="0.25">
      <c r="A144" s="25" t="s">
        <v>1431</v>
      </c>
      <c r="B144" s="25" t="str">
        <f t="shared" si="15"/>
      </c>
      <c r="C144" s="126" t="s">
        <v>1147</v>
      </c>
      <c r="D144" s="126" t="s">
        <v>106</v>
      </c>
      <c r="E144" s="126" t="s">
        <v>55</v>
      </c>
      <c r="F144" s="126" t="s">
        <v>1659</v>
      </c>
      <c r="G144" s="126" t="s">
        <v>1209</v>
      </c>
      <c r="H144" s="126" t="s">
        <v>1172</v>
      </c>
      <c r="I144" s="201" t="str">
        <f>IFERROR(VLOOKUP(#REF!144,'학생용 IP'!$C$11:$H$326,5,FALSE),"")</f>
        <v>10.54.37.107</v>
      </c>
      <c r="J144" s="126" t="s">
        <v>1380</v>
      </c>
      <c r="K144" s="126"/>
      <c r="L144" s="176">
        <v>20200717</v>
      </c>
      <c r="M144" s="127">
        <v>870000</v>
      </c>
      <c r="N144" s="126" t="s">
        <v>1193</v>
      </c>
      <c r="O144" s="126">
        <v>823</v>
      </c>
      <c r="P144" s="126" t="s">
        <v>1401</v>
      </c>
      <c r="Q144" s="126" t="s">
        <v>1218</v>
      </c>
      <c r="R144" s="126" t="s">
        <v>54</v>
      </c>
      <c r="S144" s="126" t="s">
        <v>1171</v>
      </c>
    </row>
    <row r="145" spans="1:24" s="23" customFormat="1" ht="11.4" hidden="1" customHeight="1" ns3:dyDescent="0.25">
      <c r="A145" s="25" t="s">
        <v>1445</v>
      </c>
      <c r="B145" s="25" t="str">
        <f t="shared" si="15"/>
      </c>
      <c r="C145" s="126" t="s">
        <v>1147</v>
      </c>
      <c r="D145" s="126" t="s">
        <v>106</v>
      </c>
      <c r="E145" s="126" t="s">
        <v>55</v>
      </c>
      <c r="F145" s="126" t="s">
        <v>1659</v>
      </c>
      <c r="G145" s="126" t="s">
        <v>1209</v>
      </c>
      <c r="H145" s="126" t="s">
        <v>1172</v>
      </c>
      <c r="I145" s="201" t="str">
        <f>IFERROR(VLOOKUP(#REF!145,'학생용 IP'!$C$11:$H$326,5,FALSE),"")</f>
        <v>10.54.37.106</v>
      </c>
      <c r="J145" s="126" t="s">
        <v>1380</v>
      </c>
      <c r="K145" s="126"/>
      <c r="L145" s="176">
        <v>20200717</v>
      </c>
      <c r="M145" s="127">
        <v>870000</v>
      </c>
      <c r="N145" s="126" t="s">
        <v>1193</v>
      </c>
      <c r="O145" s="126">
        <v>822</v>
      </c>
      <c r="P145" s="126" t="s">
        <v>1401</v>
      </c>
      <c r="Q145" s="126" t="s">
        <v>1218</v>
      </c>
      <c r="R145" s="126" t="s">
        <v>54</v>
      </c>
      <c r="S145" s="126" t="s">
        <v>1171</v>
      </c>
    </row>
    <row r="146" spans="1:24" s="23" customFormat="1" ht="13.25" hidden="1" customHeight="1" ns3:dyDescent="0.25">
      <c r="A146" s="25" t="s">
        <v>1439</v>
      </c>
      <c r="B146" s="25" t="str">
        <f t="shared" si="15"/>
      </c>
      <c r="C146" s="126" t="s">
        <v>1147</v>
      </c>
      <c r="D146" s="126" t="s">
        <v>106</v>
      </c>
      <c r="E146" s="126" t="s">
        <v>55</v>
      </c>
      <c r="F146" s="126" t="s">
        <v>1659</v>
      </c>
      <c r="G146" s="126" t="s">
        <v>1209</v>
      </c>
      <c r="H146" s="126" t="s">
        <v>1172</v>
      </c>
      <c r="I146" s="201" t="str">
        <f>IFERROR(VLOOKUP(#REF!146,'학생용 IP'!$C$11:$H$326,5,FALSE),"")</f>
        <v>10.54.37.105</v>
      </c>
      <c r="J146" s="126" t="s">
        <v>1380</v>
      </c>
      <c r="K146" s="126"/>
      <c r="L146" s="176">
        <v>20200717</v>
      </c>
      <c r="M146" s="127">
        <v>870000</v>
      </c>
      <c r="N146" s="126" t="s">
        <v>1193</v>
      </c>
      <c r="O146" s="126">
        <v>821</v>
      </c>
      <c r="P146" s="126" t="s">
        <v>1401</v>
      </c>
      <c r="Q146" s="126" t="s">
        <v>1218</v>
      </c>
      <c r="R146" s="126" t="s">
        <v>54</v>
      </c>
      <c r="S146" s="126" t="s">
        <v>1171</v>
      </c>
    </row>
    <row r="147" spans="1:24" s="23" customFormat="1" ht="14.4" hidden="1" customHeight="1" ns3:dyDescent="0.25">
      <c r="A147" s="25" t="s">
        <v>1428</v>
      </c>
      <c r="B147" s="25" t="str">
        <f t="shared" si="15"/>
      </c>
      <c r="C147" s="126" t="s">
        <v>1147</v>
      </c>
      <c r="D147" s="126" t="s">
        <v>106</v>
      </c>
      <c r="E147" s="126" t="s">
        <v>55</v>
      </c>
      <c r="F147" s="126" t="s">
        <v>1659</v>
      </c>
      <c r="G147" s="126" t="s">
        <v>1209</v>
      </c>
      <c r="H147" s="126" t="s">
        <v>1172</v>
      </c>
      <c r="I147" s="201" t="str">
        <f>IFERROR(VLOOKUP(#REF!147,'학생용 IP'!$C$11:$H$326,5,FALSE),"")</f>
        <v>10.54.37.104</v>
      </c>
      <c r="J147" s="126" t="s">
        <v>1380</v>
      </c>
      <c r="K147" s="126"/>
      <c r="L147" s="176">
        <v>20200717</v>
      </c>
      <c r="M147" s="127">
        <v>870000</v>
      </c>
      <c r="N147" s="126" t="s">
        <v>1193</v>
      </c>
      <c r="O147" s="126">
        <v>820</v>
      </c>
      <c r="P147" s="126" t="s">
        <v>1401</v>
      </c>
      <c r="Q147" s="126" t="s">
        <v>1218</v>
      </c>
      <c r="R147" s="126" t="s">
        <v>54</v>
      </c>
      <c r="S147" s="126" t="s">
        <v>1171</v>
      </c>
    </row>
    <row r="148" spans="1:24" s="23" customFormat="1" ht="13.25" hidden="1" customHeight="1" ns3:dyDescent="0.25">
      <c r="A148" s="25" t="s">
        <v>1450</v>
      </c>
      <c r="B148" s="25" t="str">
        <f t="shared" si="15"/>
      </c>
      <c r="C148" s="126" t="s">
        <v>1147</v>
      </c>
      <c r="D148" s="126" t="s">
        <v>106</v>
      </c>
      <c r="E148" s="126" t="s">
        <v>55</v>
      </c>
      <c r="F148" s="126" t="s">
        <v>1659</v>
      </c>
      <c r="G148" s="126" t="s">
        <v>1209</v>
      </c>
      <c r="H148" s="126" t="s">
        <v>1172</v>
      </c>
      <c r="I148" s="201" t="str">
        <f>IFERROR(VLOOKUP(#REF!148,'학생용 IP'!$C$11:$H$326,5,FALSE),"")</f>
        <v>10.54.37.103</v>
      </c>
      <c r="J148" s="126" t="s">
        <v>1380</v>
      </c>
      <c r="K148" s="126"/>
      <c r="L148" s="176">
        <v>20200717</v>
      </c>
      <c r="M148" s="127">
        <v>870000</v>
      </c>
      <c r="N148" s="126" t="s">
        <v>1193</v>
      </c>
      <c r="O148" s="126">
        <v>819</v>
      </c>
      <c r="P148" s="126" t="s">
        <v>1401</v>
      </c>
      <c r="Q148" s="126" t="s">
        <v>1218</v>
      </c>
      <c r="R148" s="126" t="s">
        <v>54</v>
      </c>
      <c r="S148" s="126" t="s">
        <v>1171</v>
      </c>
    </row>
    <row r="149" spans="1:24" s="23" customFormat="1" ht="12" hidden="1" customHeight="1" ns3:dyDescent="0.25">
      <c r="A149" s="25" t="s">
        <v>1446</v>
      </c>
      <c r="B149" s="25" t="str">
        <f t="shared" si="15"/>
      </c>
      <c r="C149" s="126" t="s">
        <v>1147</v>
      </c>
      <c r="D149" s="126" t="s">
        <v>106</v>
      </c>
      <c r="E149" s="126" t="s">
        <v>55</v>
      </c>
      <c r="F149" s="126" t="s">
        <v>1659</v>
      </c>
      <c r="G149" s="126" t="s">
        <v>1209</v>
      </c>
      <c r="H149" s="126" t="s">
        <v>1172</v>
      </c>
      <c r="I149" s="201" t="str">
        <f>IFERROR(VLOOKUP(#REF!149,'학생용 IP'!$C$11:$H$326,5,FALSE),"")</f>
        <v>10.54.37.102</v>
      </c>
      <c r="J149" s="126" t="s">
        <v>1380</v>
      </c>
      <c r="K149" s="126"/>
      <c r="L149" s="176">
        <v>20200717</v>
      </c>
      <c r="M149" s="127">
        <v>870000</v>
      </c>
      <c r="N149" s="126" t="s">
        <v>1193</v>
      </c>
      <c r="O149" s="126">
        <v>818</v>
      </c>
      <c r="P149" s="126" t="s">
        <v>1401</v>
      </c>
      <c r="Q149" s="126" t="s">
        <v>1218</v>
      </c>
      <c r="R149" s="126" t="s">
        <v>54</v>
      </c>
      <c r="S149" s="126" t="s">
        <v>1171</v>
      </c>
    </row>
    <row r="150" spans="1:24" s="23" customFormat="1" ht="1.75" customHeight="1" ns3:dyDescent="0.25">
      <c r="A150" s="219" t="s">
        <v>1443</v>
      </c>
      <c r="B150" s="219" t="str">
        <f t="shared" si="15"/>
      </c>
      <c r="C150" s="220" t="s">
        <v>1147</v>
      </c>
      <c r="D150" s="220" t="s">
        <v>106</v>
      </c>
      <c r="E150" s="220" t="s">
        <v>55</v>
      </c>
      <c r="F150" s="220" t="s">
        <v>1659</v>
      </c>
      <c r="G150" s="220" t="s">
        <v>1209</v>
      </c>
      <c r="H150" s="220" t="s">
        <v>1172</v>
      </c>
      <c r="I150" s="286" t="str">
        <f>IFERROR(VLOOKUP(#REF!150,'학생용 IP'!$C$11:$H$326,5,FALSE),"")</f>
        <v>10.54.37.101</v>
      </c>
      <c r="J150" s="220" t="s">
        <v>1380</v>
      </c>
      <c r="K150" s="220"/>
      <c r="L150" s="220">
        <v>20200717</v>
      </c>
      <c r="M150" s="286">
        <v>870000</v>
      </c>
      <c r="N150" s="220" t="s">
        <v>1193</v>
      </c>
      <c r="O150" s="126">
        <v>817</v>
      </c>
      <c r="P150" s="126" t="s">
        <v>1401</v>
      </c>
      <c r="Q150" s="126" t="s">
        <v>1218</v>
      </c>
      <c r="R150" s="126" t="s">
        <v>54</v>
      </c>
      <c r="S150" s="126" t="s">
        <v>1171</v>
      </c>
    </row>
    <row r="151" spans="1:24" s="23" customFormat="1" ht="15" customHeight="1" ns3:dyDescent="0.25">
      <c r="A151" s="89" t="s">
        <v>847</v>
      </c>
      <c r="B151" s="89" t="str">
        <f>LEFT(L151,6)&amp;"-"&amp;TEXT(O151,"0000")</f>
      </c>
      <c r="C151" s="126" t="s">
        <v>102</v>
      </c>
      <c r="D151" s="126" t="s">
        <v>106</v>
      </c>
      <c r="E151" s="126" t="s">
        <v>120</v>
      </c>
      <c r="F151" s="126" t="s">
        <v>1252</v>
      </c>
      <c r="G151" s="126" t="s">
        <v>10</v>
      </c>
      <c r="H151" s="126" t="str">
        <f>IFERROR(VLOOKUP(#REF!151,'정보화기기 명부'!A$2:B$187,2,FALSE),"")</f>
        <v/>
      </c>
      <c r="I151" s="126" t="str">
        <f>IFERROR(VLOOKUP(#REF!151,'교직원용 IP'!$C$2:$H$230,6,FALSE),"")</f>
        <v/>
      </c>
      <c r="J151" s="126"/>
      <c r="K151" s="126"/>
      <c r="L151" s="130">
        <v>20191224</v>
      </c>
      <c r="M151" s="127">
        <v>869000</v>
      </c>
      <c r="N151" s="126" t="s">
        <v>1186</v>
      </c>
      <c r="O151" s="126">
        <v>816</v>
      </c>
      <c r="P151" s="126" t="s">
        <v>1401</v>
      </c>
      <c r="Q151" s="126" t="s">
        <v>1196</v>
      </c>
      <c r="R151" s="126" t="s">
        <v>24</v>
      </c>
      <c r="S151" s="126" t="s">
        <v>1181</v>
      </c>
    </row>
    <row r="152" spans="1:24" s="23" customFormat="1" ht="15" customHeight="1" ns3:dyDescent="0.25">
      <c r="A152" s="89" t="s">
        <v>411</v>
      </c>
      <c r="B152" s="89" t="str">
        <f t="shared" si="15"/>
      </c>
      <c r="C152" s="193" t="s">
        <v>102</v>
      </c>
      <c r="D152" s="193" t="s">
        <v>106</v>
      </c>
      <c r="E152" s="193" t="s">
        <v>120</v>
      </c>
      <c r="F152" s="193" t="s">
        <v>1252</v>
      </c>
      <c r="G152" s="193" t="s">
        <v>10</v>
      </c>
      <c r="H152" s="193" t="str">
        <f>IFERROR(VLOOKUP(#REF!152,'정보화기기 명부'!A$2:B$187,2,FALSE),"")</f>
        <v/>
      </c>
      <c r="I152" s="193" t="str">
        <f>IFERROR(VLOOKUP(A152,'교직원용 IP'!$C$2:$H$230,6,FALSE),"")</f>
        <v/>
      </c>
      <c r="J152" s="193"/>
      <c r="K152" s="193"/>
      <c r="L152" s="193">
        <v>20191224</v>
      </c>
      <c r="M152" s="201">
        <v>869000</v>
      </c>
      <c r="N152" s="193" t="s">
        <v>1186</v>
      </c>
      <c r="O152" s="126">
        <v>815</v>
      </c>
      <c r="P152" s="126" t="s">
        <v>1401</v>
      </c>
      <c r="Q152" s="126" t="s">
        <v>1196</v>
      </c>
      <c r="R152" s="126" t="s">
        <v>24</v>
      </c>
      <c r="S152" s="126" t="s">
        <v>1181</v>
      </c>
    </row>
    <row r="153" spans="1:24" s="23" customFormat="1" ht="15" customHeight="1" ns3:dyDescent="0.25">
      <c r="A153" s="90" t="s">
        <v>53</v>
      </c>
      <c r="B153" s="90" t="str">
        <f t="shared" si="15"/>
      </c>
      <c r="C153" s="193" t="s">
        <v>102</v>
      </c>
      <c r="D153" s="193" t="s">
        <v>106</v>
      </c>
      <c r="E153" s="193" t="s">
        <v>120</v>
      </c>
      <c r="F153" s="193">
        <v>0</v>
      </c>
      <c r="G153" s="193" t="s">
        <v>10</v>
      </c>
      <c r="H153" s="193" t="str">
        <f>IFERROR(VLOOKUP(#REF!153,'정보화기기 명부'!A$2:B$187,2,FALSE),"")</f>
        <v>야구부합숙소</v>
      </c>
      <c r="I153" s="193" t="str">
        <f>IFERROR(VLOOKUP(A153,'교직원용 IP'!$C$2:$H$230,6,FALSE),"")</f>
        <v>10.51.91.10</v>
      </c>
      <c r="J153" s="310" t="s">
        <v>1801</v>
      </c>
      <c r="K153" s="193" t="s">
        <v>414</v>
      </c>
      <c r="L153" s="193">
        <v>20191224</v>
      </c>
      <c r="M153" s="201">
        <v>869000</v>
      </c>
      <c r="N153" s="193" t="s">
        <v>1186</v>
      </c>
      <c r="O153" s="126">
        <v>814</v>
      </c>
      <c r="P153" s="126" t="s">
        <v>1401</v>
      </c>
      <c r="Q153" s="126" t="s">
        <v>1196</v>
      </c>
      <c r="R153" s="126" t="s">
        <v>24</v>
      </c>
      <c r="S153" s="126" t="s">
        <v>1181</v>
      </c>
    </row>
    <row r="154" spans="1:24" s="23" customFormat="1" ht="15" customHeight="1" ns3:dyDescent="0.25">
      <c r="A154" s="89" t="s">
        <v>866</v>
      </c>
      <c r="B154" s="89" t="str">
        <f t="shared" si="15"/>
      </c>
      <c r="C154" s="126" t="s">
        <v>102</v>
      </c>
      <c r="D154" s="126" t="s">
        <v>106</v>
      </c>
      <c r="E154" s="126" t="s">
        <v>120</v>
      </c>
      <c r="F154" s="126" t="s">
        <v>1252</v>
      </c>
      <c r="G154" s="126" t="s">
        <v>10</v>
      </c>
      <c r="H154" s="126" t="str">
        <f>IFERROR(VLOOKUP(#REF!154,'정보화기기 명부'!A$2:B$187,2,FALSE),"")</f>
        <v/>
      </c>
      <c r="I154" s="126" t="str">
        <f>IFERROR(VLOOKUP(A154,'교직원용 IP'!$C$2:$H$230,6,FALSE),"")</f>
        <v/>
      </c>
      <c r="J154" s="126" t="s">
        <v>857</v>
      </c>
      <c r="K154" s="126"/>
      <c r="L154" s="130">
        <v>20191224</v>
      </c>
      <c r="M154" s="127">
        <v>869000</v>
      </c>
      <c r="N154" s="126" t="s">
        <v>1186</v>
      </c>
      <c r="O154" s="126">
        <v>813</v>
      </c>
      <c r="P154" s="126" t="s">
        <v>1401</v>
      </c>
      <c r="Q154" s="126" t="s">
        <v>1196</v>
      </c>
      <c r="R154" s="126" t="s">
        <v>24</v>
      </c>
      <c r="S154" s="126" t="s">
        <v>1181</v>
      </c>
    </row>
    <row r="155" spans="1:24" s="23" customFormat="1" ht="15" customHeight="1" ns3:dyDescent="0.25">
      <c r="A155" s="90" t="s">
        <v>34</v>
      </c>
      <c r="B155" s="90" t="str">
        <f t="shared" si="15"/>
      </c>
      <c r="C155" s="193" t="s">
        <v>102</v>
      </c>
      <c r="D155" s="193" t="s">
        <v>106</v>
      </c>
      <c r="E155" s="193" t="s">
        <v>120</v>
      </c>
      <c r="F155" s="193" t="s">
        <v>1252</v>
      </c>
      <c r="G155" s="193" t="s">
        <v>10</v>
      </c>
      <c r="H155" s="193" t="str">
        <f>IFERROR(VLOOKUP(#REF!155,'정보화기기 명부'!A$2:B$187,2,FALSE),"")</f>
        <v>야구부합숙소</v>
      </c>
      <c r="I155" s="193" t="str">
        <f>IFERROR(VLOOKUP(A155,'교직원용 IP'!$C$2:$H$230,6,FALSE),"")</f>
        <v>10.51.91.9</v>
      </c>
      <c r="J155" s="310" t="s">
        <v>1801</v>
      </c>
      <c r="K155" s="193" t="s">
        <v>414</v>
      </c>
      <c r="L155" s="193">
        <v>20191224</v>
      </c>
      <c r="M155" s="201">
        <v>869000</v>
      </c>
      <c r="N155" s="193" t="s">
        <v>1186</v>
      </c>
      <c r="O155" s="126">
        <v>812</v>
      </c>
      <c r="P155" s="126" t="s">
        <v>1401</v>
      </c>
      <c r="Q155" s="126" t="s">
        <v>1196</v>
      </c>
      <c r="R155" s="126" t="s">
        <v>24</v>
      </c>
      <c r="S155" s="126" t="s">
        <v>1181</v>
      </c>
    </row>
    <row r="156" spans="1:24" s="23" customFormat="1" ht="15" customHeight="1" ns3:dyDescent="0.25">
      <c r="A156" s="90" t="s">
        <v>147</v>
      </c>
      <c r="B156" s="90" t="str">
        <f t="shared" si="15"/>
      </c>
      <c r="C156" s="193" t="s">
        <v>102</v>
      </c>
      <c r="D156" s="193" t="s">
        <v>106</v>
      </c>
      <c r="E156" s="193" t="s">
        <v>120</v>
      </c>
      <c r="F156" s="193" t="s">
        <v>1252</v>
      </c>
      <c r="G156" s="193" t="s">
        <v>10</v>
      </c>
      <c r="H156" s="193" t="str">
        <f>IFERROR(VLOOKUP(#REF!156,'정보화기기 명부'!A$2:B$187,2,FALSE),"")</f>
        <v>특수교육부</v>
      </c>
      <c r="I156" s="193" t="str">
        <f>IFERROR(VLOOKUP(A156,'교직원용 IP'!$C$2:$H$230,6,FALSE),"")</f>
        <v>10.51.90.161</v>
      </c>
      <c r="J156" s="193" t="s">
        <v>1796</v>
      </c>
      <c r="K156" s="193"/>
      <c r="L156" s="193">
        <v>20191224</v>
      </c>
      <c r="M156" s="201">
        <v>869000</v>
      </c>
      <c r="N156" s="193" t="s">
        <v>1186</v>
      </c>
      <c r="O156" s="126">
        <v>811</v>
      </c>
      <c r="P156" s="126" t="s">
        <v>1401</v>
      </c>
      <c r="Q156" s="126" t="s">
        <v>1196</v>
      </c>
      <c r="R156" s="126" t="s">
        <v>24</v>
      </c>
      <c r="S156" s="126" t="s">
        <v>1181</v>
      </c>
    </row>
    <row r="157" spans="1:24" s="23" customFormat="1" ht="15" customHeight="1" ns3:dyDescent="0.25">
      <c r="A157" s="89" t="s">
        <v>859</v>
      </c>
      <c r="B157" s="89" t="str">
        <f t="shared" si="15"/>
      </c>
      <c r="C157" s="126" t="s">
        <v>102</v>
      </c>
      <c r="D157" s="126" t="s">
        <v>106</v>
      </c>
      <c r="E157" s="126" t="s">
        <v>120</v>
      </c>
      <c r="F157" s="126" t="s">
        <v>1252</v>
      </c>
      <c r="G157" s="126" t="s">
        <v>10</v>
      </c>
      <c r="H157" s="126" t="str">
        <f>IFERROR(VLOOKUP(#REF!157,'정보화기기 명부'!A$2:B$187,2,FALSE),"")</f>
        <v/>
      </c>
      <c r="I157" s="126" t="str">
        <f>IFERROR(VLOOKUP(A157,'교직원용 IP'!$C$2:$H$230,6,FALSE),"")</f>
        <v/>
      </c>
      <c r="J157" s="126"/>
      <c r="K157" s="126"/>
      <c r="L157" s="130">
        <v>20191224</v>
      </c>
      <c r="M157" s="127">
        <v>869000</v>
      </c>
      <c r="N157" s="126" t="s">
        <v>1186</v>
      </c>
      <c r="O157" s="126">
        <v>810</v>
      </c>
      <c r="P157" s="126" t="s">
        <v>1401</v>
      </c>
      <c r="Q157" s="126" t="s">
        <v>1196</v>
      </c>
      <c r="R157" s="126" t="s">
        <v>24</v>
      </c>
      <c r="S157" s="126" t="s">
        <v>1181</v>
      </c>
    </row>
    <row r="158" spans="1:24" s="23" customFormat="1" ht="18" customHeight="1" ns3:dyDescent="0.25">
      <c r="A158" s="90" t="s">
        <v>35</v>
      </c>
      <c r="B158" s="90" t="str">
        <f t="shared" si="15"/>
      </c>
      <c r="C158" s="193" t="s">
        <v>102</v>
      </c>
      <c r="D158" s="193" t="s">
        <v>106</v>
      </c>
      <c r="E158" s="193" t="s">
        <v>120</v>
      </c>
      <c r="F158" s="193" t="s">
        <v>1252</v>
      </c>
      <c r="G158" s="193" t="s">
        <v>10</v>
      </c>
      <c r="H158" s="193" t="str">
        <f>IFERROR(VLOOKUP(#REF!158,'정보화기기 명부'!A$2:B$187,2,FALSE),"")</f>
        <v>2층 교무실</v>
      </c>
      <c r="I158" s="193" t="str">
        <f>IFERROR(VLOOKUP(A158,'교직원용 IP'!$C$2:$H$230,6,FALSE),"")</f>
        <v>10.51.90.150</v>
      </c>
      <c r="J158" s="287" t="s">
        <v>1776</v>
      </c>
      <c r="K158" s="193" t="s">
        <v>1001</v>
      </c>
      <c r="L158" s="193">
        <v>20191224</v>
      </c>
      <c r="M158" s="201">
        <v>869000</v>
      </c>
      <c r="N158" s="193" t="s">
        <v>1186</v>
      </c>
      <c r="O158" s="126">
        <v>809</v>
      </c>
      <c r="P158" s="126" t="s">
        <v>1401</v>
      </c>
      <c r="Q158" s="126" t="s">
        <v>1196</v>
      </c>
      <c r="R158" s="126" t="s">
        <v>24</v>
      </c>
      <c r="S158" s="126" t="s">
        <v>1181</v>
      </c>
    </row>
    <row r="159" spans="1:24" ht="17.399999999999999" customHeight="1" ns3:dyDescent="0.25">
      <c r="A159" s="289" t="s">
        <v>852</v>
      </c>
      <c r="B159" s="25" t="str">
        <f t="shared" si="15"/>
      </c>
      <c r="C159" s="25" t="s">
        <v>1147</v>
      </c>
      <c r="D159" s="25" t="s">
        <v>106</v>
      </c>
      <c r="E159" s="25" t="s">
        <v>120</v>
      </c>
      <c r="F159" s="126" t="s">
        <v>1777</v>
      </c>
      <c r="G159" s="126" t="s">
        <v>1173</v>
      </c>
      <c r="H159" s="126" t="str">
        <f>IFERROR(VLOOKUP(#REF!159,'정보화기기 명부'!A$2:B$187,2,FALSE),"")</f>
        <v/>
      </c>
      <c r="I159" s="126" t="str">
        <f>IFERROR(VLOOKUP(A159,'교직원용 IP'!$C$2:$H$230,6,FALSE),"")</f>
        <v>10.51.90.127</v>
      </c>
      <c r="J159" s="25"/>
      <c r="K159" s="25"/>
      <c r="L159" s="176">
        <v>20250708</v>
      </c>
      <c r="M159" s="125">
        <v>665975</v>
      </c>
      <c r="N159" s="25" t="s">
        <v>1191</v>
      </c>
      <c r="O159" s="162">
        <v>808</v>
      </c>
      <c r="P159" s="126" t="s">
        <v>1400</v>
      </c>
      <c r="Q159" s="126" t="s">
        <v>1580</v>
      </c>
      <c r="R159" s="25"/>
      <c r="S159" s="25" t="s">
        <v>1197</v>
      </c>
    </row>
    <row r="160" spans="1:24" ht="12.65" hidden="1" customHeight="1" ns3:dyDescent="0.25">
      <c r="A160" s="25" t="s">
        <v>865</v>
      </c>
      <c r="B160" s="25" t="str">
        <f t="shared" si="15"/>
      </c>
      <c r="C160" s="25" t="s">
        <v>1147</v>
      </c>
      <c r="D160" s="25" t="s">
        <v>106</v>
      </c>
      <c r="E160" s="25" t="s">
        <v>104</v>
      </c>
      <c r="F160" s="25" t="s">
        <v>1648</v>
      </c>
      <c r="G160" s="25" t="s">
        <v>1205</v>
      </c>
      <c r="H160" s="126" t="str">
        <f>IFERROR(VLOOKUP(#REF!160,'정보화기기 명부'!A$2:B$187,2,FALSE),"")</f>
        <v/>
      </c>
      <c r="I160" s="126" t="str">
        <f>IFERROR(VLOOKUP(A160,'교직원용 IP'!$C$2:$H$230,6,FALSE),"")</f>
        <v>10.51.90.128</v>
      </c>
      <c r="J160" s="25"/>
      <c r="K160" s="25"/>
      <c r="L160" s="131">
        <v>20190927</v>
      </c>
      <c r="M160" s="125">
        <v>665975</v>
      </c>
      <c r="N160" s="25" t="s">
        <v>1191</v>
      </c>
      <c r="O160" s="162">
        <v>807</v>
      </c>
      <c r="P160" s="25" t="s">
        <v>1401</v>
      </c>
      <c r="Q160" s="25" t="s">
        <v>917</v>
      </c>
      <c r="R160" s="25" t="s">
        <v>24</v>
      </c>
      <c r="S160" s="25" t="s">
        <v>1197</v>
      </c>
    </row>
    <row r="161" spans="1:24" ht="15" hidden="1" customHeight="1" ns3:dyDescent="0.25">
      <c r="A161" s="25" t="s">
        <v>82</v>
      </c>
      <c r="B161" s="25" t="str">
        <f t="shared" si="15"/>
      </c>
      <c r="C161" s="25" t="s">
        <v>1147</v>
      </c>
      <c r="D161" s="25" t="s">
        <v>106</v>
      </c>
      <c r="E161" s="25" t="s">
        <v>120</v>
      </c>
      <c r="F161" s="25" t="s">
        <v>1648</v>
      </c>
      <c r="G161" s="25" t="s">
        <v>1205</v>
      </c>
      <c r="H161" s="126" t="str">
        <f>IFERROR(VLOOKUP(#REF!161,'정보화기기 명부'!A$2:B$187,2,FALSE),"")</f>
        <v>2층 교무실</v>
      </c>
      <c r="I161" s="126" t="str">
        <f>IFERROR(VLOOKUP(A161,'교직원용 IP'!$C$2:$H$230,6,FALSE),"")</f>
        <v>10.51.90.86</v>
      </c>
      <c r="J161" s="25"/>
      <c r="K161" s="25"/>
      <c r="L161" s="131">
        <v>20190927</v>
      </c>
      <c r="M161" s="125">
        <v>665975</v>
      </c>
      <c r="N161" s="25" t="s">
        <v>1191</v>
      </c>
      <c r="O161" s="162">
        <v>806</v>
      </c>
      <c r="P161" s="25" t="s">
        <v>1401</v>
      </c>
      <c r="Q161" s="25" t="s">
        <v>917</v>
      </c>
      <c r="R161" s="25" t="s">
        <v>24</v>
      </c>
      <c r="S161" s="25" t="s">
        <v>1197</v>
      </c>
    </row>
    <row r="162" spans="1:24" ht="17.399999999999999" customHeight="1" ns3:dyDescent="0.25">
      <c r="A162" s="289" t="s">
        <v>295</v>
      </c>
      <c r="B162" s="25" t="str">
        <f t="shared" si="15"/>
      </c>
      <c r="C162" s="25" t="s">
        <v>1147</v>
      </c>
      <c r="D162" s="25" t="s">
        <v>106</v>
      </c>
      <c r="E162" s="25" t="s">
        <v>40</v>
      </c>
      <c r="F162" s="126" t="s">
        <v>1777</v>
      </c>
      <c r="G162" s="126" t="s">
        <v>1173</v>
      </c>
      <c r="H162" s="126" t="str">
        <f>IFERROR(VLOOKUP(#REF!162,'정보화기기 명부'!A$2:B$187,2,FALSE),"")</f>
        <v>교육행정실</v>
      </c>
      <c r="I162" s="126" t="str">
        <f>IFERROR(VLOOKUP(A162,'교직원용 IP'!$C$2:$H$230,6,FALSE),"")</f>
        <v>10.51.90.77</v>
      </c>
      <c r="J162" s="25"/>
      <c r="K162" s="25"/>
      <c r="L162" s="176">
        <v>20250708</v>
      </c>
      <c r="M162" s="125">
        <v>665975</v>
      </c>
      <c r="N162" s="25" t="s">
        <v>1191</v>
      </c>
      <c r="O162" s="162">
        <v>805</v>
      </c>
      <c r="P162" s="126" t="s">
        <v>1400</v>
      </c>
      <c r="Q162" s="126" t="s">
        <v>1580</v>
      </c>
      <c r="R162" s="25"/>
      <c r="S162" s="25" t="s">
        <v>1197</v>
      </c>
    </row>
    <row r="163" spans="1:24" ht="12.65" hidden="1" customHeight="1" ns3:dyDescent="0.25">
      <c r="A163" s="89" t="s">
        <v>92</v>
      </c>
      <c r="B163" s="25" t="str">
        <f t="shared" si="15"/>
      </c>
      <c r="C163" s="25" t="s">
        <v>1147</v>
      </c>
      <c r="D163" s="25" t="s">
        <v>106</v>
      </c>
      <c r="E163" s="25" t="s">
        <v>40</v>
      </c>
      <c r="F163" s="25" t="s">
        <v>1648</v>
      </c>
      <c r="G163" s="25" t="s">
        <v>1205</v>
      </c>
      <c r="H163" s="126" t="str">
        <f>IFERROR(VLOOKUP(#REF!163,'정보화기기 명부'!A$2:B$187,2,FALSE),"")</f>
        <v>급식실</v>
      </c>
      <c r="I163" s="126" t="str">
        <f>IFERROR(VLOOKUP(A163,'교직원용 IP'!$C$2:$H$230,6,FALSE),"")</f>
        <v>10.51.90.79</v>
      </c>
      <c r="J163" s="25"/>
      <c r="K163" s="25"/>
      <c r="L163" s="131">
        <v>20190927</v>
      </c>
      <c r="M163" s="125">
        <v>665975</v>
      </c>
      <c r="N163" s="25" t="s">
        <v>1191</v>
      </c>
      <c r="O163" s="162">
        <v>804</v>
      </c>
      <c r="P163" s="25" t="s">
        <v>1401</v>
      </c>
      <c r="Q163" s="25" t="s">
        <v>917</v>
      </c>
      <c r="R163" s="25" t="s">
        <v>24</v>
      </c>
      <c r="S163" s="25" t="s">
        <v>1197</v>
      </c>
    </row>
    <row r="164" spans="1:24" ht="19.75" customHeight="1" ns3:dyDescent="0.25">
      <c r="A164" s="289" t="s">
        <v>389</v>
      </c>
      <c r="B164" s="25" t="str">
        <f t="shared" si="15"/>
      </c>
      <c r="C164" s="25" t="s">
        <v>1147</v>
      </c>
      <c r="D164" s="25" t="s">
        <v>106</v>
      </c>
      <c r="E164" s="25" t="s">
        <v>40</v>
      </c>
      <c r="F164" s="126" t="s">
        <v>1777</v>
      </c>
      <c r="G164" s="126" t="s">
        <v>1173</v>
      </c>
      <c r="H164" s="126" t="str">
        <f>IFERROR(VLOOKUP(#REF!164,'정보화기기 명부'!A$2:B$187,2,FALSE),"")</f>
        <v>시설관리실</v>
      </c>
      <c r="I164" s="126" t="str">
        <f>IFERROR(VLOOKUP(A164,'교직원용 IP'!$C$2:$H$230,6,FALSE),"")</f>
        <v>10.51.90.80</v>
      </c>
      <c r="J164" s="25"/>
      <c r="K164" s="25"/>
      <c r="L164" s="176">
        <v>20250708</v>
      </c>
      <c r="M164" s="125">
        <v>665975</v>
      </c>
      <c r="N164" s="25" t="s">
        <v>1191</v>
      </c>
      <c r="O164" s="162">
        <v>803</v>
      </c>
      <c r="P164" s="126" t="s">
        <v>1400</v>
      </c>
      <c r="Q164" s="126" t="s">
        <v>1580</v>
      </c>
      <c r="R164" s="25"/>
      <c r="S164" s="25" t="s">
        <v>1197</v>
      </c>
    </row>
    <row r="165" spans="1:24" ht="12" customHeight="1" ns3:dyDescent="0.25">
      <c r="A165" s="25" t="s">
        <v>913</v>
      </c>
      <c r="B165" s="25" t="str">
        <f t="shared" si="15"/>
      </c>
      <c r="C165" s="25" t="s">
        <v>1147</v>
      </c>
      <c r="D165" s="25" t="s">
        <v>106</v>
      </c>
      <c r="E165" s="25" t="s">
        <v>104</v>
      </c>
      <c r="F165" s="25" t="s">
        <v>1648</v>
      </c>
      <c r="G165" s="25" t="s">
        <v>1205</v>
      </c>
      <c r="H165" s="126" t="str">
        <f>IFERROR(VLOOKUP(#REF!165,'정보화기기 명부'!A$2:B$187,2,FALSE),"")</f>
        <v>정보교육부</v>
      </c>
      <c r="I165" s="126" t="str">
        <f>IFERROR(VLOOKUP(A165,'교직원용 IP'!$C$2:$H$230,6,FALSE),"")</f>
        <v>10.51.90.100</v>
      </c>
      <c r="J165" s="25"/>
      <c r="K165" s="25"/>
      <c r="L165" s="131">
        <v>20190927</v>
      </c>
      <c r="M165" s="125">
        <v>665975</v>
      </c>
      <c r="N165" s="25" t="s">
        <v>1191</v>
      </c>
      <c r="O165" s="162">
        <v>802</v>
      </c>
      <c r="P165" s="25" t="s">
        <v>1401</v>
      </c>
      <c r="Q165" s="25" t="s">
        <v>917</v>
      </c>
      <c r="R165" s="25" t="s">
        <v>24</v>
      </c>
      <c r="S165" s="25" t="s">
        <v>1197</v>
      </c>
    </row>
    <row r="166" spans="1:24" ht="15.65" customHeight="1" ns3:dyDescent="0.25">
      <c r="A166" s="25" t="s">
        <v>26</v>
      </c>
      <c r="B166" s="25" t="str">
        <f t="shared" si="15"/>
      </c>
      <c r="C166" s="25" t="s">
        <v>1147</v>
      </c>
      <c r="D166" s="25" t="s">
        <v>106</v>
      </c>
      <c r="E166" s="25" t="s">
        <v>120</v>
      </c>
      <c r="F166" s="25" t="s">
        <v>1648</v>
      </c>
      <c r="G166" s="25" t="s">
        <v>1205</v>
      </c>
      <c r="H166" s="126" t="str">
        <f>IFERROR(VLOOKUP(#REF!166,'정보화기기 명부'!A$2:B$187,2,FALSE),"")</f>
        <v/>
      </c>
      <c r="I166" s="126" t="str">
        <f>IFERROR(VLOOKUP(A166,'교직원용 IP'!$C$2:$H$230,6,FALSE),"")</f>
        <v>10.51.90.106</v>
      </c>
      <c r="J166" s="25"/>
      <c r="K166" s="25"/>
      <c r="L166" s="131">
        <v>20190927</v>
      </c>
      <c r="M166" s="125">
        <v>665975</v>
      </c>
      <c r="N166" s="25" t="s">
        <v>1191</v>
      </c>
      <c r="O166" s="162">
        <v>801</v>
      </c>
      <c r="P166" s="25" t="s">
        <v>1401</v>
      </c>
      <c r="Q166" s="25" t="s">
        <v>917</v>
      </c>
      <c r="R166" s="25" t="s">
        <v>24</v>
      </c>
      <c r="S166" s="25" t="s">
        <v>1197</v>
      </c>
    </row>
    <row r="167" spans="1:24" ht="11.4" customHeight="1" ns3:dyDescent="0.25">
      <c r="A167" s="25" t="s">
        <v>1453</v>
      </c>
      <c r="B167" s="25" t="str">
        <f t="shared" si="15"/>
      </c>
      <c r="C167" s="25" t="s">
        <v>1147</v>
      </c>
      <c r="D167" s="25" t="s">
        <v>106</v>
      </c>
      <c r="E167" s="25" t="s">
        <v>55</v>
      </c>
      <c r="F167" s="25" t="s">
        <v>1648</v>
      </c>
      <c r="G167" s="25" t="s">
        <v>1205</v>
      </c>
      <c r="H167" s="126" t="str">
        <f>IFERROR(VLOOKUP(#REF!167,'정보화기기 명부'!A$2:B$187,2,FALSE),"")</f>
        <v>특수교육부</v>
      </c>
      <c r="I167" s="193" t="str">
        <f>IFERROR(VLOOKUP(#REF!167,'학생용 IP'!$C$11:$H$326,5,FALSE),"")</f>
        <v>10.54.36.72</v>
      </c>
      <c r="J167" s="25"/>
      <c r="K167" s="25"/>
      <c r="L167" s="131">
        <v>20190927</v>
      </c>
      <c r="M167" s="125">
        <v>665975</v>
      </c>
      <c r="N167" s="25" t="s">
        <v>1193</v>
      </c>
      <c r="O167" s="162">
        <v>800</v>
      </c>
      <c r="P167" s="25" t="s">
        <v>1401</v>
      </c>
      <c r="Q167" s="25" t="s">
        <v>917</v>
      </c>
      <c r="R167" s="25" t="s">
        <v>24</v>
      </c>
      <c r="S167" s="25" t="s">
        <v>1197</v>
      </c>
    </row>
    <row r="168" spans="1:24" ht="9" customHeight="1" ns3:dyDescent="0.25">
      <c r="A168" s="25" t="s">
        <v>1434</v>
      </c>
      <c r="B168" s="25" t="str">
        <f t="shared" si="15"/>
      </c>
      <c r="C168" s="25" t="s">
        <v>1147</v>
      </c>
      <c r="D168" s="25" t="s">
        <v>106</v>
      </c>
      <c r="E168" s="25" t="s">
        <v>55</v>
      </c>
      <c r="F168" s="25" t="s">
        <v>1648</v>
      </c>
      <c r="G168" s="25" t="s">
        <v>1205</v>
      </c>
      <c r="H168" s="126" t="str">
        <f>IFERROR(VLOOKUP(#REF!168,'정보화기기 명부'!A$2:B$187,2,FALSE),"")</f>
        <v>특수교육부</v>
      </c>
      <c r="I168" s="193" t="str">
        <f>IFERROR(VLOOKUP(#REF!168,'학생용 IP'!$C$11:$H$326,5,FALSE),"")</f>
        <v>10.54.36.71</v>
      </c>
      <c r="J168" s="25"/>
      <c r="K168" s="25"/>
      <c r="L168" s="131">
        <v>20190927</v>
      </c>
      <c r="M168" s="125">
        <v>665975</v>
      </c>
      <c r="N168" s="25" t="s">
        <v>1193</v>
      </c>
      <c r="O168" s="162">
        <v>799</v>
      </c>
      <c r="P168" s="25" t="s">
        <v>1401</v>
      </c>
      <c r="Q168" s="25" t="s">
        <v>917</v>
      </c>
      <c r="R168" s="25" t="s">
        <v>24</v>
      </c>
      <c r="S168" s="25" t="s">
        <v>1197</v>
      </c>
    </row>
    <row r="169" spans="1:24" ht="12.65" customHeight="1" ns3:dyDescent="0.25">
      <c r="A169" s="25" t="s">
        <v>1461</v>
      </c>
      <c r="B169" s="25" t="str">
        <f t="shared" si="15"/>
      </c>
      <c r="C169" s="25" t="s">
        <v>1147</v>
      </c>
      <c r="D169" s="25" t="s">
        <v>106</v>
      </c>
      <c r="E169" s="25" t="s">
        <v>120</v>
      </c>
      <c r="F169" s="25" t="s">
        <v>1648</v>
      </c>
      <c r="G169" s="25" t="s">
        <v>1205</v>
      </c>
      <c r="H169" s="126" t="str">
        <f>IFERROR(VLOOKUP(#REF!169,'정보화기기 명부'!A$2:B$187,2,FALSE),"")</f>
        <v>정보과학실</v>
      </c>
      <c r="I169" s="193" t="str">
        <f>IFERROR(VLOOKUP(#REF!169,'학생용 IP'!$C$11:$H$326,5,FALSE),"")</f>
        <v>10.54.36.10</v>
      </c>
      <c r="J169" s="25"/>
      <c r="K169" s="25"/>
      <c r="L169" s="131">
        <v>20190927</v>
      </c>
      <c r="M169" s="125">
        <v>665975</v>
      </c>
      <c r="N169" s="25" t="s">
        <v>1193</v>
      </c>
      <c r="O169" s="162">
        <v>798</v>
      </c>
      <c r="P169" s="25" t="s">
        <v>1401</v>
      </c>
      <c r="Q169" s="25" t="s">
        <v>917</v>
      </c>
      <c r="R169" s="25" t="s">
        <v>24</v>
      </c>
      <c r="S169" s="25" t="s">
        <v>1197</v>
      </c>
    </row>
    <row r="170" spans="1:24" ht="14.4" customHeight="1" ns3:dyDescent="0.25">
      <c r="A170" s="25" t="s">
        <v>1441</v>
      </c>
      <c r="B170" s="25" t="str">
        <f t="shared" si="15"/>
      </c>
      <c r="C170" s="25" t="s">
        <v>1147</v>
      </c>
      <c r="D170" s="25" t="s">
        <v>106</v>
      </c>
      <c r="E170" s="25" t="s">
        <v>55</v>
      </c>
      <c r="F170" s="25" t="s">
        <v>1648</v>
      </c>
      <c r="G170" s="25" t="s">
        <v>1205</v>
      </c>
      <c r="H170" s="126" t="str">
        <f>IFERROR(VLOOKUP(#REF!170,'정보화기기 명부'!A$2:B$187,2,FALSE),"")</f>
        <v>정보과학실</v>
      </c>
      <c r="I170" s="193" t="str">
        <f>IFERROR(VLOOKUP(#REF!170,'학생용 IP'!$C$11:$H$326,5,FALSE),"")</f>
        <v>10.54.36.17</v>
      </c>
      <c r="J170" s="25"/>
      <c r="K170" s="25"/>
      <c r="L170" s="131">
        <v>20190927</v>
      </c>
      <c r="M170" s="125">
        <v>665975</v>
      </c>
      <c r="N170" s="25" t="s">
        <v>1193</v>
      </c>
      <c r="O170" s="162">
        <v>797</v>
      </c>
      <c r="P170" s="25" t="s">
        <v>1401</v>
      </c>
      <c r="Q170" s="25" t="s">
        <v>917</v>
      </c>
      <c r="R170" s="25" t="s">
        <v>24</v>
      </c>
      <c r="S170" s="25" t="s">
        <v>1197</v>
      </c>
    </row>
    <row r="171" spans="1:24" ht="16.25" customHeight="1" ns3:dyDescent="0.25">
      <c r="A171" s="25" t="s">
        <v>1458</v>
      </c>
      <c r="B171" s="25" t="str">
        <f t="shared" si="15"/>
      </c>
      <c r="C171" s="25" t="s">
        <v>1147</v>
      </c>
      <c r="D171" s="25" t="s">
        <v>106</v>
      </c>
      <c r="E171" s="25" t="s">
        <v>55</v>
      </c>
      <c r="F171" s="25" t="s">
        <v>1648</v>
      </c>
      <c r="G171" s="25" t="s">
        <v>1205</v>
      </c>
      <c r="H171" s="126" t="str">
        <f>IFERROR(VLOOKUP(#REF!171,'정보화기기 명부'!A$2:B$187,2,FALSE),"")</f>
        <v>정보과학실</v>
      </c>
      <c r="I171" s="193" t="str">
        <f>IFERROR(VLOOKUP(#REF!171,'학생용 IP'!$C$11:$H$326,5,FALSE),"")</f>
        <v>10.54.36.16</v>
      </c>
      <c r="J171" s="25"/>
      <c r="K171" s="25"/>
      <c r="L171" s="131">
        <v>20190927</v>
      </c>
      <c r="M171" s="125">
        <v>665975</v>
      </c>
      <c r="N171" s="25" t="s">
        <v>1193</v>
      </c>
      <c r="O171" s="162">
        <v>796</v>
      </c>
      <c r="P171" s="25" t="s">
        <v>1401</v>
      </c>
      <c r="Q171" s="25" t="s">
        <v>917</v>
      </c>
      <c r="R171" s="25" t="s">
        <v>24</v>
      </c>
      <c r="S171" s="25" t="s">
        <v>1197</v>
      </c>
    </row>
    <row r="172" spans="1:24" ht="12.65" customHeight="1" ns3:dyDescent="0.25">
      <c r="A172" s="25" t="s">
        <v>1456</v>
      </c>
      <c r="B172" s="25" t="str">
        <f t="shared" si="15"/>
      </c>
      <c r="C172" s="25" t="s">
        <v>1147</v>
      </c>
      <c r="D172" s="25" t="s">
        <v>106</v>
      </c>
      <c r="E172" s="25" t="s">
        <v>55</v>
      </c>
      <c r="F172" s="25" t="s">
        <v>1648</v>
      </c>
      <c r="G172" s="25" t="s">
        <v>1205</v>
      </c>
      <c r="H172" s="126" t="str">
        <f>IFERROR(VLOOKUP(#REF!172,'정보화기기 명부'!A$2:B$187,2,FALSE),"")</f>
        <v>정보과학실</v>
      </c>
      <c r="I172" s="193" t="str">
        <f>IFERROR(VLOOKUP(#REF!172,'학생용 IP'!$C$11:$H$326,5,FALSE),"")</f>
        <v>10.54.36.15</v>
      </c>
      <c r="J172" s="25"/>
      <c r="K172" s="25"/>
      <c r="L172" s="131">
        <v>20190927</v>
      </c>
      <c r="M172" s="125">
        <v>665975</v>
      </c>
      <c r="N172" s="25" t="s">
        <v>1193</v>
      </c>
      <c r="O172" s="162">
        <v>795</v>
      </c>
      <c r="P172" s="25" t="s">
        <v>1401</v>
      </c>
      <c r="Q172" s="25" t="s">
        <v>917</v>
      </c>
      <c r="R172" s="25" t="s">
        <v>24</v>
      </c>
      <c r="S172" s="25" t="s">
        <v>1197</v>
      </c>
    </row>
    <row r="173" spans="1:24" ht="11.4" customHeight="1" ns3:dyDescent="0.25">
      <c r="A173" s="25" t="s">
        <v>1451</v>
      </c>
      <c r="B173" s="25" t="str">
        <f t="shared" si="15"/>
      </c>
      <c r="C173" s="25" t="s">
        <v>1147</v>
      </c>
      <c r="D173" s="25" t="s">
        <v>106</v>
      </c>
      <c r="E173" s="25" t="s">
        <v>55</v>
      </c>
      <c r="F173" s="25" t="s">
        <v>1648</v>
      </c>
      <c r="G173" s="25" t="s">
        <v>1205</v>
      </c>
      <c r="H173" s="126" t="str">
        <f>IFERROR(VLOOKUP(#REF!173,'정보화기기 명부'!A$2:B$187,2,FALSE),"")</f>
        <v>특수교육부</v>
      </c>
      <c r="I173" s="193" t="str">
        <f>IFERROR(VLOOKUP(#REF!173,'학생용 IP'!$C$11:$H$326,5,FALSE),"")</f>
        <v>10.54.36.75</v>
      </c>
      <c r="J173" s="25" t="s">
        <v>1429</v>
      </c>
      <c r="K173" s="25"/>
      <c r="L173" s="131">
        <v>20190927</v>
      </c>
      <c r="M173" s="125">
        <v>665975</v>
      </c>
      <c r="N173" s="25" t="s">
        <v>1193</v>
      </c>
      <c r="O173" s="162">
        <v>794</v>
      </c>
      <c r="P173" s="25" t="s">
        <v>1401</v>
      </c>
      <c r="Q173" s="25" t="s">
        <v>917</v>
      </c>
      <c r="R173" s="25" t="s">
        <v>24</v>
      </c>
      <c r="S173" s="25" t="s">
        <v>1197</v>
      </c>
    </row>
    <row r="174" spans="1:24" ht="15.65" customHeight="1" ns3:dyDescent="0.25">
      <c r="A174" s="25" t="s">
        <v>1448</v>
      </c>
      <c r="B174" s="25" t="str">
        <f t="shared" si="15"/>
      </c>
      <c r="C174" s="25" t="s">
        <v>1147</v>
      </c>
      <c r="D174" s="25" t="s">
        <v>106</v>
      </c>
      <c r="E174" s="25" t="s">
        <v>55</v>
      </c>
      <c r="F174" s="25" t="s">
        <v>1648</v>
      </c>
      <c r="G174" s="25" t="s">
        <v>1205</v>
      </c>
      <c r="H174" s="126" t="str">
        <f>IFERROR(VLOOKUP(#REF!174,'정보화기기 명부'!A$2:B$187,2,FALSE),"")</f>
        <v>특수교육부</v>
      </c>
      <c r="I174" s="193" t="str">
        <f>IFERROR(VLOOKUP(#REF!174,'학생용 IP'!$C$11:$H$326,5,FALSE),"")</f>
        <v>10.54.36.74</v>
      </c>
      <c r="J174" s="25" t="s">
        <v>1452</v>
      </c>
      <c r="K174" s="25"/>
      <c r="L174" s="131">
        <v>20190927</v>
      </c>
      <c r="M174" s="125">
        <v>665975</v>
      </c>
      <c r="N174" s="25" t="s">
        <v>1193</v>
      </c>
      <c r="O174" s="162">
        <v>793</v>
      </c>
      <c r="P174" s="25" t="s">
        <v>1401</v>
      </c>
      <c r="Q174" s="25" t="s">
        <v>917</v>
      </c>
      <c r="R174" s="25" t="s">
        <v>24</v>
      </c>
      <c r="S174" s="25" t="s">
        <v>1197</v>
      </c>
    </row>
    <row r="175" spans="1:24" ht="10.75" customHeight="1" ns3:dyDescent="0.25">
      <c r="A175" s="25" t="s">
        <v>1444</v>
      </c>
      <c r="B175" s="25" t="str">
        <f t="shared" si="15"/>
      </c>
      <c r="C175" s="25" t="s">
        <v>1147</v>
      </c>
      <c r="D175" s="25" t="s">
        <v>106</v>
      </c>
      <c r="E175" s="25" t="s">
        <v>55</v>
      </c>
      <c r="F175" s="25" t="s">
        <v>1648</v>
      </c>
      <c r="G175" s="25" t="s">
        <v>1205</v>
      </c>
      <c r="H175" s="126" t="str">
        <f>IFERROR(VLOOKUP(#REF!175,'정보화기기 명부'!A$2:B$187,2,FALSE),"")</f>
        <v>특수교육부</v>
      </c>
      <c r="I175" s="193" t="str">
        <f>IFERROR(VLOOKUP(#REF!175,'학생용 IP'!$C$11:$H$326,5,FALSE),"")</f>
        <v>10.54.36.73</v>
      </c>
      <c r="J175" s="25" t="s">
        <v>1426</v>
      </c>
      <c r="K175" s="25"/>
      <c r="L175" s="131">
        <v>20190927</v>
      </c>
      <c r="M175" s="125">
        <v>665975</v>
      </c>
      <c r="N175" s="25" t="s">
        <v>1193</v>
      </c>
      <c r="O175" s="162">
        <v>792</v>
      </c>
      <c r="P175" s="25" t="s">
        <v>1401</v>
      </c>
      <c r="Q175" s="25" t="s">
        <v>917</v>
      </c>
      <c r="R175" s="25" t="s">
        <v>24</v>
      </c>
      <c r="S175" s="25" t="s">
        <v>1197</v>
      </c>
    </row>
    <row r="176" spans="1:24" ht="21.65" customHeight="1" ns3:dyDescent="0.25">
      <c r="A176" s="25" t="s">
        <v>1203</v>
      </c>
      <c r="B176" s="25" t="str">
        <f t="shared" si="15"/>
      </c>
      <c r="C176" s="25" t="s">
        <v>1147</v>
      </c>
      <c r="D176" s="25" t="s">
        <v>106</v>
      </c>
      <c r="E176" s="25" t="s">
        <v>55</v>
      </c>
      <c r="F176" s="25" t="s">
        <v>1648</v>
      </c>
      <c r="G176" s="25" t="s">
        <v>1205</v>
      </c>
      <c r="H176" s="126" t="str">
        <f>IFERROR(VLOOKUP(#REF!176,'정보화기기 명부'!A$2:B$187,2,FALSE),"")</f>
        <v>도서실</v>
      </c>
      <c r="I176" s="193" t="str">
        <f>IFERROR(VLOOKUP(#REF!176,'학생용 IP'!$C$11:$H$326,5,FALSE),"")</f>
        <v>10.54.36.52</v>
      </c>
      <c r="J176" s="25" t="s">
        <v>1438</v>
      </c>
      <c r="K176" s="25"/>
      <c r="L176" s="131">
        <v>20190927</v>
      </c>
      <c r="M176" s="125">
        <v>665975</v>
      </c>
      <c r="N176" s="25" t="s">
        <v>1193</v>
      </c>
      <c r="O176" s="162">
        <v>791</v>
      </c>
      <c r="P176" s="25" t="s">
        <v>1401</v>
      </c>
      <c r="Q176" s="25" t="s">
        <v>917</v>
      </c>
      <c r="R176" s="25" t="s">
        <v>24</v>
      </c>
      <c r="S176" s="25" t="s">
        <v>1197</v>
      </c>
    </row>
    <row r="177" spans="1:24" ht="12.65" customHeight="1" ns3:dyDescent="0.25">
      <c r="A177" s="25" t="s">
        <v>921</v>
      </c>
      <c r="B177" s="25" t="str">
        <f t="shared" si="15"/>
      </c>
      <c r="C177" s="25" t="s">
        <v>1147</v>
      </c>
      <c r="D177" s="25" t="s">
        <v>106</v>
      </c>
      <c r="E177" s="25" t="s">
        <v>55</v>
      </c>
      <c r="F177" s="25" t="s">
        <v>1648</v>
      </c>
      <c r="G177" s="25" t="s">
        <v>1205</v>
      </c>
      <c r="H177" s="126" t="str">
        <f>IFERROR(VLOOKUP(#REF!177,'정보화기기 명부'!A$2:B$187,2,FALSE),"")</f>
        <v>도서실</v>
      </c>
      <c r="I177" s="193" t="str">
        <f>IFERROR(VLOOKUP(#REF!177,'학생용 IP'!$C$11:$H$326,5,FALSE),"")</f>
        <v>10.54.36.51</v>
      </c>
      <c r="J177" s="25" t="s">
        <v>1442</v>
      </c>
      <c r="K177" s="25"/>
      <c r="L177" s="131">
        <v>20190927</v>
      </c>
      <c r="M177" s="125">
        <v>665975</v>
      </c>
      <c r="N177" s="25" t="s">
        <v>1193</v>
      </c>
      <c r="O177" s="162">
        <v>790</v>
      </c>
      <c r="P177" s="25" t="s">
        <v>1401</v>
      </c>
      <c r="Q177" s="25" t="s">
        <v>917</v>
      </c>
      <c r="R177" s="25" t="s">
        <v>24</v>
      </c>
      <c r="S177" s="25" t="s">
        <v>1197</v>
      </c>
    </row>
    <row r="178" spans="1:24" ht="12.65" customHeight="1" ns3:dyDescent="0.25">
      <c r="A178" s="25" t="s">
        <v>1447</v>
      </c>
      <c r="B178" s="25" t="str">
        <f t="shared" ref="B178:B241" si="18">LEFT(L178,6)&amp;"-"&amp;TEXT(O178,"0000")</f>
      </c>
      <c r="C178" s="25" t="s">
        <v>1147</v>
      </c>
      <c r="D178" s="25" t="s">
        <v>106</v>
      </c>
      <c r="E178" s="25" t="s">
        <v>55</v>
      </c>
      <c r="F178" s="25" t="s">
        <v>1648</v>
      </c>
      <c r="G178" s="25" t="s">
        <v>1205</v>
      </c>
      <c r="H178" s="25" t="str">
        <f>IFERROR(VLOOKUP(#REF!178,'정보화기기 명부'!A$2:B$187,2,FALSE),"")</f>
        <v/>
      </c>
      <c r="I178" s="125" t="s">
        <v>919</v>
      </c>
      <c r="J178" s="25" t="s">
        <v>1466</v>
      </c>
      <c r="K178" s="25"/>
      <c r="L178" s="131">
        <v>20190927</v>
      </c>
      <c r="M178" s="125">
        <v>665975</v>
      </c>
      <c r="N178" s="25" t="s">
        <v>1193</v>
      </c>
      <c r="O178" s="162">
        <v>789</v>
      </c>
      <c r="P178" s="25" t="s">
        <v>1401</v>
      </c>
      <c r="Q178" s="25" t="s">
        <v>917</v>
      </c>
      <c r="R178" s="25" t="s">
        <v>24</v>
      </c>
      <c r="S178" s="25" t="s">
        <v>1197</v>
      </c>
    </row>
    <row r="179" spans="1:24" ht="9" customHeight="1" ns3:dyDescent="0.25">
      <c r="A179" s="25" t="s">
        <v>1207</v>
      </c>
      <c r="B179" s="25" t="str">
        <f t="shared" si="18"/>
      </c>
      <c r="C179" s="25" t="s">
        <v>1147</v>
      </c>
      <c r="D179" s="25" t="s">
        <v>106</v>
      </c>
      <c r="E179" s="25" t="s">
        <v>104</v>
      </c>
      <c r="F179" s="25" t="s">
        <v>1464</v>
      </c>
      <c r="G179" s="25" t="s">
        <v>1173</v>
      </c>
      <c r="H179" s="126" t="str">
        <f>IFERROR(VLOOKUP(#REF!179,'정보화기기 명부'!A$2:B$187,2,FALSE),"")</f>
        <v>소강당</v>
      </c>
      <c r="I179" s="126" t="str">
        <f>IFERROR(VLOOKUP(#REF!179,'교직원용 IP'!$C$2:$H$230,6,FALSE),"")</f>
        <v>10.51.90.110</v>
      </c>
      <c r="J179" s="25"/>
      <c r="K179" s="25"/>
      <c r="L179" s="131">
        <v>20190115</v>
      </c>
      <c r="M179" s="125">
        <v>970000</v>
      </c>
      <c r="N179" s="25" t="s">
        <v>1193</v>
      </c>
      <c r="O179" s="162">
        <v>788</v>
      </c>
      <c r="P179" s="25" t="s">
        <v>1401</v>
      </c>
      <c r="Q179" s="25" t="s">
        <v>917</v>
      </c>
      <c r="R179" s="25" t="s">
        <v>24</v>
      </c>
      <c r="S179" s="25" t="s">
        <v>1215</v>
      </c>
    </row>
    <row r="180" spans="1:24" ht="18.649999999999999" customHeight="1" ns3:dyDescent="0.25">
      <c r="A180" s="25" t="s">
        <v>27</v>
      </c>
      <c r="B180" s="25" t="str">
        <f t="shared" si="18"/>
      </c>
      <c r="C180" s="25" t="s">
        <v>1147</v>
      </c>
      <c r="D180" s="25" t="s">
        <v>106</v>
      </c>
      <c r="E180" s="25" t="s">
        <v>40</v>
      </c>
      <c r="F180" s="25" t="s">
        <v>1464</v>
      </c>
      <c r="G180" s="25" t="s">
        <v>1173</v>
      </c>
      <c r="H180" s="126" t="str">
        <f>IFERROR(VLOOKUP(#REF!180,'정보화기기 명부'!A$2:B$187,2,FALSE),"")</f>
        <v/>
      </c>
      <c r="I180" s="126" t="str">
        <f>IFERROR(VLOOKUP(#REF!180,'교직원용 IP'!$C$2:$H$230,6,FALSE),"")</f>
        <v/>
      </c>
      <c r="J180" s="25"/>
      <c r="K180" s="25"/>
      <c r="L180" s="131">
        <v>20190109</v>
      </c>
      <c r="M180" s="125">
        <v>1065430</v>
      </c>
      <c r="N180" s="25" t="s">
        <v>1191</v>
      </c>
      <c r="O180" s="162">
        <v>787</v>
      </c>
      <c r="P180" s="25" t="s">
        <v>1401</v>
      </c>
      <c r="Q180" s="25" t="s">
        <v>917</v>
      </c>
      <c r="R180" s="25" t="s">
        <v>24</v>
      </c>
      <c r="S180" s="25" t="s">
        <v>1215</v>
      </c>
    </row>
    <row r="181" spans="1:24" ht="18.649999999999999" customHeight="1" ns3:dyDescent="0.25">
      <c r="A181" s="25" t="s">
        <v>1175</v>
      </c>
      <c r="B181" s="25" t="str">
        <f t="shared" si="18"/>
      </c>
      <c r="C181" s="25" t="s">
        <v>1147</v>
      </c>
      <c r="D181" s="25" t="s">
        <v>106</v>
      </c>
      <c r="E181" s="25" t="s">
        <v>120</v>
      </c>
      <c r="F181" s="25" t="s">
        <v>1208</v>
      </c>
      <c r="G181" s="25" t="s">
        <v>15</v>
      </c>
      <c r="H181" s="126" t="str">
        <f>IFERROR(VLOOKUP(#REF!181,'정보화기기 명부'!A$2:B$187,2,FALSE),"")</f>
        <v>도서실</v>
      </c>
      <c r="I181" s="126" t="str">
        <f>IFERROR(VLOOKUP(#REF!181,'교직원용 IP'!$C$2:$H$230,6,FALSE),"")</f>
        <v>10.51.90.130</v>
      </c>
      <c r="J181" s="25" t="s">
        <v>909</v>
      </c>
      <c r="K181" s="25"/>
      <c r="L181" s="132">
        <v>20180918</v>
      </c>
      <c r="M181" s="125">
        <v>990000</v>
      </c>
      <c r="N181" s="25" t="s">
        <v>1191</v>
      </c>
      <c r="O181" s="162">
        <v>786</v>
      </c>
      <c r="P181" s="25" t="s">
        <v>1401</v>
      </c>
      <c r="Q181" s="25" t="s">
        <v>917</v>
      </c>
      <c r="R181" s="25" t="s">
        <v>54</v>
      </c>
      <c r="S181" s="25" t="s">
        <v>910</v>
      </c>
    </row>
    <row r="182" spans="1:24" ht="15" customHeight="1" ns3:dyDescent="0.25">
      <c r="A182" s="25" t="s">
        <v>837</v>
      </c>
      <c r="B182" s="90" t="str">
        <f t="shared" si="18"/>
      </c>
      <c r="C182" s="25" t="s">
        <v>102</v>
      </c>
      <c r="D182" s="25" t="s">
        <v>106</v>
      </c>
      <c r="E182" s="25" t="s">
        <v>120</v>
      </c>
      <c r="F182" s="25" t="s">
        <v>1261</v>
      </c>
      <c r="G182" s="25" t="s">
        <v>117</v>
      </c>
      <c r="H182" s="126" t="str">
        <f>IFERROR(VLOOKUP(#REF!182,'정보화기기 명부'!A$2:B$187,2,FALSE),"")</f>
        <v/>
      </c>
      <c r="I182" s="126" t="str">
        <f>IFERROR(VLOOKUP(#REF!182,'교직원용 IP'!$C$2:$H$230,6,FALSE),"")</f>
        <v/>
      </c>
      <c r="J182" s="25" t="s">
        <v>844</v>
      </c>
      <c r="K182" s="288" t="s">
        <v>1804</v>
      </c>
      <c r="L182" s="132">
        <v>20180820</v>
      </c>
      <c r="M182" s="125">
        <v>850000</v>
      </c>
      <c r="N182" s="25" t="s">
        <v>1186</v>
      </c>
      <c r="O182" s="162">
        <v>785</v>
      </c>
      <c r="P182" s="25" t="s">
        <v>1401</v>
      </c>
      <c r="Q182" s="25" t="s">
        <v>1204</v>
      </c>
      <c r="R182" s="25" t="s">
        <v>24</v>
      </c>
      <c r="S182" s="25" t="s">
        <v>1215</v>
      </c>
    </row>
    <row r="183" spans="1:24" ht="15" customHeight="1" ns3:dyDescent="0.25">
      <c r="A183" s="218" t="s">
        <v>841</v>
      </c>
      <c r="B183" s="90" t="str">
        <f t="shared" si="18"/>
      </c>
      <c r="C183" s="25" t="s">
        <v>102</v>
      </c>
      <c r="D183" s="25" t="s">
        <v>106</v>
      </c>
      <c r="E183" s="25" t="s">
        <v>120</v>
      </c>
      <c r="F183" s="25" t="s">
        <v>1261</v>
      </c>
      <c r="G183" s="25" t="s">
        <v>117</v>
      </c>
      <c r="H183" s="126" t="str">
        <f>IFERROR(VLOOKUP(#REF!183,'정보화기기 명부'!A$2:B$187,2,FALSE),"")</f>
        <v/>
      </c>
      <c r="I183" s="126" t="str">
        <f>IFERROR(VLOOKUP(#REF!183,'교직원용 IP'!$C$2:$H$230,6,FALSE),"")</f>
        <v/>
      </c>
      <c r="J183" s="219" t="s">
        <v>1387</v>
      </c>
      <c r="K183" s="288" t="s">
        <v>1804</v>
      </c>
      <c r="L183" s="132">
        <v>20180820</v>
      </c>
      <c r="M183" s="125">
        <v>850000</v>
      </c>
      <c r="N183" s="25" t="s">
        <v>1186</v>
      </c>
      <c r="O183" s="162">
        <v>784</v>
      </c>
      <c r="P183" s="25" t="s">
        <v>1401</v>
      </c>
      <c r="Q183" s="25" t="s">
        <v>1204</v>
      </c>
      <c r="R183" s="25" t="s">
        <v>24</v>
      </c>
      <c r="S183" s="25" t="s">
        <v>1215</v>
      </c>
    </row>
    <row r="184" spans="1:24" ht="15" customHeight="1" ns3:dyDescent="0.25">
      <c r="A184" s="25" t="s">
        <v>838</v>
      </c>
      <c r="B184" s="90" t="str">
        <f t="shared" si="18"/>
      </c>
      <c r="C184" s="25" t="s">
        <v>102</v>
      </c>
      <c r="D184" s="25" t="s">
        <v>106</v>
      </c>
      <c r="E184" s="25" t="s">
        <v>120</v>
      </c>
      <c r="F184" s="25" t="s">
        <v>1261</v>
      </c>
      <c r="G184" s="25" t="s">
        <v>117</v>
      </c>
      <c r="H184" s="126" t="str">
        <f>IFERROR(VLOOKUP(#REF!184,'정보화기기 명부'!A$2:B$187,2,FALSE),"")</f>
        <v/>
      </c>
      <c r="I184" s="126" t="str">
        <f>IFERROR(VLOOKUP(#REF!184,'교직원용 IP'!$C$2:$H$230,6,FALSE),"")</f>
        <v/>
      </c>
      <c r="J184" s="219" t="s">
        <v>1387</v>
      </c>
      <c r="K184" s="288" t="s">
        <v>1804</v>
      </c>
      <c r="L184" s="132">
        <v>20180820</v>
      </c>
      <c r="M184" s="125">
        <v>850000</v>
      </c>
      <c r="N184" s="25" t="s">
        <v>1186</v>
      </c>
      <c r="O184" s="162">
        <v>783</v>
      </c>
      <c r="P184" s="25" t="s">
        <v>1401</v>
      </c>
      <c r="Q184" s="25" t="s">
        <v>1204</v>
      </c>
      <c r="R184" s="25" t="s">
        <v>24</v>
      </c>
      <c r="S184" s="25" t="s">
        <v>1215</v>
      </c>
    </row>
    <row r="185" spans="1:24" ht="15" customHeight="1" ns3:dyDescent="0.25">
      <c r="A185" s="218" t="s">
        <v>1070</v>
      </c>
      <c r="B185" s="90" t="str">
        <f t="shared" si="18"/>
      </c>
      <c r="C185" s="25" t="s">
        <v>102</v>
      </c>
      <c r="D185" s="25" t="s">
        <v>106</v>
      </c>
      <c r="E185" s="25" t="s">
        <v>120</v>
      </c>
      <c r="F185" s="25" t="s">
        <v>1261</v>
      </c>
      <c r="G185" s="25" t="s">
        <v>117</v>
      </c>
      <c r="H185" s="126" t="str">
        <f>IFERROR(VLOOKUP(#REF!185,'정보화기기 명부'!A$2:B$187,2,FALSE),"")</f>
        <v/>
      </c>
      <c r="I185" s="126" t="str">
        <f>IFERROR(VLOOKUP(#REF!185,'교직원용 IP'!$C$2:$H$230,6,FALSE),"")</f>
        <v/>
      </c>
      <c r="J185" s="89" t="s">
        <v>1455</v>
      </c>
      <c r="K185" s="25"/>
      <c r="L185" s="132">
        <v>20180820</v>
      </c>
      <c r="M185" s="125">
        <v>850000</v>
      </c>
      <c r="N185" s="25" t="s">
        <v>1186</v>
      </c>
      <c r="O185" s="162">
        <v>782</v>
      </c>
      <c r="P185" s="25" t="s">
        <v>1401</v>
      </c>
      <c r="Q185" s="25" t="s">
        <v>1204</v>
      </c>
      <c r="R185" s="25" t="s">
        <v>24</v>
      </c>
      <c r="S185" s="25" t="s">
        <v>1215</v>
      </c>
      <c r="T185" t="inlineStr">
        <is>
          <t>O</t>
        </is>
      </c>
    </row>
    <row r="186" spans="1:24" ht="15" customHeight="1" ns3:dyDescent="0.25">
      <c r="A186" s="218" t="s">
        <v>829</v>
      </c>
      <c r="B186" s="90" t="str">
        <f t="shared" si="18"/>
      </c>
      <c r="C186" s="25" t="s">
        <v>102</v>
      </c>
      <c r="D186" s="25" t="s">
        <v>106</v>
      </c>
      <c r="E186" s="25" t="s">
        <v>120</v>
      </c>
      <c r="F186" s="25" t="s">
        <v>1261</v>
      </c>
      <c r="G186" s="25" t="s">
        <v>117</v>
      </c>
      <c r="H186" s="126" t="str">
        <f>IFERROR(VLOOKUP(#REF!186,'정보화기기 명부'!A$2:B$187,2,FALSE),"")</f>
        <v/>
      </c>
      <c r="I186" s="126" t="str">
        <f>IFERROR(VLOOKUP(#REF!186,'교직원용 IP'!$C$2:$H$230,6,FALSE),"")</f>
        <v/>
      </c>
      <c r="J186" s="219" t="s">
        <v>1387</v>
      </c>
      <c r="K186" s="288" t="s">
        <v>1804</v>
      </c>
      <c r="L186" s="132">
        <v>20180820</v>
      </c>
      <c r="M186" s="125">
        <v>850000</v>
      </c>
      <c r="N186" s="25" t="s">
        <v>1186</v>
      </c>
      <c r="O186" s="162">
        <v>781</v>
      </c>
      <c r="P186" s="25" t="s">
        <v>1401</v>
      </c>
      <c r="Q186" s="25" t="s">
        <v>1204</v>
      </c>
      <c r="R186" s="25" t="s">
        <v>24</v>
      </c>
      <c r="S186" s="25" t="s">
        <v>1215</v>
      </c>
    </row>
    <row r="187" spans="1:24" ht="15" customHeight="1" ns3:dyDescent="0.25">
      <c r="A187" s="218" t="s">
        <v>826</v>
      </c>
      <c r="B187" s="90" t="str">
        <f t="shared" si="18"/>
      </c>
      <c r="C187" s="25" t="s">
        <v>102</v>
      </c>
      <c r="D187" s="25" t="s">
        <v>106</v>
      </c>
      <c r="E187" s="25" t="s">
        <v>120</v>
      </c>
      <c r="F187" s="25" t="s">
        <v>1261</v>
      </c>
      <c r="G187" s="25" t="s">
        <v>117</v>
      </c>
      <c r="H187" s="126" t="str">
        <f>IFERROR(VLOOKUP(#REF!187,'정보화기기 명부'!A$2:B$187,2,FALSE),"")</f>
        <v/>
      </c>
      <c r="I187" s="126" t="str">
        <f>IFERROR(VLOOKUP(#REF!187,'교직원용 IP'!$C$2:$H$230,6,FALSE),"")</f>
        <v/>
      </c>
      <c r="J187" s="219" t="s">
        <v>1387</v>
      </c>
      <c r="K187" s="288" t="s">
        <v>1804</v>
      </c>
      <c r="L187" s="132">
        <v>20180820</v>
      </c>
      <c r="M187" s="125">
        <v>850000</v>
      </c>
      <c r="N187" s="25" t="s">
        <v>1186</v>
      </c>
      <c r="O187" s="162">
        <v>780</v>
      </c>
      <c r="P187" s="25" t="s">
        <v>1401</v>
      </c>
      <c r="Q187" s="25" t="s">
        <v>1204</v>
      </c>
      <c r="R187" s="25" t="s">
        <v>24</v>
      </c>
      <c r="S187" s="25" t="s">
        <v>1215</v>
      </c>
    </row>
    <row r="188" spans="1:24" ht="15" customHeight="1" ns3:dyDescent="0.25">
      <c r="A188" s="218" t="s">
        <v>828</v>
      </c>
      <c r="B188" s="90" t="str">
        <f t="shared" si="18"/>
      </c>
      <c r="C188" s="25" t="s">
        <v>102</v>
      </c>
      <c r="D188" s="25" t="s">
        <v>106</v>
      </c>
      <c r="E188" s="25" t="s">
        <v>120</v>
      </c>
      <c r="F188" s="25" t="s">
        <v>1261</v>
      </c>
      <c r="G188" s="25" t="s">
        <v>117</v>
      </c>
      <c r="H188" s="126" t="str">
        <f>IFERROR(VLOOKUP(#REF!188,'정보화기기 명부'!A$2:B$187,2,FALSE),"")</f>
        <v/>
      </c>
      <c r="I188" s="126" t="str">
        <f>IFERROR(VLOOKUP(#REF!188,'교직원용 IP'!$C$2:$H$230,6,FALSE),"")</f>
        <v/>
      </c>
      <c r="J188" s="219" t="s">
        <v>1387</v>
      </c>
      <c r="K188" s="288" t="s">
        <v>1804</v>
      </c>
      <c r="L188" s="132">
        <v>20180820</v>
      </c>
      <c r="M188" s="125">
        <v>850000</v>
      </c>
      <c r="N188" s="25" t="s">
        <v>1186</v>
      </c>
      <c r="O188" s="162">
        <v>779</v>
      </c>
      <c r="P188" s="25" t="s">
        <v>1401</v>
      </c>
      <c r="Q188" s="25" t="s">
        <v>1204</v>
      </c>
      <c r="R188" s="25" t="s">
        <v>24</v>
      </c>
      <c r="S188" s="25" t="s">
        <v>1215</v>
      </c>
    </row>
    <row r="189" spans="1:24" ht="15" hidden="1" customHeight="1" ns3:dyDescent="0.25">
      <c r="A189" s="25" t="s">
        <v>31</v>
      </c>
      <c r="B189" s="25" t="str">
        <f t="shared" si="18"/>
      </c>
      <c r="C189" s="25" t="s">
        <v>1147</v>
      </c>
      <c r="D189" s="25" t="s">
        <v>106</v>
      </c>
      <c r="E189" s="25" t="s">
        <v>120</v>
      </c>
      <c r="F189" s="25" t="s">
        <v>1655</v>
      </c>
      <c r="G189" s="25" t="s">
        <v>1395</v>
      </c>
      <c r="H189" s="126" t="str">
        <f>IFERROR(VLOOKUP(#REF!189,'정보화기기 명부'!A$2:B$187,2,FALSE),"")</f>
        <v/>
      </c>
      <c r="I189" s="126" t="str">
        <f>IFERROR(VLOOKUP(#REF!189,'교직원용 IP'!$C$2:$H$230,6,FALSE),"")</f>
        <v/>
      </c>
      <c r="J189" s="25"/>
      <c r="K189" s="288"/>
      <c r="L189" s="132">
        <v>20180601</v>
      </c>
      <c r="M189" s="125">
        <v>715500</v>
      </c>
      <c r="N189" s="25" t="s">
        <v>1191</v>
      </c>
      <c r="O189" s="162">
        <v>778</v>
      </c>
      <c r="P189" s="25" t="s">
        <v>1401</v>
      </c>
      <c r="Q189" s="25" t="s">
        <v>917</v>
      </c>
      <c r="R189" s="25" t="s">
        <v>24</v>
      </c>
      <c r="S189" s="25" t="s">
        <v>1197</v>
      </c>
    </row>
    <row r="190" spans="1:24" ht="15" hidden="1" customHeight="1" ns3:dyDescent="0.25">
      <c r="A190" s="25" t="s">
        <v>66</v>
      </c>
      <c r="B190" s="25" t="str">
        <f t="shared" si="18"/>
      </c>
      <c r="C190" s="25" t="s">
        <v>1147</v>
      </c>
      <c r="D190" s="25" t="s">
        <v>106</v>
      </c>
      <c r="E190" s="25" t="s">
        <v>120</v>
      </c>
      <c r="F190" s="25" t="s">
        <v>1655</v>
      </c>
      <c r="G190" s="25" t="s">
        <v>1395</v>
      </c>
      <c r="H190" s="126" t="str">
        <f>IFERROR(VLOOKUP(#REF!190,'정보화기기 명부'!A$2:B$187,2,FALSE),"")</f>
        <v>2층 교무실</v>
      </c>
      <c r="I190" s="126" t="str">
        <f>IFERROR(VLOOKUP(#REF!190,'교직원용 IP'!$C$2:$H$230,6,FALSE),"")</f>
        <v>10.51.90.87</v>
      </c>
      <c r="J190" s="25"/>
      <c r="K190" s="288"/>
      <c r="L190" s="132">
        <v>20180601</v>
      </c>
      <c r="M190" s="125">
        <v>715500</v>
      </c>
      <c r="N190" s="25" t="s">
        <v>1191</v>
      </c>
      <c r="O190" s="162">
        <v>777</v>
      </c>
      <c r="P190" s="25" t="s">
        <v>1401</v>
      </c>
      <c r="Q190" s="25" t="s">
        <v>917</v>
      </c>
      <c r="R190" s="25" t="s">
        <v>24</v>
      </c>
      <c r="S190" s="25" t="s">
        <v>1197</v>
      </c>
    </row>
    <row r="191" spans="1:24" ht="15" hidden="1" customHeight="1" ns3:dyDescent="0.25">
      <c r="A191" s="25" t="s">
        <v>937</v>
      </c>
      <c r="B191" s="25" t="str">
        <f t="shared" si="18"/>
      </c>
      <c r="C191" s="25" t="s">
        <v>1147</v>
      </c>
      <c r="D191" s="25" t="s">
        <v>106</v>
      </c>
      <c r="E191" s="25" t="s">
        <v>8</v>
      </c>
      <c r="F191" s="25" t="s">
        <v>1462</v>
      </c>
      <c r="G191" s="25" t="s">
        <v>935</v>
      </c>
      <c r="H191" s="126" t="str">
        <f>IFERROR(VLOOKUP(#REF!191,'정보화기기 명부'!A$2:B$187,2,FALSE),"")</f>
        <v>교무기획부</v>
      </c>
      <c r="I191" s="126" t="str">
        <f>IFERROR(VLOOKUP(#REF!191,'교직원용 IP'!$C$2:$H$230,6,FALSE),"")</f>
        <v>10.51.90.98</v>
      </c>
      <c r="J191" s="25"/>
      <c r="K191" s="288"/>
      <c r="L191" s="132">
        <v>20180521</v>
      </c>
      <c r="M191" s="125">
        <v>700000</v>
      </c>
      <c r="N191" s="25" t="s">
        <v>1191</v>
      </c>
      <c r="O191" s="162">
        <v>776</v>
      </c>
      <c r="P191" s="25" t="s">
        <v>1401</v>
      </c>
      <c r="Q191" s="25" t="s">
        <v>907</v>
      </c>
      <c r="R191" s="25" t="s">
        <v>24</v>
      </c>
      <c r="S191" s="25" t="s">
        <v>1197</v>
      </c>
    </row>
    <row r="192" spans="1:24" ht="15" customHeight="1" ns3:dyDescent="0.25">
      <c r="A192" s="218" t="s">
        <v>839</v>
      </c>
      <c r="B192" s="90" t="str">
        <f t="shared" si="18"/>
      </c>
      <c r="C192" s="25" t="s">
        <v>102</v>
      </c>
      <c r="D192" s="25" t="s">
        <v>106</v>
      </c>
      <c r="E192" s="25" t="s">
        <v>120</v>
      </c>
      <c r="F192" s="25" t="s">
        <v>1656</v>
      </c>
      <c r="G192" s="25" t="s">
        <v>117</v>
      </c>
      <c r="H192" s="126" t="str">
        <f>IFERROR(VLOOKUP(#REF!192,'정보화기기 명부'!A$2:B$187,2,FALSE),"")</f>
        <v/>
      </c>
      <c r="I192" s="126" t="str">
        <f>IFERROR(VLOOKUP(#REF!192,'교직원용 IP'!$C$2:$H$230,6,FALSE),"")</f>
        <v/>
      </c>
      <c r="J192" s="219" t="s">
        <v>1387</v>
      </c>
      <c r="K192" s="288" t="s">
        <v>1804</v>
      </c>
      <c r="L192" s="132">
        <v>20180102</v>
      </c>
      <c r="M192" s="125">
        <v>690000</v>
      </c>
      <c r="N192" s="25" t="s">
        <v>1186</v>
      </c>
      <c r="O192" s="162">
        <v>762</v>
      </c>
      <c r="P192" s="25" t="s">
        <v>1401</v>
      </c>
      <c r="Q192" s="25" t="s">
        <v>1204</v>
      </c>
      <c r="R192" s="25" t="s">
        <v>24</v>
      </c>
      <c r="S192" s="25" t="s">
        <v>1197</v>
      </c>
    </row>
    <row r="193" spans="1:22" ht="15" customHeight="1" ns3:dyDescent="0.25">
      <c r="A193" s="218" t="s">
        <v>818</v>
      </c>
      <c r="B193" s="90" t="str">
        <f t="shared" si="18"/>
      </c>
      <c r="C193" s="25" t="s">
        <v>102</v>
      </c>
      <c r="D193" s="25" t="s">
        <v>106</v>
      </c>
      <c r="E193" s="25" t="s">
        <v>120</v>
      </c>
      <c r="F193" s="25" t="s">
        <v>1656</v>
      </c>
      <c r="G193" s="25" t="s">
        <v>117</v>
      </c>
      <c r="H193" s="126" t="str">
        <f>IFERROR(VLOOKUP(#REF!193,'정보화기기 명부'!A$2:B$187,2,FALSE),"")</f>
        <v/>
      </c>
      <c r="I193" s="126" t="str">
        <f>IFERROR(VLOOKUP(#REF!193,'교직원용 IP'!$C$2:$H$230,6,FALSE),"")</f>
        <v/>
      </c>
      <c r="J193" s="219" t="s">
        <v>1387</v>
      </c>
      <c r="K193" s="288" t="s">
        <v>1804</v>
      </c>
      <c r="L193" s="132">
        <v>20180102</v>
      </c>
      <c r="M193" s="125">
        <v>690000</v>
      </c>
      <c r="N193" s="25" t="s">
        <v>1186</v>
      </c>
      <c r="O193" s="162">
        <v>761</v>
      </c>
      <c r="P193" s="25" t="s">
        <v>1401</v>
      </c>
      <c r="Q193" s="25" t="s">
        <v>1204</v>
      </c>
      <c r="R193" s="25" t="s">
        <v>24</v>
      </c>
      <c r="S193" s="25" t="s">
        <v>1197</v>
      </c>
    </row>
    <row r="194" spans="1:22" ht="15" customHeight="1" ns3:dyDescent="0.25">
      <c r="A194" s="218" t="s">
        <v>1378</v>
      </c>
      <c r="B194" s="90" t="str">
        <f t="shared" si="18"/>
      </c>
      <c r="C194" s="25" t="s">
        <v>102</v>
      </c>
      <c r="D194" s="25" t="s">
        <v>106</v>
      </c>
      <c r="E194" s="25" t="s">
        <v>120</v>
      </c>
      <c r="F194" s="25" t="s">
        <v>1656</v>
      </c>
      <c r="G194" s="25" t="s">
        <v>117</v>
      </c>
      <c r="H194" s="126" t="str">
        <f>IFERROR(VLOOKUP(#REF!194,'정보화기기 명부'!A$2:B$187,2,FALSE),"")</f>
        <v/>
      </c>
      <c r="I194" s="126" t="str">
        <f>IFERROR(VLOOKUP(#REF!194,'교직원용 IP'!$C$2:$H$230,6,FALSE),"")</f>
        <v/>
      </c>
      <c r="J194" s="25" t="s">
        <v>1379</v>
      </c>
      <c r="L194" s="132">
        <v>20180102</v>
      </c>
      <c r="M194" s="125">
        <v>690000</v>
      </c>
      <c r="N194" s="25" t="s">
        <v>1186</v>
      </c>
      <c r="O194" s="162">
        <v>760</v>
      </c>
      <c r="P194" s="25" t="s">
        <v>1401</v>
      </c>
      <c r="Q194" s="25" t="s">
        <v>1204</v>
      </c>
      <c r="R194" s="25" t="s">
        <v>24</v>
      </c>
      <c r="S194" s="25" t="s">
        <v>1197</v>
      </c>
    </row>
    <row r="195" spans="1:22" ht="15" customHeight="1" ns3:dyDescent="0.25">
      <c r="A195" s="218" t="s">
        <v>835</v>
      </c>
      <c r="B195" s="90" t="str">
        <f t="shared" si="18"/>
      </c>
      <c r="C195" s="25" t="s">
        <v>102</v>
      </c>
      <c r="D195" s="25" t="s">
        <v>106</v>
      </c>
      <c r="E195" s="25" t="s">
        <v>120</v>
      </c>
      <c r="F195" s="25" t="s">
        <v>1656</v>
      </c>
      <c r="G195" s="25" t="s">
        <v>117</v>
      </c>
      <c r="H195" s="126" t="str">
        <f>IFERROR(VLOOKUP(#REF!195,'정보화기기 명부'!A$2:B$187,2,FALSE),"")</f>
        <v/>
      </c>
      <c r="I195" s="126" t="str">
        <f>IFERROR(VLOOKUP(#REF!195,'교직원용 IP'!$C$2:$H$230,6,FALSE),"")</f>
        <v/>
      </c>
      <c r="J195" s="219" t="s">
        <v>1387</v>
      </c>
      <c r="K195" s="288" t="s">
        <v>1804</v>
      </c>
      <c r="L195" s="132">
        <v>20180102</v>
      </c>
      <c r="M195" s="125">
        <v>690000</v>
      </c>
      <c r="N195" s="25" t="s">
        <v>1186</v>
      </c>
      <c r="O195" s="162">
        <v>759</v>
      </c>
      <c r="P195" s="25" t="s">
        <v>1401</v>
      </c>
      <c r="Q195" s="25" t="s">
        <v>1204</v>
      </c>
      <c r="R195" s="25" t="s">
        <v>24</v>
      </c>
      <c r="S195" s="25" t="s">
        <v>1197</v>
      </c>
    </row>
    <row r="196" spans="1:22" ht="15" customHeight="1" ns3:dyDescent="0.25">
      <c r="A196" s="25" t="s">
        <v>843</v>
      </c>
      <c r="B196" s="90" t="str">
        <f t="shared" si="18"/>
      </c>
      <c r="C196" s="25" t="s">
        <v>102</v>
      </c>
      <c r="D196" s="25" t="s">
        <v>106</v>
      </c>
      <c r="E196" s="25" t="s">
        <v>120</v>
      </c>
      <c r="F196" s="25" t="s">
        <v>1656</v>
      </c>
      <c r="G196" s="25" t="s">
        <v>117</v>
      </c>
      <c r="H196" s="126" t="str">
        <f>IFERROR(VLOOKUP(#REF!196,'정보화기기 명부'!A$2:B$187,2,FALSE),"")</f>
        <v/>
      </c>
      <c r="I196" s="126" t="str">
        <f>IFERROR(VLOOKUP(#REF!196,'교직원용 IP'!$C$2:$H$230,6,FALSE),"")</f>
        <v/>
      </c>
      <c r="J196" s="25" t="s">
        <v>1377</v>
      </c>
      <c r="L196" s="132">
        <v>20180102</v>
      </c>
      <c r="M196" s="125">
        <v>690000</v>
      </c>
      <c r="N196" s="25" t="s">
        <v>1186</v>
      </c>
      <c r="O196" s="162">
        <v>758</v>
      </c>
      <c r="P196" s="25" t="s">
        <v>1401</v>
      </c>
      <c r="Q196" s="25" t="s">
        <v>1204</v>
      </c>
      <c r="R196" s="25" t="s">
        <v>24</v>
      </c>
      <c r="S196" s="25" t="s">
        <v>1197</v>
      </c>
    </row>
    <row r="197" spans="1:22" ht="15" customHeight="1" ns3:dyDescent="0.25">
      <c r="A197" s="25" t="s">
        <v>1211</v>
      </c>
      <c r="B197" s="90" t="str">
        <f t="shared" si="18"/>
      </c>
      <c r="C197" s="25" t="s">
        <v>102</v>
      </c>
      <c r="D197" s="210" t="s">
        <v>45</v>
      </c>
      <c r="E197" s="25" t="s">
        <v>120</v>
      </c>
      <c r="F197" s="25" t="s">
        <v>1656</v>
      </c>
      <c r="G197" s="25" t="s">
        <v>117</v>
      </c>
      <c r="H197" s="126" t="str">
        <f>IFERROR(VLOOKUP(#REF!197,'정보화기기 명부'!A$2:B$187,2,FALSE),"")</f>
        <v/>
      </c>
      <c r="I197" s="126" t="str">
        <f>IFERROR(VLOOKUP(#REF!197,'교직원용 IP'!$C$2:$H$230,6,FALSE),"")</f>
        <v/>
      </c>
      <c r="J197" s="89" t="s">
        <v>1455</v>
      </c>
      <c r="L197" s="132">
        <v>20180102</v>
      </c>
      <c r="M197" s="125">
        <v>690000</v>
      </c>
      <c r="N197" s="25" t="s">
        <v>1186</v>
      </c>
      <c r="O197" s="162">
        <v>757</v>
      </c>
      <c r="P197" s="25" t="s">
        <v>1401</v>
      </c>
      <c r="Q197" s="25" t="s">
        <v>1204</v>
      </c>
      <c r="R197" s="25" t="s">
        <v>24</v>
      </c>
      <c r="S197" s="25" t="s">
        <v>1197</v>
      </c>
      <c r="T197" t="inlineStr">
        <is>
          <t>O</t>
        </is>
      </c>
    </row>
    <row r="198" spans="1:22" ht="15" customHeight="1" ns3:dyDescent="0.25">
      <c r="A198" s="25" t="s">
        <v>51</v>
      </c>
      <c r="B198" s="90" t="str">
        <f t="shared" si="18"/>
      </c>
      <c r="C198" s="25" t="s">
        <v>102</v>
      </c>
      <c r="D198" s="25" t="s">
        <v>106</v>
      </c>
      <c r="E198" s="25" t="s">
        <v>120</v>
      </c>
      <c r="F198" s="25" t="s">
        <v>1656</v>
      </c>
      <c r="G198" s="25" t="s">
        <v>117</v>
      </c>
      <c r="H198" s="126" t="str">
        <f>IFERROR(VLOOKUP(#REF!198,'정보화기기 명부'!A$2:B$187,2,FALSE),"")</f>
        <v>특수교육부</v>
      </c>
      <c r="I198" s="126" t="str">
        <f>IFERROR(VLOOKUP(#REF!198,'교직원용 IP'!$C$2:$H$230,6,FALSE),"")</f>
        <v/>
      </c>
      <c r="J198" s="25"/>
      <c r="K198" s="25"/>
      <c r="L198" s="132">
        <v>20180102</v>
      </c>
      <c r="M198" s="125">
        <v>690000</v>
      </c>
      <c r="N198" s="25" t="s">
        <v>1186</v>
      </c>
      <c r="O198" s="162">
        <v>756</v>
      </c>
      <c r="P198" s="25" t="s">
        <v>1401</v>
      </c>
      <c r="Q198" s="25" t="s">
        <v>1204</v>
      </c>
      <c r="R198" s="25" t="s">
        <v>24</v>
      </c>
      <c r="S198" s="25" t="s">
        <v>1197</v>
      </c>
    </row>
    <row r="199" spans="1:22" ht="15" customHeight="1" ns3:dyDescent="0.25">
      <c r="A199" s="118" t="s">
        <v>63</v>
      </c>
      <c r="B199" s="25" t="str">
        <f t="shared" si="18"/>
      </c>
      <c r="C199" s="25" t="s">
        <v>102</v>
      </c>
      <c r="D199" s="25" t="s">
        <v>106</v>
      </c>
      <c r="E199" s="25" t="s">
        <v>120</v>
      </c>
      <c r="F199" s="25" t="s">
        <v>1656</v>
      </c>
      <c r="G199" s="25" t="s">
        <v>117</v>
      </c>
      <c r="H199" s="126" t="str">
        <f>IFERROR(VLOOKUP(#REF!199,'정보화기기 명부'!A$2:B$187,2,FALSE),"")</f>
        <v>야구부합숙소</v>
      </c>
      <c r="I199" s="126" t="str">
        <f>IFERROR(VLOOKUP(#REF!199,'교직원용 IP'!$C$2:$H$230,6,FALSE),"")</f>
        <v>10.51.91.14</v>
      </c>
      <c r="J199" s="25"/>
      <c r="K199" s="25"/>
      <c r="L199" s="132">
        <v>20180102</v>
      </c>
      <c r="M199" s="125">
        <v>690000</v>
      </c>
      <c r="N199" s="25" t="s">
        <v>1186</v>
      </c>
      <c r="O199" s="162">
        <v>755</v>
      </c>
      <c r="P199" s="25" t="s">
        <v>1401</v>
      </c>
      <c r="Q199" s="25" t="s">
        <v>1204</v>
      </c>
      <c r="R199" s="25" t="s">
        <v>24</v>
      </c>
      <c r="S199" s="25" t="s">
        <v>1197</v>
      </c>
    </row>
    <row r="200" spans="1:22" ht="15" customHeight="1" ns3:dyDescent="0.25">
      <c r="A200" s="25" t="s">
        <v>834</v>
      </c>
      <c r="B200" s="90" t="str">
        <f t="shared" si="18"/>
      </c>
      <c r="C200" s="25" t="s">
        <v>102</v>
      </c>
      <c r="D200" s="25" t="s">
        <v>106</v>
      </c>
      <c r="E200" s="25" t="s">
        <v>120</v>
      </c>
      <c r="F200" s="25" t="s">
        <v>1656</v>
      </c>
      <c r="G200" s="25" t="s">
        <v>117</v>
      </c>
      <c r="H200" s="126" t="str">
        <f>IFERROR(VLOOKUP(#REF!200,'정보화기기 명부'!A$2:B$187,2,FALSE),"")</f>
        <v/>
      </c>
      <c r="I200" s="126" t="str">
        <f>IFERROR(VLOOKUP(#REF!200,'교직원용 IP'!$C$2:$H$230,6,FALSE),"")</f>
        <v/>
      </c>
      <c r="J200" s="25" t="s">
        <v>1768</v>
      </c>
      <c r="K200" s="25"/>
      <c r="L200" s="132">
        <v>20180102</v>
      </c>
      <c r="M200" s="125">
        <v>690000</v>
      </c>
      <c r="N200" s="25" t="s">
        <v>1186</v>
      </c>
      <c r="O200" s="162">
        <v>754</v>
      </c>
      <c r="P200" s="25" t="s">
        <v>1401</v>
      </c>
      <c r="Q200" s="25" t="s">
        <v>1204</v>
      </c>
      <c r="R200" s="25" t="s">
        <v>24</v>
      </c>
      <c r="S200" s="25" t="s">
        <v>1197</v>
      </c>
    </row>
    <row r="201" spans="1:22" ht="15" customHeight="1" ns3:dyDescent="0.25">
      <c r="A201" s="25" t="s">
        <v>918</v>
      </c>
      <c r="B201" s="90" t="str">
        <f t="shared" si="18"/>
      </c>
      <c r="C201" s="25" t="s">
        <v>102</v>
      </c>
      <c r="D201" s="210" t="s">
        <v>915</v>
      </c>
      <c r="E201" s="25" t="s">
        <v>120</v>
      </c>
      <c r="F201" s="25" t="s">
        <v>1656</v>
      </c>
      <c r="G201" s="25" t="s">
        <v>117</v>
      </c>
      <c r="H201" s="126" t="str">
        <f>IFERROR(VLOOKUP(#REF!201,'정보화기기 명부'!A$2:B$187,2,FALSE),"")</f>
        <v/>
      </c>
      <c r="I201" s="126" t="str">
        <f>IFERROR(VLOOKUP(#REF!201,'교직원용 IP'!$C$2:$H$230,6,FALSE),"")</f>
        <v/>
      </c>
      <c r="J201" s="25"/>
      <c r="K201" s="25"/>
      <c r="L201" s="132">
        <v>20180102</v>
      </c>
      <c r="M201" s="125">
        <v>690000</v>
      </c>
      <c r="N201" s="25" t="s">
        <v>1186</v>
      </c>
      <c r="O201" s="162">
        <v>753</v>
      </c>
      <c r="P201" s="25" t="s">
        <v>1401</v>
      </c>
      <c r="Q201" s="25" t="s">
        <v>1204</v>
      </c>
      <c r="R201" s="25" t="s">
        <v>24</v>
      </c>
      <c r="S201" s="25" t="s">
        <v>1197</v>
      </c>
      <c r="T201" t="inlineStr">
        <is>
          <t>O</t>
        </is>
      </c>
    </row>
    <row r="202" spans="1:22" ht="15" customHeight="1" ns3:dyDescent="0.25">
      <c r="A202" s="25" t="s">
        <v>1199</v>
      </c>
      <c r="B202" s="25" t="str">
        <f t="shared" si="18"/>
      </c>
      <c r="C202" s="25" t="s">
        <v>102</v>
      </c>
      <c r="D202" s="210" t="s">
        <v>915</v>
      </c>
      <c r="E202" s="25" t="s">
        <v>120</v>
      </c>
      <c r="F202" s="25" t="s">
        <v>1656</v>
      </c>
      <c r="G202" s="25" t="s">
        <v>117</v>
      </c>
      <c r="H202" s="126" t="str">
        <f>IFERROR(VLOOKUP(#REF!202,'정보화기기 명부'!A$2:B$187,2,FALSE),"")</f>
        <v/>
      </c>
      <c r="I202" s="126" t="str">
        <f>IFERROR(VLOOKUP(#REF!202,'교직원용 IP'!$C$2:$H$230,6,FALSE),"")</f>
        <v/>
      </c>
      <c r="J202" s="25"/>
      <c r="K202" s="25"/>
      <c r="L202" s="133">
        <v>20170705</v>
      </c>
      <c r="M202" s="125">
        <v>1080000</v>
      </c>
      <c r="N202" s="25" t="s">
        <v>1191</v>
      </c>
      <c r="O202" s="162">
        <v>752</v>
      </c>
      <c r="P202" s="25" t="s">
        <v>1401</v>
      </c>
      <c r="Q202" s="25" t="s">
        <v>1204</v>
      </c>
      <c r="R202" s="25" t="s">
        <v>24</v>
      </c>
      <c r="S202" s="25" t="s">
        <v>1180</v>
      </c>
      <c r="T202" t="inlineStr">
        <is>
          <t>O</t>
        </is>
      </c>
    </row>
    <row r="203" spans="1:22" ht="15" customHeight="1" ns3:dyDescent="0.25">
      <c r="A203" s="25" t="s">
        <v>923</v>
      </c>
      <c r="B203" s="25" t="str">
        <f t="shared" si="18"/>
      </c>
      <c r="C203" s="25" t="s">
        <v>102</v>
      </c>
      <c r="D203" s="25" t="s">
        <v>28</v>
      </c>
      <c r="E203" s="25" t="s">
        <v>120</v>
      </c>
      <c r="F203" s="25" t="s">
        <v>1656</v>
      </c>
      <c r="G203" s="25" t="s">
        <v>117</v>
      </c>
      <c r="H203" s="126" t="str">
        <f>IFERROR(VLOOKUP(#REF!203,'정보화기기 명부'!A$2:B$187,2,FALSE),"")</f>
        <v/>
      </c>
      <c r="I203" s="126" t="str">
        <f>IFERROR(VLOOKUP(#REF!203,'교직원용 IP'!$C$2:$H$230,6,FALSE),"")</f>
        <v/>
      </c>
      <c r="J203" s="89" t="s">
        <v>1455</v>
      </c>
      <c r="K203" s="25"/>
      <c r="L203" s="133">
        <v>20170705</v>
      </c>
      <c r="M203" s="125">
        <v>1080000</v>
      </c>
      <c r="N203" s="25" t="s">
        <v>1191</v>
      </c>
      <c r="O203" s="162">
        <v>751</v>
      </c>
      <c r="P203" s="25" t="s">
        <v>1401</v>
      </c>
      <c r="Q203" s="25" t="s">
        <v>1204</v>
      </c>
      <c r="R203" s="25" t="s">
        <v>24</v>
      </c>
      <c r="S203" s="25" t="s">
        <v>1180</v>
      </c>
      <c r="T203" t="inlineStr">
        <is>
          <t>O</t>
        </is>
      </c>
    </row>
    <row r="204" spans="1:22" ht="15" customHeight="1" ns3:dyDescent="0.25">
      <c r="A204" s="25" t="s">
        <v>932</v>
      </c>
      <c r="B204" s="25" t="str">
        <f t="shared" si="18"/>
      </c>
      <c r="C204" s="25" t="s">
        <v>102</v>
      </c>
      <c r="D204" s="25" t="s">
        <v>28</v>
      </c>
      <c r="E204" s="25" t="s">
        <v>120</v>
      </c>
      <c r="F204" s="25" t="s">
        <v>1656</v>
      </c>
      <c r="G204" s="25" t="s">
        <v>117</v>
      </c>
      <c r="H204" s="126" t="str">
        <f>IFERROR(VLOOKUP(#REF!204,'정보화기기 명부'!A$2:B$187,2,FALSE),"")</f>
        <v/>
      </c>
      <c r="I204" s="126" t="str">
        <f>IFERROR(VLOOKUP(#REF!204,'교직원용 IP'!$C$2:$H$230,6,FALSE),"")</f>
        <v/>
      </c>
      <c r="J204" s="89" t="s">
        <v>1455</v>
      </c>
      <c r="K204" s="25"/>
      <c r="L204" s="133">
        <v>20170705</v>
      </c>
      <c r="M204" s="125">
        <v>1080000</v>
      </c>
      <c r="N204" s="25" t="s">
        <v>1191</v>
      </c>
      <c r="O204" s="162">
        <v>750</v>
      </c>
      <c r="P204" s="25" t="s">
        <v>1401</v>
      </c>
      <c r="Q204" s="25" t="s">
        <v>1204</v>
      </c>
      <c r="R204" s="25" t="s">
        <v>24</v>
      </c>
      <c r="S204" s="25" t="s">
        <v>1180</v>
      </c>
      <c r="T204" t="inlineStr">
        <is>
          <t>O</t>
        </is>
      </c>
    </row>
    <row r="205" spans="1:22" ht="15" customHeight="1" ns3:dyDescent="0.25">
      <c r="A205" s="25" t="s">
        <v>908</v>
      </c>
      <c r="B205" s="25" t="str">
        <f t="shared" si="18"/>
      </c>
      <c r="C205" s="25" t="s">
        <v>102</v>
      </c>
      <c r="D205" s="25" t="s">
        <v>28</v>
      </c>
      <c r="E205" s="25" t="s">
        <v>120</v>
      </c>
      <c r="F205" s="25" t="s">
        <v>1656</v>
      </c>
      <c r="G205" s="25" t="s">
        <v>117</v>
      </c>
      <c r="H205" s="215" t="str">
        <f>IFERROR(VLOOKUP(#REF!205,'정보화기기 명부'!A$2:B$187,2,FALSE),"")</f>
        <v/>
      </c>
      <c r="I205" s="126" t="str">
        <f>IFERROR(VLOOKUP(#REF!205,'교직원용 IP'!$C$2:$H$230,6,FALSE),"")</f>
        <v/>
      </c>
      <c r="J205" s="89" t="s">
        <v>1455</v>
      </c>
      <c r="K205" s="25"/>
      <c r="L205" s="133">
        <v>20170705</v>
      </c>
      <c r="M205" s="125">
        <v>1080000</v>
      </c>
      <c r="N205" s="25" t="s">
        <v>1191</v>
      </c>
      <c r="O205" s="162">
        <v>749</v>
      </c>
      <c r="P205" s="25" t="s">
        <v>1401</v>
      </c>
      <c r="Q205" s="25" t="s">
        <v>1204</v>
      </c>
      <c r="R205" s="25" t="s">
        <v>24</v>
      </c>
      <c r="S205" s="25" t="s">
        <v>1180</v>
      </c>
      <c r="T205" t="inlineStr">
        <is>
          <t>O</t>
        </is>
      </c>
    </row>
    <row r="206" spans="1:22" ht="15" customHeight="1" ns3:dyDescent="0.25">
      <c r="A206" s="25" t="s">
        <v>930</v>
      </c>
      <c r="B206" s="25" t="str">
        <f t="shared" si="18"/>
      </c>
      <c r="C206" s="25" t="s">
        <v>102</v>
      </c>
      <c r="D206" s="25" t="s">
        <v>28</v>
      </c>
      <c r="E206" s="25" t="s">
        <v>120</v>
      </c>
      <c r="F206" s="25" t="s">
        <v>1656</v>
      </c>
      <c r="G206" s="25" t="s">
        <v>117</v>
      </c>
      <c r="H206" s="126" t="str">
        <f>IFERROR(VLOOKUP(#REF!206,'정보화기기 명부'!A$2:B$187,2,FALSE),"")</f>
        <v/>
      </c>
      <c r="I206" s="126" t="str">
        <f>IFERROR(VLOOKUP(#REF!206,'교직원용 IP'!$C$2:$H$230,6,FALSE),"")</f>
        <v/>
      </c>
      <c r="J206" s="89" t="s">
        <v>1455</v>
      </c>
      <c r="K206" s="25"/>
      <c r="L206" s="133">
        <v>20170705</v>
      </c>
      <c r="M206" s="125">
        <v>1080000</v>
      </c>
      <c r="N206" s="25" t="s">
        <v>1191</v>
      </c>
      <c r="O206" s="162">
        <v>748</v>
      </c>
      <c r="P206" s="25" t="s">
        <v>1401</v>
      </c>
      <c r="Q206" s="25" t="s">
        <v>1204</v>
      </c>
      <c r="R206" s="25" t="s">
        <v>24</v>
      </c>
      <c r="S206" s="25" t="s">
        <v>1180</v>
      </c>
      <c r="T206" t="inlineStr">
        <is>
          <t>O</t>
        </is>
      </c>
    </row>
    <row r="207" spans="1:22" ht="15" customHeight="1" ns3:dyDescent="0.25">
      <c r="A207" s="25" t="s">
        <v>1217</v>
      </c>
      <c r="B207" s="90" t="str">
        <f t="shared" si="18"/>
      </c>
      <c r="C207" s="25" t="s">
        <v>102</v>
      </c>
      <c r="D207" s="25" t="s">
        <v>106</v>
      </c>
      <c r="E207" s="25" t="s">
        <v>120</v>
      </c>
      <c r="F207" s="25" t="s">
        <v>1656</v>
      </c>
      <c r="G207" s="25" t="s">
        <v>117</v>
      </c>
      <c r="H207" s="126" t="str">
        <f>IFERROR(VLOOKUP(#REF!207,'정보화기기 명부'!A$2:B$187,2,FALSE),"")</f>
        <v/>
      </c>
      <c r="I207" s="126" t="str">
        <f>IFERROR(VLOOKUP(#REF!207,'교직원용 IP'!$C$2:$H$230,6,FALSE),"")</f>
        <v/>
      </c>
      <c r="J207" s="89" t="s">
        <v>1455</v>
      </c>
      <c r="K207" s="25"/>
      <c r="L207" s="133">
        <v>20170705</v>
      </c>
      <c r="M207" s="125">
        <v>1080000</v>
      </c>
      <c r="N207" s="25" t="s">
        <v>1191</v>
      </c>
      <c r="O207" s="162">
        <v>747</v>
      </c>
      <c r="P207" s="25" t="s">
        <v>1401</v>
      </c>
      <c r="Q207" s="25" t="s">
        <v>1204</v>
      </c>
      <c r="R207" s="25" t="s">
        <v>24</v>
      </c>
      <c r="S207" s="25" t="s">
        <v>1180</v>
      </c>
      <c r="T207" t="inlineStr">
        <is>
          <t>O</t>
        </is>
      </c>
    </row>
    <row r="208" spans="1:22" ht="15" customHeight="1" ns3:dyDescent="0.25">
      <c r="A208" s="25" t="s">
        <v>67</v>
      </c>
      <c r="B208" s="25" t="str">
        <f t="shared" si="18"/>
      </c>
      <c r="C208" s="25" t="s">
        <v>102</v>
      </c>
      <c r="D208" s="25" t="s">
        <v>106</v>
      </c>
      <c r="E208" s="25" t="s">
        <v>120</v>
      </c>
      <c r="F208" s="25" t="s">
        <v>1656</v>
      </c>
      <c r="G208" s="25" t="s">
        <v>117</v>
      </c>
      <c r="H208" s="126" t="str">
        <f>IFERROR(VLOOKUP(#REF!208,'정보화기기 명부'!A$2:B$187,2,FALSE),"")</f>
        <v>수리과학부</v>
      </c>
      <c r="I208" s="126" t="str">
        <f>IFERROR(VLOOKUP(#REF!208,'교직원용 IP'!$C$2:$H$230,6,FALSE),"")</f>
        <v>10.51.90.135</v>
      </c>
      <c r="J208" s="25"/>
      <c r="K208" s="25"/>
      <c r="L208" s="133">
        <v>20170705</v>
      </c>
      <c r="M208" s="125">
        <v>1080000</v>
      </c>
      <c r="N208" s="25" t="s">
        <v>1191</v>
      </c>
      <c r="O208" s="162">
        <v>746</v>
      </c>
      <c r="P208" s="25" t="s">
        <v>1401</v>
      </c>
      <c r="Q208" s="25" t="s">
        <v>1204</v>
      </c>
      <c r="R208" s="25" t="s">
        <v>24</v>
      </c>
      <c r="S208" s="25" t="s">
        <v>1180</v>
      </c>
      <c r="T208" t="inlineStr">
        <is>
          <t>O</t>
        </is>
      </c>
    </row>
    <row r="209" spans="1:24" ht="15" customHeight="1" ns3:dyDescent="0.25">
      <c r="A209" s="25" t="s">
        <v>927</v>
      </c>
      <c r="B209" s="25" t="str">
        <f t="shared" si="18"/>
      </c>
      <c r="C209" s="25" t="s">
        <v>102</v>
      </c>
      <c r="D209" s="25" t="s">
        <v>28</v>
      </c>
      <c r="E209" s="25" t="s">
        <v>120</v>
      </c>
      <c r="F209" s="25" t="s">
        <v>1656</v>
      </c>
      <c r="G209" s="25" t="s">
        <v>117</v>
      </c>
      <c r="H209" s="126" t="str">
        <f>IFERROR(VLOOKUP(#REF!209,'정보화기기 명부'!A$2:B$187,2,FALSE),"")</f>
        <v/>
      </c>
      <c r="I209" s="126" t="str">
        <f>IFERROR(VLOOKUP(#REF!209,'교직원용 IP'!$C$2:$H$230,6,FALSE),"")</f>
        <v/>
      </c>
      <c r="J209" s="89" t="s">
        <v>1455</v>
      </c>
      <c r="K209" s="25"/>
      <c r="L209" s="133">
        <v>20170705</v>
      </c>
      <c r="M209" s="125">
        <v>1080000</v>
      </c>
      <c r="N209" s="25" t="s">
        <v>1191</v>
      </c>
      <c r="O209" s="162">
        <v>745</v>
      </c>
      <c r="P209" s="25" t="s">
        <v>1401</v>
      </c>
      <c r="Q209" s="25" t="s">
        <v>1204</v>
      </c>
      <c r="R209" s="25" t="s">
        <v>24</v>
      </c>
      <c r="S209" s="25" t="s">
        <v>1180</v>
      </c>
      <c r="T209" t="inlineStr">
        <is>
          <t>O</t>
        </is>
      </c>
    </row>
    <row r="210" spans="1:24" ht="15" customHeight="1" ns3:dyDescent="0.25">
      <c r="A210" s="25" t="s">
        <v>1206</v>
      </c>
      <c r="B210" s="25" t="str">
        <f t="shared" si="18"/>
      </c>
      <c r="C210" s="25" t="s">
        <v>102</v>
      </c>
      <c r="D210" s="25" t="s">
        <v>28</v>
      </c>
      <c r="E210" s="25" t="s">
        <v>120</v>
      </c>
      <c r="F210" s="25" t="s">
        <v>1660</v>
      </c>
      <c r="G210" s="25" t="s">
        <v>117</v>
      </c>
      <c r="H210" s="126" t="str">
        <f>IFERROR(VLOOKUP(#REF!210,'정보화기기 명부'!A$2:B$187,2,FALSE),"")</f>
        <v>교육과정부</v>
      </c>
      <c r="I210" s="126" t="str">
        <f>IFERROR(VLOOKUP(#REF!210,'교직원용 IP'!$C$2:$H$230,6,FALSE),"")</f>
        <v>10.51.90.151</v>
      </c>
      <c r="J210" s="89" t="s">
        <v>1455</v>
      </c>
      <c r="K210" s="25"/>
      <c r="L210" s="133">
        <v>20170404</v>
      </c>
      <c r="M210" s="125">
        <v>1080000</v>
      </c>
      <c r="N210" s="25" t="s">
        <v>1191</v>
      </c>
      <c r="O210" s="162">
        <v>744</v>
      </c>
      <c r="P210" s="25" t="s">
        <v>1401</v>
      </c>
      <c r="Q210" s="25" t="s">
        <v>1204</v>
      </c>
      <c r="R210" s="25" t="s">
        <v>24</v>
      </c>
      <c r="S210" s="25" t="s">
        <v>1213</v>
      </c>
      <c r="T210" t="inlineStr">
        <is>
          <t>O</t>
        </is>
      </c>
    </row>
    <row r="211" spans="1:24" ht="15" customHeight="1" ns3:dyDescent="0.25">
      <c r="A211" s="25" t="s">
        <v>35</v>
      </c>
      <c r="B211" s="25" t="str">
        <f t="shared" si="18"/>
      </c>
      <c r="C211" s="25" t="s">
        <v>102</v>
      </c>
      <c r="D211" s="25" t="s">
        <v>106</v>
      </c>
      <c r="E211" s="25" t="s">
        <v>120</v>
      </c>
      <c r="F211" s="25" t="s">
        <v>1660</v>
      </c>
      <c r="G211" s="25" t="s">
        <v>117</v>
      </c>
      <c r="H211" s="126" t="str">
        <f>IFERROR(VLOOKUP(#REF!211,'정보화기기 명부'!A$2:B$187,2,FALSE),"")</f>
        <v>2층 교무실</v>
      </c>
      <c r="I211" s="126" t="str">
        <f>IFERROR(VLOOKUP(#REF!211,'교직원용 IP'!$C$2:$H$230,6,FALSE),"")</f>
        <v>10.51.90.150</v>
      </c>
      <c r="J211" s="25"/>
      <c r="K211" s="25"/>
      <c r="L211" s="133">
        <v>20170404</v>
      </c>
      <c r="M211" s="125">
        <v>1080000</v>
      </c>
      <c r="N211" s="25" t="s">
        <v>1191</v>
      </c>
      <c r="O211" s="162">
        <v>743</v>
      </c>
      <c r="P211" s="25" t="s">
        <v>1401</v>
      </c>
      <c r="Q211" s="25" t="s">
        <v>1204</v>
      </c>
      <c r="R211" s="25" t="s">
        <v>24</v>
      </c>
      <c r="S211" s="25" t="s">
        <v>1213</v>
      </c>
    </row>
    <row r="212" spans="1:24" ht="15" customHeight="1" ns3:dyDescent="0.25">
      <c r="A212" s="25" t="s">
        <v>1201</v>
      </c>
      <c r="B212" s="25" t="str">
        <f t="shared" si="18"/>
      </c>
      <c r="C212" s="25" t="s">
        <v>102</v>
      </c>
      <c r="D212" s="25" t="s">
        <v>106</v>
      </c>
      <c r="E212" s="25" t="s">
        <v>120</v>
      </c>
      <c r="F212" s="25" t="s">
        <v>1660</v>
      </c>
      <c r="G212" s="25" t="s">
        <v>117</v>
      </c>
      <c r="H212" s="126" t="str">
        <f>IFERROR(VLOOKUP(#REF!212,'정보화기기 명부'!A$2:B$187,2,FALSE),"")</f>
        <v>교육과정부</v>
      </c>
      <c r="I212" s="126" t="str">
        <f>IFERROR(VLOOKUP(#REF!212,'교직원용 IP'!$C$2:$H$230,6,FALSE),"")</f>
        <v>10.51.91.19</v>
      </c>
      <c r="J212" s="25"/>
      <c r="K212" s="25"/>
      <c r="L212" s="133">
        <v>20170404</v>
      </c>
      <c r="M212" s="125">
        <v>1080000</v>
      </c>
      <c r="N212" s="25" t="s">
        <v>1191</v>
      </c>
      <c r="O212" s="162">
        <v>742</v>
      </c>
      <c r="P212" s="25" t="s">
        <v>1401</v>
      </c>
      <c r="Q212" s="25" t="s">
        <v>1204</v>
      </c>
      <c r="R212" s="25" t="s">
        <v>24</v>
      </c>
      <c r="S212" s="25" t="s">
        <v>1213</v>
      </c>
    </row>
    <row r="213" spans="1:24" ht="15" customHeight="1" ns3:dyDescent="0.25">
      <c r="A213" s="25" t="s">
        <v>1449</v>
      </c>
      <c r="B213" s="25" t="str">
        <f t="shared" si="18"/>
      </c>
      <c r="C213" s="25" t="s">
        <v>102</v>
      </c>
      <c r="D213" s="25" t="s">
        <v>106</v>
      </c>
      <c r="E213" s="25" t="s">
        <v>120</v>
      </c>
      <c r="F213" s="25" t="s">
        <v>1660</v>
      </c>
      <c r="G213" s="25" t="s">
        <v>117</v>
      </c>
      <c r="H213" s="126" t="str">
        <f>IFERROR(VLOOKUP(#REF!213,'정보화기기 명부'!A$2:B$187,2,FALSE),"")</f>
        <v/>
      </c>
      <c r="I213" s="126" t="str">
        <f>IFERROR(VLOOKUP(#REF!213,'교직원용 IP'!$C$2:$H$230,6,FALSE),"")</f>
        <v/>
      </c>
      <c r="J213" s="89" t="s">
        <v>1455</v>
      </c>
      <c r="K213" s="25"/>
      <c r="L213" s="133">
        <v>20170404</v>
      </c>
      <c r="M213" s="125">
        <v>1080000</v>
      </c>
      <c r="N213" s="25" t="s">
        <v>1191</v>
      </c>
      <c r="O213" s="162">
        <v>741</v>
      </c>
      <c r="P213" s="25" t="s">
        <v>1401</v>
      </c>
      <c r="Q213" s="25" t="s">
        <v>1204</v>
      </c>
      <c r="R213" s="25" t="s">
        <v>24</v>
      </c>
      <c r="S213" s="25" t="s">
        <v>1213</v>
      </c>
      <c r="T213" t="inlineStr">
        <is>
          <t>O</t>
        </is>
      </c>
    </row>
    <row r="214" spans="1:24" ht="15" customHeight="1" ns3:dyDescent="0.25">
      <c r="A214" s="25" t="s">
        <v>958</v>
      </c>
      <c r="B214" s="25" t="str">
        <f t="shared" si="18"/>
      </c>
      <c r="C214" s="25" t="s">
        <v>102</v>
      </c>
      <c r="D214" s="25" t="s">
        <v>106</v>
      </c>
      <c r="E214" s="25" t="s">
        <v>120</v>
      </c>
      <c r="F214" s="25" t="s">
        <v>1660</v>
      </c>
      <c r="G214" s="25" t="s">
        <v>117</v>
      </c>
      <c r="H214" s="126" t="str">
        <f>IFERROR(VLOOKUP(#REF!214,'정보화기기 명부'!A$2:B$187,2,FALSE),"")</f>
        <v/>
      </c>
      <c r="I214" s="126" t="str">
        <f>IFERROR(VLOOKUP(#REF!214,'교직원용 IP'!$C$2:$H$230,6,FALSE),"")</f>
        <v/>
      </c>
      <c r="J214" s="89" t="s">
        <v>1455</v>
      </c>
      <c r="K214" s="25"/>
      <c r="L214" s="133">
        <v>20170404</v>
      </c>
      <c r="M214" s="125">
        <v>1080000</v>
      </c>
      <c r="N214" s="25" t="s">
        <v>1191</v>
      </c>
      <c r="O214" s="162">
        <v>740</v>
      </c>
      <c r="P214" s="25" t="s">
        <v>1401</v>
      </c>
      <c r="Q214" s="25" t="s">
        <v>1204</v>
      </c>
      <c r="R214" s="25" t="s">
        <v>24</v>
      </c>
      <c r="S214" s="25" t="s">
        <v>1213</v>
      </c>
      <c r="T214" t="inlineStr">
        <is>
          <t>O</t>
        </is>
      </c>
    </row>
    <row r="215" spans="1:24" ht="15" customHeight="1" ns3:dyDescent="0.25">
      <c r="A215" s="25" t="s">
        <v>911</v>
      </c>
      <c r="B215" s="90" t="str">
        <f t="shared" si="18"/>
      </c>
      <c r="C215" s="25" t="s">
        <v>102</v>
      </c>
      <c r="D215" s="210" t="s">
        <v>45</v>
      </c>
      <c r="E215" s="25" t="s">
        <v>120</v>
      </c>
      <c r="F215" s="25" t="s">
        <v>1660</v>
      </c>
      <c r="G215" s="25" t="s">
        <v>117</v>
      </c>
      <c r="H215" s="126" t="str">
        <f>IFERROR(VLOOKUP(#REF!215,'정보화기기 명부'!A$2:B$187,2,FALSE),"")</f>
        <v/>
      </c>
      <c r="I215" s="126" t="str">
        <f>IFERROR(VLOOKUP(#REF!215,'교직원용 IP'!$C$2:$H$230,6,FALSE),"")</f>
        <v/>
      </c>
      <c r="J215" s="25"/>
      <c r="K215" s="25"/>
      <c r="L215" s="133">
        <v>20170404</v>
      </c>
      <c r="M215" s="125">
        <v>1080000</v>
      </c>
      <c r="N215" s="25" t="s">
        <v>1191</v>
      </c>
      <c r="O215" s="162">
        <v>739</v>
      </c>
      <c r="P215" s="25" t="s">
        <v>1401</v>
      </c>
      <c r="Q215" s="25" t="s">
        <v>1204</v>
      </c>
      <c r="R215" s="25" t="s">
        <v>24</v>
      </c>
      <c r="S215" s="25" t="s">
        <v>1213</v>
      </c>
      <c r="T215" t="inlineStr">
        <is>
          <t>O</t>
        </is>
      </c>
    </row>
    <row r="216" spans="1:24" ht="15" customHeight="1" ns3:dyDescent="0.25">
      <c r="A216" s="118" t="s">
        <v>413</v>
      </c>
      <c r="B216" s="25" t="str">
        <f t="shared" si="18"/>
      </c>
      <c r="C216" s="25" t="s">
        <v>102</v>
      </c>
      <c r="D216" s="25" t="s">
        <v>106</v>
      </c>
      <c r="E216" s="25" t="s">
        <v>104</v>
      </c>
      <c r="F216" s="25" t="s">
        <v>1660</v>
      </c>
      <c r="G216" s="25" t="s">
        <v>117</v>
      </c>
      <c r="H216" s="160" t="str">
        <f>IFERROR(VLOOKUP(#REF!216,'정보화기기 명부'!A$2:B$187,2,FALSE),"")</f>
        <v/>
      </c>
      <c r="I216" s="126" t="str">
        <f>IFERROR(VLOOKUP(#REF!216,'교직원용 IP'!$C$2:$H$230,6,FALSE),"")</f>
        <v>10.51.91.12</v>
      </c>
      <c r="J216" s="25" t="s">
        <v>415</v>
      </c>
      <c r="K216" s="288" t="s">
        <v>1804</v>
      </c>
      <c r="L216" s="133">
        <v>20170404</v>
      </c>
      <c r="M216" s="125">
        <v>1080000</v>
      </c>
      <c r="N216" s="25" t="s">
        <v>1191</v>
      </c>
      <c r="O216" s="162">
        <v>738</v>
      </c>
      <c r="P216" s="25" t="s">
        <v>1401</v>
      </c>
      <c r="Q216" s="25" t="s">
        <v>1204</v>
      </c>
      <c r="R216" s="25" t="s">
        <v>24</v>
      </c>
      <c r="S216" s="25" t="s">
        <v>1213</v>
      </c>
      <c r="T216" t="inlineStr">
        <is>
          <t>O</t>
        </is>
      </c>
    </row>
    <row r="217" spans="1:24" ht="15" customHeight="1" ns3:dyDescent="0.25">
      <c r="A217" s="25" t="s">
        <v>928</v>
      </c>
      <c r="B217" s="25" t="str">
        <f t="shared" si="18"/>
      </c>
      <c r="C217" s="25" t="s">
        <v>102</v>
      </c>
      <c r="D217" s="210" t="s">
        <v>45</v>
      </c>
      <c r="E217" s="25" t="s">
        <v>120</v>
      </c>
      <c r="F217" s="25" t="s">
        <v>1660</v>
      </c>
      <c r="G217" s="25" t="s">
        <v>117</v>
      </c>
      <c r="H217" s="126" t="str">
        <f>IFERROR(VLOOKUP(#REF!217,'정보화기기 명부'!A$2:B$187,2,FALSE),"")</f>
        <v/>
      </c>
      <c r="I217" s="126" t="str">
        <f>IFERROR(VLOOKUP(#REF!217,'교직원용 IP'!$C$2:$H$230,6,FALSE),"")</f>
        <v/>
      </c>
      <c r="J217" s="89" t="s">
        <v>1455</v>
      </c>
      <c r="K217" s="25"/>
      <c r="L217" s="133">
        <v>20170404</v>
      </c>
      <c r="M217" s="125">
        <v>1080000</v>
      </c>
      <c r="N217" s="25" t="s">
        <v>1191</v>
      </c>
      <c r="O217" s="162">
        <v>737</v>
      </c>
      <c r="P217" s="25" t="s">
        <v>1401</v>
      </c>
      <c r="Q217" s="25" t="s">
        <v>1204</v>
      </c>
      <c r="R217" s="25" t="s">
        <v>24</v>
      </c>
      <c r="S217" s="25" t="s">
        <v>1213</v>
      </c>
      <c r="T217" t="inlineStr">
        <is>
          <t>O</t>
        </is>
      </c>
    </row>
    <row r="218" spans="1:24" ht="15" customHeight="1" ns3:dyDescent="0.25">
      <c r="A218" s="25" t="s">
        <v>947</v>
      </c>
      <c r="B218" s="25" t="str">
        <f t="shared" si="18"/>
      </c>
      <c r="C218" s="25" t="s">
        <v>102</v>
      </c>
      <c r="D218" s="25" t="s">
        <v>106</v>
      </c>
      <c r="E218" s="25" t="s">
        <v>120</v>
      </c>
      <c r="F218" s="25" t="s">
        <v>1660</v>
      </c>
      <c r="G218" s="25" t="s">
        <v>117</v>
      </c>
      <c r="H218" s="126" t="str">
        <f>IFERROR(VLOOKUP(#REF!218,'정보화기기 명부'!A$2:B$187,2,FALSE),"")</f>
        <v>교무기획부</v>
      </c>
      <c r="I218" s="126" t="str">
        <f>IFERROR(VLOOKUP(#REF!218,'교직원용 IP'!$C$2:$H$230,6,FALSE),"")</f>
        <v>10.51.91.32</v>
      </c>
      <c r="J218" s="25" t="s">
        <v>936</v>
      </c>
      <c r="K218" s="25"/>
      <c r="L218" s="133">
        <v>20170404</v>
      </c>
      <c r="M218" s="125">
        <v>1080000</v>
      </c>
      <c r="N218" s="25" t="s">
        <v>1191</v>
      </c>
      <c r="O218" s="162">
        <v>736</v>
      </c>
      <c r="P218" s="25" t="s">
        <v>1401</v>
      </c>
      <c r="Q218" s="25" t="s">
        <v>1204</v>
      </c>
      <c r="R218" s="25" t="s">
        <v>24</v>
      </c>
      <c r="S218" s="25" t="s">
        <v>1213</v>
      </c>
    </row>
    <row r="219" spans="1:24" ht="15" customHeight="1" ns3:dyDescent="0.25">
      <c r="A219" s="25" t="s">
        <v>968</v>
      </c>
      <c r="B219" s="25" t="str">
        <f t="shared" si="18"/>
      </c>
      <c r="C219" s="25" t="s">
        <v>102</v>
      </c>
      <c r="D219" s="25" t="s">
        <v>106</v>
      </c>
      <c r="E219" s="25" t="s">
        <v>120</v>
      </c>
      <c r="F219" s="25" t="s">
        <v>1660</v>
      </c>
      <c r="G219" s="25" t="s">
        <v>117</v>
      </c>
      <c r="H219" s="126" t="str">
        <f>IFERROR(VLOOKUP(#REF!219,'정보화기기 명부'!A$2:B$187,2,FALSE),"")</f>
        <v>교무기획부</v>
      </c>
      <c r="I219" s="126" t="str">
        <f>IFERROR(VLOOKUP(#REF!219,'교직원용 IP'!$C$2:$H$230,6,FALSE),"")</f>
        <v>10.51.91.31</v>
      </c>
      <c r="J219" s="25" t="s">
        <v>963</v>
      </c>
      <c r="K219" s="25"/>
      <c r="L219" s="133">
        <v>20170404</v>
      </c>
      <c r="M219" s="125">
        <v>1080000</v>
      </c>
      <c r="N219" s="25" t="s">
        <v>1191</v>
      </c>
      <c r="O219" s="162">
        <v>735</v>
      </c>
      <c r="P219" s="25" t="s">
        <v>1401</v>
      </c>
      <c r="Q219" s="25" t="s">
        <v>1204</v>
      </c>
      <c r="R219" s="25" t="s">
        <v>24</v>
      </c>
      <c r="S219" s="25" t="s">
        <v>1213</v>
      </c>
    </row>
    <row r="220" spans="1:24" ht="15" customHeight="1" ns3:dyDescent="0.25">
      <c r="A220" s="118" t="s">
        <v>412</v>
      </c>
      <c r="B220" s="25" t="str">
        <f t="shared" si="18"/>
      </c>
      <c r="C220" s="25" t="s">
        <v>102</v>
      </c>
      <c r="D220" s="25" t="s">
        <v>106</v>
      </c>
      <c r="E220" s="25" t="s">
        <v>104</v>
      </c>
      <c r="F220" s="25" t="s">
        <v>1288</v>
      </c>
      <c r="G220" s="25" t="s">
        <v>10</v>
      </c>
      <c r="H220" s="160" t="str">
        <f>IFERROR(VLOOKUP(#REF!220,'정보화기기 명부'!A$2:B$187,2,FALSE),"")</f>
        <v/>
      </c>
      <c r="I220" s="126" t="str">
        <f>IFERROR(VLOOKUP(#REF!220,'교직원용 IP'!$C$2:$H$230,6,FALSE),"")</f>
        <v>10.51.90.148</v>
      </c>
      <c r="J220" s="25"/>
      <c r="K220" s="25"/>
      <c r="L220" s="133">
        <v>20170328</v>
      </c>
      <c r="M220" s="125">
        <v>1457830</v>
      </c>
      <c r="N220" s="25" t="s">
        <v>1191</v>
      </c>
      <c r="O220" s="162">
        <v>775</v>
      </c>
      <c r="P220" s="25" t="s">
        <v>1401</v>
      </c>
      <c r="Q220" s="25" t="s">
        <v>1204</v>
      </c>
      <c r="R220" s="25" t="s">
        <v>54</v>
      </c>
      <c r="S220" s="25" t="s">
        <v>1171</v>
      </c>
      <c r="T220" t="inlineStr">
        <is>
          <t>O</t>
        </is>
      </c>
    </row>
    <row r="221" spans="1:24" ht="15" customHeight="1" ns3:dyDescent="0.25">
      <c r="A221" s="25" t="s">
        <v>1440</v>
      </c>
      <c r="B221" s="25" t="str">
        <f t="shared" si="18"/>
      </c>
      <c r="C221" s="25" t="s">
        <v>102</v>
      </c>
      <c r="D221" s="25" t="s">
        <v>106</v>
      </c>
      <c r="E221" s="25" t="s">
        <v>120</v>
      </c>
      <c r="F221" s="25" t="s">
        <v>1660</v>
      </c>
      <c r="G221" s="25" t="s">
        <v>117</v>
      </c>
      <c r="H221" s="25" t="str">
        <f>IFERROR(VLOOKUP(#REF!221,'정보화기기 명부'!A$2:B$187,2,FALSE),"")</f>
        <v>3학년부</v>
      </c>
      <c r="I221" s="126" t="str">
        <f>IFERROR(VLOOKUP(#REF!221,'교직원용 IP'!$C$2:$H$230,6,FALSE),"")</f>
        <v>10.51.90.160</v>
      </c>
      <c r="J221" s="25"/>
      <c r="K221" s="25"/>
      <c r="L221" s="133">
        <v>20170101</v>
      </c>
      <c r="M221" s="125">
        <v>1080000</v>
      </c>
      <c r="N221" s="25" t="s">
        <v>1191</v>
      </c>
      <c r="O221" s="162">
        <v>734</v>
      </c>
      <c r="P221" s="25" t="s">
        <v>1401</v>
      </c>
      <c r="Q221" s="25" t="s">
        <v>1204</v>
      </c>
      <c r="R221" s="25" t="s">
        <v>24</v>
      </c>
      <c r="S221" s="25" t="s">
        <v>1213</v>
      </c>
    </row>
    <row r="222" spans="1:24" ht="15" hidden="1" customHeight="1" ns3:dyDescent="0.25">
      <c r="A222" s="25" t="s">
        <v>955</v>
      </c>
      <c r="B222" s="25" t="str">
        <f t="shared" si="18"/>
      </c>
      <c r="C222" s="25" t="s">
        <v>1147</v>
      </c>
      <c r="D222" s="25" t="s">
        <v>106</v>
      </c>
      <c r="E222" s="25" t="s">
        <v>8</v>
      </c>
      <c r="F222" s="25" t="s">
        <v>1467</v>
      </c>
      <c r="G222" s="25" t="s">
        <v>943</v>
      </c>
      <c r="H222" s="126" t="str">
        <f>IFERROR(VLOOKUP(#REF!222,'정보화기기 명부'!A$2:B$187,2,FALSE),"")</f>
        <v>정보교육부</v>
      </c>
      <c r="I222" s="126" t="str">
        <f>IFERROR(VLOOKUP(#REF!222,'교직원용 IP'!$C$2:$H$230,6,FALSE),"")</f>
        <v>10.51.90.111</v>
      </c>
      <c r="J222" s="25"/>
      <c r="K222" s="117"/>
      <c r="L222" s="129">
        <v>20161223</v>
      </c>
      <c r="M222" s="125">
        <v>880000</v>
      </c>
      <c r="N222" s="25" t="s">
        <v>1191</v>
      </c>
      <c r="O222" s="162">
        <v>733</v>
      </c>
      <c r="P222" s="25" t="s">
        <v>1535</v>
      </c>
      <c r="Q222" s="25" t="s">
        <v>1204</v>
      </c>
      <c r="R222" s="25" t="s">
        <v>24</v>
      </c>
      <c r="S222" s="25" t="s">
        <v>1181</v>
      </c>
    </row>
    <row r="223" spans="1:24" ht="15" hidden="1" customHeight="1" ns3:dyDescent="0.25">
      <c r="A223" s="25" t="s">
        <v>916</v>
      </c>
      <c r="B223" s="25" t="str">
        <f t="shared" si="18"/>
      </c>
      <c r="C223" s="25" t="s">
        <v>1147</v>
      </c>
      <c r="D223" s="25" t="s">
        <v>106</v>
      </c>
      <c r="E223" s="25" t="s">
        <v>8</v>
      </c>
      <c r="F223" s="25" t="s">
        <v>1651</v>
      </c>
      <c r="G223" s="25" t="s">
        <v>935</v>
      </c>
      <c r="H223" s="126" t="str">
        <f>IFERROR(VLOOKUP(#REF!223,'정보화기기 명부'!A$2:B$187,2,FALSE),"")</f>
        <v>방송실</v>
      </c>
      <c r="I223" s="193" t="str">
        <f>IFERROR(VLOOKUP(#REF!223,'학생용 IP'!$C$11:$H$326,5,FALSE),"")</f>
        <v>10.54.36.103</v>
      </c>
      <c r="J223" s="25"/>
      <c r="K223" s="117"/>
      <c r="L223" s="129">
        <v>20161107</v>
      </c>
      <c r="M223" s="125">
        <v>1155890</v>
      </c>
      <c r="N223" s="25" t="s">
        <v>1193</v>
      </c>
      <c r="O223" s="162">
        <v>763</v>
      </c>
      <c r="P223" s="25" t="s">
        <v>1535</v>
      </c>
      <c r="Q223" s="25" t="s">
        <v>906</v>
      </c>
      <c r="R223" s="25" t="s">
        <v>24</v>
      </c>
      <c r="S223" s="25" t="s">
        <v>1197</v>
      </c>
    </row>
    <row r="224" spans="1:24" s="14" customFormat="1" ht="15" hidden="1" customHeight="1" ns3:dyDescent="0.25">
      <c r="A224" s="25" t="s">
        <v>1469</v>
      </c>
      <c r="B224" s="25" t="str">
        <f t="shared" si="18"/>
      </c>
      <c r="C224" s="13" t="s">
        <v>1147</v>
      </c>
      <c r="D224" s="13" t="s">
        <v>106</v>
      </c>
      <c r="E224" s="13" t="s">
        <v>120</v>
      </c>
      <c r="F224" s="13" t="s">
        <v>1641</v>
      </c>
      <c r="G224" s="13" t="s">
        <v>1205</v>
      </c>
      <c r="H224" s="13" t="s">
        <v>1172</v>
      </c>
      <c r="I224" s="193" t="str">
        <f>IFERROR(VLOOKUP(#REF!224,'학생용 IP'!$C$11:$H$326,5,FALSE),"")</f>
        <v>10.54.38.101</v>
      </c>
      <c r="J224" s="13"/>
      <c r="K224" s="13">
        <v>2020.07</v>
      </c>
      <c r="L224" s="134">
        <v>20161017</v>
      </c>
      <c r="M224" s="22">
        <v>820000</v>
      </c>
      <c r="N224" s="13" t="s">
        <v>1186</v>
      </c>
      <c r="O224" s="208">
        <v>732</v>
      </c>
      <c r="P224" s="13" t="s">
        <v>1401</v>
      </c>
      <c r="Q224" s="13" t="s">
        <v>917</v>
      </c>
      <c r="R224" s="13" t="s">
        <v>24</v>
      </c>
      <c r="S224" s="13" t="s">
        <v>1181</v>
      </c>
    </row>
    <row r="225" spans="1:22" s="14" customFormat="1" ht="15" hidden="1" customHeight="1" ns3:dyDescent="0.25">
      <c r="A225" s="25" t="s">
        <v>1474</v>
      </c>
      <c r="B225" s="25" t="str">
        <f t="shared" si="18"/>
      </c>
      <c r="C225" s="13" t="s">
        <v>1147</v>
      </c>
      <c r="D225" s="13" t="s">
        <v>106</v>
      </c>
      <c r="E225" s="13" t="s">
        <v>120</v>
      </c>
      <c r="F225" s="13" t="s">
        <v>1641</v>
      </c>
      <c r="G225" s="13" t="s">
        <v>1205</v>
      </c>
      <c r="H225" s="13" t="s">
        <v>1172</v>
      </c>
      <c r="I225" s="193" t="str">
        <f>IFERROR(VLOOKUP(#REF!225,'학생용 IP'!$C$11:$H$326,5,FALSE),"")</f>
        <v>10.54.38.100</v>
      </c>
      <c r="J225" s="13"/>
      <c r="K225" s="13">
        <v>2020.07</v>
      </c>
      <c r="L225" s="134">
        <v>20161017</v>
      </c>
      <c r="M225" s="22">
        <v>820000</v>
      </c>
      <c r="N225" s="13" t="s">
        <v>1186</v>
      </c>
      <c r="O225" s="208">
        <v>731</v>
      </c>
      <c r="P225" s="13" t="s">
        <v>1401</v>
      </c>
      <c r="Q225" s="13" t="s">
        <v>917</v>
      </c>
      <c r="R225" s="13" t="s">
        <v>24</v>
      </c>
      <c r="S225" s="13" t="s">
        <v>1181</v>
      </c>
    </row>
    <row r="226" spans="1:22" s="14" customFormat="1" ht="15" hidden="1" customHeight="1" ns3:dyDescent="0.25">
      <c r="A226" s="25" t="s">
        <v>1459</v>
      </c>
      <c r="B226" s="25" t="str">
        <f t="shared" si="18"/>
      </c>
      <c r="C226" s="13" t="s">
        <v>1147</v>
      </c>
      <c r="D226" s="13" t="s">
        <v>106</v>
      </c>
      <c r="E226" s="13" t="s">
        <v>55</v>
      </c>
      <c r="F226" s="13" t="s">
        <v>1641</v>
      </c>
      <c r="G226" s="13" t="s">
        <v>1205</v>
      </c>
      <c r="H226" s="13" t="s">
        <v>1172</v>
      </c>
      <c r="I226" s="202" t="str">
        <f>IFERROR(VLOOKUP(#REF!226,'학생용 IP'!$C$11:$H$326,5,FALSE),"")</f>
        <v>10.54.38.136</v>
      </c>
      <c r="J226" s="13"/>
      <c r="K226" s="13">
        <v>2020.07</v>
      </c>
      <c r="L226" s="134">
        <v>20161017</v>
      </c>
      <c r="M226" s="22">
        <v>820000</v>
      </c>
      <c r="N226" s="13" t="s">
        <v>1186</v>
      </c>
      <c r="O226" s="208">
        <v>730</v>
      </c>
      <c r="P226" s="13" t="s">
        <v>1401</v>
      </c>
      <c r="Q226" s="13" t="s">
        <v>917</v>
      </c>
      <c r="R226" s="13" t="s">
        <v>24</v>
      </c>
      <c r="S226" s="13" t="s">
        <v>1181</v>
      </c>
    </row>
    <row r="227" spans="1:22" s="14" customFormat="1" ht="15" hidden="1" customHeight="1" ns3:dyDescent="0.25">
      <c r="A227" s="25" t="s">
        <v>1463</v>
      </c>
      <c r="B227" s="25" t="str">
        <f t="shared" si="18"/>
      </c>
      <c r="C227" s="13" t="s">
        <v>1147</v>
      </c>
      <c r="D227" s="13" t="s">
        <v>106</v>
      </c>
      <c r="E227" s="13" t="s">
        <v>55</v>
      </c>
      <c r="F227" s="13" t="s">
        <v>1641</v>
      </c>
      <c r="G227" s="13" t="s">
        <v>1205</v>
      </c>
      <c r="H227" s="13" t="s">
        <v>1172</v>
      </c>
      <c r="I227" s="202" t="str">
        <f>IFERROR(VLOOKUP(#REF!227,'학생용 IP'!$C$11:$H$326,5,FALSE),"")</f>
        <v>10.54.38.135</v>
      </c>
      <c r="J227" s="13"/>
      <c r="K227" s="13">
        <v>2020.07</v>
      </c>
      <c r="L227" s="134">
        <v>20161017</v>
      </c>
      <c r="M227" s="22">
        <v>820000</v>
      </c>
      <c r="N227" s="13" t="s">
        <v>1186</v>
      </c>
      <c r="O227" s="208">
        <v>729</v>
      </c>
      <c r="P227" s="13" t="s">
        <v>1401</v>
      </c>
      <c r="Q227" s="13" t="s">
        <v>917</v>
      </c>
      <c r="R227" s="13" t="s">
        <v>24</v>
      </c>
      <c r="S227" s="13" t="s">
        <v>1181</v>
      </c>
    </row>
    <row r="228" spans="1:22" s="14" customFormat="1" ht="15" hidden="1" customHeight="1" ns3:dyDescent="0.25">
      <c r="A228" s="25" t="s">
        <v>1484</v>
      </c>
      <c r="B228" s="25" t="str">
        <f t="shared" si="18"/>
      </c>
      <c r="C228" s="13" t="s">
        <v>1147</v>
      </c>
      <c r="D228" s="13" t="s">
        <v>106</v>
      </c>
      <c r="E228" s="13" t="s">
        <v>55</v>
      </c>
      <c r="F228" s="13" t="s">
        <v>1641</v>
      </c>
      <c r="G228" s="13" t="s">
        <v>1205</v>
      </c>
      <c r="H228" s="13" t="s">
        <v>1172</v>
      </c>
      <c r="I228" s="202" t="str">
        <f>IFERROR(VLOOKUP(#REF!228,'학생용 IP'!$C$11:$H$326,5,FALSE),"")</f>
        <v>10.54.38.134</v>
      </c>
      <c r="J228" s="13"/>
      <c r="K228" s="13">
        <v>2020.07</v>
      </c>
      <c r="L228" s="134">
        <v>20161017</v>
      </c>
      <c r="M228" s="22">
        <v>820000</v>
      </c>
      <c r="N228" s="13" t="s">
        <v>1186</v>
      </c>
      <c r="O228" s="208">
        <v>728</v>
      </c>
      <c r="P228" s="13" t="s">
        <v>1401</v>
      </c>
      <c r="Q228" s="13" t="s">
        <v>917</v>
      </c>
      <c r="R228" s="13" t="s">
        <v>24</v>
      </c>
      <c r="S228" s="13" t="s">
        <v>1181</v>
      </c>
    </row>
    <row r="229" spans="1:22" s="14" customFormat="1" ht="15" hidden="1" customHeight="1" ns3:dyDescent="0.25">
      <c r="A229" s="25" t="s">
        <v>1465</v>
      </c>
      <c r="B229" s="25" t="str">
        <f t="shared" si="18"/>
      </c>
      <c r="C229" s="13" t="s">
        <v>1147</v>
      </c>
      <c r="D229" s="13" t="s">
        <v>106</v>
      </c>
      <c r="E229" s="13" t="s">
        <v>55</v>
      </c>
      <c r="F229" s="13" t="s">
        <v>1641</v>
      </c>
      <c r="G229" s="13" t="s">
        <v>1205</v>
      </c>
      <c r="H229" s="13" t="s">
        <v>1172</v>
      </c>
      <c r="I229" s="202" t="str">
        <f>IFERROR(VLOOKUP(#REF!229,'학생용 IP'!$C$11:$H$326,5,FALSE),"")</f>
        <v>10.54.38.133</v>
      </c>
      <c r="J229" s="13"/>
      <c r="K229" s="13">
        <v>2020.07</v>
      </c>
      <c r="L229" s="134">
        <v>20161017</v>
      </c>
      <c r="M229" s="22">
        <v>820000</v>
      </c>
      <c r="N229" s="13" t="s">
        <v>1186</v>
      </c>
      <c r="O229" s="208">
        <v>727</v>
      </c>
      <c r="P229" s="13" t="s">
        <v>1401</v>
      </c>
      <c r="Q229" s="13" t="s">
        <v>917</v>
      </c>
      <c r="R229" s="13" t="s">
        <v>24</v>
      </c>
      <c r="S229" s="13" t="s">
        <v>1181</v>
      </c>
    </row>
    <row r="230" spans="1:22" s="14" customFormat="1" ht="15" hidden="1" customHeight="1" ns3:dyDescent="0.25">
      <c r="A230" s="25" t="s">
        <v>1473</v>
      </c>
      <c r="B230" s="25" t="str">
        <f t="shared" si="18"/>
      </c>
      <c r="C230" s="13" t="s">
        <v>1147</v>
      </c>
      <c r="D230" s="13" t="s">
        <v>106</v>
      </c>
      <c r="E230" s="13" t="s">
        <v>55</v>
      </c>
      <c r="F230" s="13" t="s">
        <v>1641</v>
      </c>
      <c r="G230" s="13" t="s">
        <v>1205</v>
      </c>
      <c r="H230" s="13" t="s">
        <v>1172</v>
      </c>
      <c r="I230" s="202" t="str">
        <f>IFERROR(VLOOKUP(#REF!230,'학생용 IP'!$C$11:$H$326,5,FALSE),"")</f>
        <v>10.54.38.132</v>
      </c>
      <c r="J230" s="13"/>
      <c r="K230" s="13">
        <v>2020.07</v>
      </c>
      <c r="L230" s="134">
        <v>20161017</v>
      </c>
      <c r="M230" s="22">
        <v>820000</v>
      </c>
      <c r="N230" s="13" t="s">
        <v>1186</v>
      </c>
      <c r="O230" s="208">
        <v>726</v>
      </c>
      <c r="P230" s="13" t="s">
        <v>1401</v>
      </c>
      <c r="Q230" s="13" t="s">
        <v>917</v>
      </c>
      <c r="R230" s="13" t="s">
        <v>24</v>
      </c>
      <c r="S230" s="13" t="s">
        <v>1181</v>
      </c>
    </row>
    <row r="231" spans="1:22" s="14" customFormat="1" ht="15" hidden="1" customHeight="1" ns3:dyDescent="0.25">
      <c r="A231" s="25" t="s">
        <v>1478</v>
      </c>
      <c r="B231" s="25" t="str">
        <f t="shared" si="18"/>
      </c>
      <c r="C231" s="13" t="s">
        <v>1147</v>
      </c>
      <c r="D231" s="13" t="s">
        <v>106</v>
      </c>
      <c r="E231" s="13" t="s">
        <v>55</v>
      </c>
      <c r="F231" s="13" t="s">
        <v>1641</v>
      </c>
      <c r="G231" s="13" t="s">
        <v>1205</v>
      </c>
      <c r="H231" s="13" t="s">
        <v>1172</v>
      </c>
      <c r="I231" s="202" t="str">
        <f>IFERROR(VLOOKUP(#REF!231,'학생용 IP'!$C$11:$H$326,5,FALSE),"")</f>
        <v>10.54.38.131</v>
      </c>
      <c r="J231" s="13"/>
      <c r="K231" s="13">
        <v>2020.07</v>
      </c>
      <c r="L231" s="134">
        <v>20161017</v>
      </c>
      <c r="M231" s="22">
        <v>820000</v>
      </c>
      <c r="N231" s="13" t="s">
        <v>1186</v>
      </c>
      <c r="O231" s="208">
        <v>725</v>
      </c>
      <c r="P231" s="13" t="s">
        <v>1401</v>
      </c>
      <c r="Q231" s="13" t="s">
        <v>917</v>
      </c>
      <c r="R231" s="13" t="s">
        <v>24</v>
      </c>
      <c r="S231" s="13" t="s">
        <v>1181</v>
      </c>
    </row>
    <row r="232" spans="1:22" s="14" customFormat="1" ht="15" hidden="1" customHeight="1" ns3:dyDescent="0.25">
      <c r="A232" s="25" t="s">
        <v>1457</v>
      </c>
      <c r="B232" s="25" t="str">
        <f t="shared" si="18"/>
      </c>
      <c r="C232" s="13" t="s">
        <v>1147</v>
      </c>
      <c r="D232" s="13" t="s">
        <v>106</v>
      </c>
      <c r="E232" s="13" t="s">
        <v>55</v>
      </c>
      <c r="F232" s="13" t="s">
        <v>1641</v>
      </c>
      <c r="G232" s="13" t="s">
        <v>1205</v>
      </c>
      <c r="H232" s="13" t="s">
        <v>1172</v>
      </c>
      <c r="I232" s="202" t="str">
        <f>IFERROR(VLOOKUP(#REF!232,'학생용 IP'!$C$11:$H$326,5,FALSE),"")</f>
        <v>10.54.38.130</v>
      </c>
      <c r="J232" s="13"/>
      <c r="K232" s="13">
        <v>2020.07</v>
      </c>
      <c r="L232" s="134">
        <v>20161017</v>
      </c>
      <c r="M232" s="22">
        <v>820000</v>
      </c>
      <c r="N232" s="13" t="s">
        <v>1186</v>
      </c>
      <c r="O232" s="208">
        <v>724</v>
      </c>
      <c r="P232" s="13" t="s">
        <v>1401</v>
      </c>
      <c r="Q232" s="13" t="s">
        <v>917</v>
      </c>
      <c r="R232" s="13" t="s">
        <v>24</v>
      </c>
      <c r="S232" s="13" t="s">
        <v>1181</v>
      </c>
    </row>
    <row r="233" spans="1:22" s="14" customFormat="1" ht="15" hidden="1" customHeight="1" ns3:dyDescent="0.25">
      <c r="A233" s="25" t="s">
        <v>1480</v>
      </c>
      <c r="B233" s="25" t="str">
        <f t="shared" si="18"/>
      </c>
      <c r="C233" s="13" t="s">
        <v>1147</v>
      </c>
      <c r="D233" s="13" t="s">
        <v>106</v>
      </c>
      <c r="E233" s="13" t="s">
        <v>55</v>
      </c>
      <c r="F233" s="13" t="s">
        <v>1641</v>
      </c>
      <c r="G233" s="13" t="s">
        <v>1205</v>
      </c>
      <c r="H233" s="13" t="s">
        <v>1172</v>
      </c>
      <c r="I233" s="202" t="str">
        <f>IFERROR(VLOOKUP(#REF!233,'학생용 IP'!$C$11:$H$326,5,FALSE),"")</f>
        <v>10.54.38.129</v>
      </c>
      <c r="J233" s="13"/>
      <c r="K233" s="13">
        <v>2020.07</v>
      </c>
      <c r="L233" s="134">
        <v>20161017</v>
      </c>
      <c r="M233" s="22">
        <v>820000</v>
      </c>
      <c r="N233" s="13" t="s">
        <v>1186</v>
      </c>
      <c r="O233" s="208">
        <v>723</v>
      </c>
      <c r="P233" s="13" t="s">
        <v>1401</v>
      </c>
      <c r="Q233" s="13" t="s">
        <v>917</v>
      </c>
      <c r="R233" s="13" t="s">
        <v>24</v>
      </c>
      <c r="S233" s="13" t="s">
        <v>1181</v>
      </c>
    </row>
    <row r="234" spans="1:22" s="14" customFormat="1" ht="15" hidden="1" customHeight="1" ns3:dyDescent="0.25">
      <c r="A234" s="25" t="s">
        <v>1472</v>
      </c>
      <c r="B234" s="25" t="str">
        <f t="shared" si="18"/>
      </c>
      <c r="C234" s="13" t="s">
        <v>1147</v>
      </c>
      <c r="D234" s="13" t="s">
        <v>106</v>
      </c>
      <c r="E234" s="13" t="s">
        <v>55</v>
      </c>
      <c r="F234" s="13" t="s">
        <v>1641</v>
      </c>
      <c r="G234" s="13" t="s">
        <v>1205</v>
      </c>
      <c r="H234" s="13" t="s">
        <v>1172</v>
      </c>
      <c r="I234" s="202" t="str">
        <f>IFERROR(VLOOKUP(#REF!234,'학생용 IP'!$C$11:$H$326,5,FALSE),"")</f>
        <v>10.54.38.128</v>
      </c>
      <c r="J234" s="13"/>
      <c r="K234" s="13">
        <v>2020.07</v>
      </c>
      <c r="L234" s="134">
        <v>20161017</v>
      </c>
      <c r="M234" s="22">
        <v>820000</v>
      </c>
      <c r="N234" s="13" t="s">
        <v>1186</v>
      </c>
      <c r="O234" s="208">
        <v>722</v>
      </c>
      <c r="P234" s="13" t="s">
        <v>1401</v>
      </c>
      <c r="Q234" s="13" t="s">
        <v>917</v>
      </c>
      <c r="R234" s="13" t="s">
        <v>24</v>
      </c>
      <c r="S234" s="13" t="s">
        <v>1181</v>
      </c>
    </row>
    <row r="235" spans="1:22" s="14" customFormat="1" ht="15" hidden="1" customHeight="1" ns3:dyDescent="0.25">
      <c r="A235" s="25" t="s">
        <v>1485</v>
      </c>
      <c r="B235" s="25" t="str">
        <f t="shared" si="18"/>
      </c>
      <c r="C235" s="13" t="s">
        <v>1147</v>
      </c>
      <c r="D235" s="13" t="s">
        <v>106</v>
      </c>
      <c r="E235" s="13" t="s">
        <v>55</v>
      </c>
      <c r="F235" s="13" t="s">
        <v>1641</v>
      </c>
      <c r="G235" s="13" t="s">
        <v>1205</v>
      </c>
      <c r="H235" s="13" t="s">
        <v>1172</v>
      </c>
      <c r="I235" s="202" t="str">
        <f>IFERROR(VLOOKUP(#REF!235,'학생용 IP'!$C$11:$H$326,5,FALSE),"")</f>
        <v>10.54.38.127</v>
      </c>
      <c r="J235" s="13"/>
      <c r="K235" s="13">
        <v>2020.07</v>
      </c>
      <c r="L235" s="134">
        <v>20161017</v>
      </c>
      <c r="M235" s="22">
        <v>820000</v>
      </c>
      <c r="N235" s="13" t="s">
        <v>1186</v>
      </c>
      <c r="O235" s="208">
        <v>721</v>
      </c>
      <c r="P235" s="13" t="s">
        <v>1401</v>
      </c>
      <c r="Q235" s="13" t="s">
        <v>917</v>
      </c>
      <c r="R235" s="13" t="s">
        <v>24</v>
      </c>
      <c r="S235" s="13" t="s">
        <v>1181</v>
      </c>
    </row>
    <row r="236" spans="1:22" s="14" customFormat="1" ht="15" hidden="1" customHeight="1" ns3:dyDescent="0.25">
      <c r="A236" s="25" t="s">
        <v>1483</v>
      </c>
      <c r="B236" s="25" t="str">
        <f t="shared" si="18"/>
      </c>
      <c r="C236" s="13" t="s">
        <v>1147</v>
      </c>
      <c r="D236" s="13" t="s">
        <v>106</v>
      </c>
      <c r="E236" s="13" t="s">
        <v>55</v>
      </c>
      <c r="F236" s="13" t="s">
        <v>1641</v>
      </c>
      <c r="G236" s="13" t="s">
        <v>1205</v>
      </c>
      <c r="H236" s="13" t="s">
        <v>1172</v>
      </c>
      <c r="I236" s="202" t="str">
        <f>IFERROR(VLOOKUP(#REF!236,'학생용 IP'!$C$11:$H$326,5,FALSE),"")</f>
        <v>10.54.38.126</v>
      </c>
      <c r="J236" s="13"/>
      <c r="K236" s="13">
        <v>2020.07</v>
      </c>
      <c r="L236" s="134">
        <v>20161017</v>
      </c>
      <c r="M236" s="22">
        <v>820000</v>
      </c>
      <c r="N236" s="13" t="s">
        <v>1186</v>
      </c>
      <c r="O236" s="208">
        <v>720</v>
      </c>
      <c r="P236" s="13" t="s">
        <v>1401</v>
      </c>
      <c r="Q236" s="13" t="s">
        <v>917</v>
      </c>
      <c r="R236" s="13" t="s">
        <v>24</v>
      </c>
      <c r="S236" s="13" t="s">
        <v>1181</v>
      </c>
    </row>
    <row r="237" spans="1:22" s="14" customFormat="1" ht="15" hidden="1" customHeight="1" ns3:dyDescent="0.25">
      <c r="A237" s="25" t="s">
        <v>1470</v>
      </c>
      <c r="B237" s="25" t="str">
        <f t="shared" si="18"/>
      </c>
      <c r="C237" s="13" t="s">
        <v>1147</v>
      </c>
      <c r="D237" s="13" t="s">
        <v>106</v>
      </c>
      <c r="E237" s="13" t="s">
        <v>55</v>
      </c>
      <c r="F237" s="13" t="s">
        <v>1641</v>
      </c>
      <c r="G237" s="13" t="s">
        <v>1205</v>
      </c>
      <c r="H237" s="13" t="s">
        <v>1172</v>
      </c>
      <c r="I237" s="202" t="str">
        <f>IFERROR(VLOOKUP(#REF!237,'학생용 IP'!$C$11:$H$326,5,FALSE),"")</f>
        <v>10.54.38.125</v>
      </c>
      <c r="J237" s="13"/>
      <c r="K237" s="13">
        <v>2020.07</v>
      </c>
      <c r="L237" s="134">
        <v>20161017</v>
      </c>
      <c r="M237" s="22">
        <v>820000</v>
      </c>
      <c r="N237" s="13" t="s">
        <v>1186</v>
      </c>
      <c r="O237" s="208">
        <v>719</v>
      </c>
      <c r="P237" s="13" t="s">
        <v>1401</v>
      </c>
      <c r="Q237" s="13" t="s">
        <v>917</v>
      </c>
      <c r="R237" s="13" t="s">
        <v>24</v>
      </c>
      <c r="S237" s="13" t="s">
        <v>1181</v>
      </c>
    </row>
    <row r="238" spans="1:22" s="14" customFormat="1" ht="15" hidden="1" customHeight="1" ns3:dyDescent="0.25">
      <c r="A238" s="25" t="s">
        <v>1454</v>
      </c>
      <c r="B238" s="25" t="str">
        <f t="shared" si="18"/>
      </c>
      <c r="C238" s="13" t="s">
        <v>1147</v>
      </c>
      <c r="D238" s="13" t="s">
        <v>106</v>
      </c>
      <c r="E238" s="13" t="s">
        <v>55</v>
      </c>
      <c r="F238" s="13" t="s">
        <v>1641</v>
      </c>
      <c r="G238" s="13" t="s">
        <v>1205</v>
      </c>
      <c r="H238" s="13" t="s">
        <v>1172</v>
      </c>
      <c r="I238" s="202" t="str">
        <f>IFERROR(VLOOKUP(#REF!238,'학생용 IP'!$C$11:$H$326,5,FALSE),"")</f>
        <v>10.54.38.124</v>
      </c>
      <c r="J238" s="13"/>
      <c r="K238" s="13">
        <v>2020.07</v>
      </c>
      <c r="L238" s="134">
        <v>20161017</v>
      </c>
      <c r="M238" s="22">
        <v>820000</v>
      </c>
      <c r="N238" s="13" t="s">
        <v>1186</v>
      </c>
      <c r="O238" s="208">
        <v>718</v>
      </c>
      <c r="P238" s="13" t="s">
        <v>1401</v>
      </c>
      <c r="Q238" s="13" t="s">
        <v>917</v>
      </c>
      <c r="R238" s="13" t="s">
        <v>24</v>
      </c>
      <c r="S238" s="13" t="s">
        <v>1181</v>
      </c>
    </row>
    <row r="239" spans="1:22" s="14" customFormat="1" ht="15" hidden="1" customHeight="1" ns3:dyDescent="0.25">
      <c r="A239" s="25" t="s">
        <v>1468</v>
      </c>
      <c r="B239" s="25" t="str">
        <f t="shared" si="18"/>
      </c>
      <c r="C239" s="13" t="s">
        <v>1147</v>
      </c>
      <c r="D239" s="13" t="s">
        <v>106</v>
      </c>
      <c r="E239" s="13" t="s">
        <v>55</v>
      </c>
      <c r="F239" s="13" t="s">
        <v>1641</v>
      </c>
      <c r="G239" s="13" t="s">
        <v>1205</v>
      </c>
      <c r="H239" s="13" t="s">
        <v>1172</v>
      </c>
      <c r="I239" s="202" t="str">
        <f>IFERROR(VLOOKUP(#REF!239,'학생용 IP'!$C$11:$H$326,5,FALSE),"")</f>
        <v>10.54.38.123</v>
      </c>
      <c r="J239" s="13"/>
      <c r="K239" s="13">
        <v>2020.07</v>
      </c>
      <c r="L239" s="134">
        <v>20161017</v>
      </c>
      <c r="M239" s="22">
        <v>820000</v>
      </c>
      <c r="N239" s="13" t="s">
        <v>1186</v>
      </c>
      <c r="O239" s="208">
        <v>717</v>
      </c>
      <c r="P239" s="13" t="s">
        <v>1401</v>
      </c>
      <c r="Q239" s="13" t="s">
        <v>917</v>
      </c>
      <c r="R239" s="13" t="s">
        <v>24</v>
      </c>
      <c r="S239" s="13" t="s">
        <v>1181</v>
      </c>
    </row>
    <row r="240" spans="1:22" s="14" customFormat="1" ht="15" hidden="1" customHeight="1" ns3:dyDescent="0.25">
      <c r="A240" s="25" t="s">
        <v>1482</v>
      </c>
      <c r="B240" s="25" t="str">
        <f t="shared" si="18"/>
      </c>
      <c r="C240" s="13" t="s">
        <v>1147</v>
      </c>
      <c r="D240" s="13" t="s">
        <v>106</v>
      </c>
      <c r="E240" s="13" t="s">
        <v>55</v>
      </c>
      <c r="F240" s="13" t="s">
        <v>1641</v>
      </c>
      <c r="G240" s="13" t="s">
        <v>1205</v>
      </c>
      <c r="H240" s="13" t="s">
        <v>1172</v>
      </c>
      <c r="I240" s="202" t="str">
        <f>IFERROR(VLOOKUP(#REF!240,'학생용 IP'!$C$11:$H$326,5,FALSE),"")</f>
        <v>10.54.38.122</v>
      </c>
      <c r="J240" s="13"/>
      <c r="K240" s="13">
        <v>2020.07</v>
      </c>
      <c r="L240" s="134">
        <v>20161017</v>
      </c>
      <c r="M240" s="22">
        <v>820000</v>
      </c>
      <c r="N240" s="13" t="s">
        <v>1186</v>
      </c>
      <c r="O240" s="208">
        <v>716</v>
      </c>
      <c r="P240" s="13" t="s">
        <v>1401</v>
      </c>
      <c r="Q240" s="13" t="s">
        <v>917</v>
      </c>
      <c r="R240" s="13" t="s">
        <v>24</v>
      </c>
      <c r="S240" s="13" t="s">
        <v>1181</v>
      </c>
    </row>
    <row r="241" spans="1:22" s="14" customFormat="1" ht="15" hidden="1" customHeight="1" ns3:dyDescent="0.25">
      <c r="A241" s="25" t="s">
        <v>1491</v>
      </c>
      <c r="B241" s="25" t="str">
        <f t="shared" si="18"/>
      </c>
      <c r="C241" s="13" t="s">
        <v>1147</v>
      </c>
      <c r="D241" s="13" t="s">
        <v>106</v>
      </c>
      <c r="E241" s="13" t="s">
        <v>55</v>
      </c>
      <c r="F241" s="13" t="s">
        <v>1641</v>
      </c>
      <c r="G241" s="13" t="s">
        <v>1205</v>
      </c>
      <c r="H241" s="13" t="s">
        <v>1172</v>
      </c>
      <c r="I241" s="202" t="str">
        <f>IFERROR(VLOOKUP(#REF!241,'학생용 IP'!$C$11:$H$326,5,FALSE),"")</f>
        <v>10.54.38.121</v>
      </c>
      <c r="J241" s="13"/>
      <c r="K241" s="13">
        <v>2020.07</v>
      </c>
      <c r="L241" s="134">
        <v>20161017</v>
      </c>
      <c r="M241" s="22">
        <v>820000</v>
      </c>
      <c r="N241" s="13" t="s">
        <v>1186</v>
      </c>
      <c r="O241" s="208">
        <v>715</v>
      </c>
      <c r="P241" s="13" t="s">
        <v>1401</v>
      </c>
      <c r="Q241" s="13" t="s">
        <v>917</v>
      </c>
      <c r="R241" s="13" t="s">
        <v>24</v>
      </c>
      <c r="S241" s="13" t="s">
        <v>1181</v>
      </c>
    </row>
    <row r="242" spans="1:22" s="14" customFormat="1" ht="15" hidden="1" customHeight="1" ns3:dyDescent="0.25">
      <c r="A242" s="25" t="s">
        <v>1499</v>
      </c>
      <c r="B242" s="25" t="str">
        <f t="shared" ref="B242:B305" si="20">LEFT(L242,6)&amp;"-"&amp;TEXT(O242,"0000")</f>
      </c>
      <c r="C242" s="13" t="s">
        <v>1147</v>
      </c>
      <c r="D242" s="13" t="s">
        <v>106</v>
      </c>
      <c r="E242" s="13" t="s">
        <v>55</v>
      </c>
      <c r="F242" s="13" t="s">
        <v>1641</v>
      </c>
      <c r="G242" s="13" t="s">
        <v>1205</v>
      </c>
      <c r="H242" s="13" t="s">
        <v>1172</v>
      </c>
      <c r="I242" s="202" t="str">
        <f>IFERROR(VLOOKUP(#REF!242,'학생용 IP'!$C$11:$H$326,5,FALSE),"")</f>
        <v>10.54.38.120</v>
      </c>
      <c r="J242" s="13"/>
      <c r="K242" s="13">
        <v>2020.07</v>
      </c>
      <c r="L242" s="134">
        <v>20161017</v>
      </c>
      <c r="M242" s="22">
        <v>820000</v>
      </c>
      <c r="N242" s="13" t="s">
        <v>1186</v>
      </c>
      <c r="O242" s="208">
        <v>714</v>
      </c>
      <c r="P242" s="13" t="s">
        <v>1401</v>
      </c>
      <c r="Q242" s="13" t="s">
        <v>917</v>
      </c>
      <c r="R242" s="13" t="s">
        <v>24</v>
      </c>
      <c r="S242" s="13" t="s">
        <v>1181</v>
      </c>
    </row>
    <row r="243" spans="1:22" s="14" customFormat="1" ht="15" hidden="1" customHeight="1" ns3:dyDescent="0.25">
      <c r="A243" s="25" t="s">
        <v>1497</v>
      </c>
      <c r="B243" s="25" t="str">
        <f t="shared" si="20"/>
      </c>
      <c r="C243" s="13" t="s">
        <v>1147</v>
      </c>
      <c r="D243" s="13" t="s">
        <v>106</v>
      </c>
      <c r="E243" s="13" t="s">
        <v>55</v>
      </c>
      <c r="F243" s="13" t="s">
        <v>1641</v>
      </c>
      <c r="G243" s="13" t="s">
        <v>1205</v>
      </c>
      <c r="H243" s="13" t="s">
        <v>1172</v>
      </c>
      <c r="I243" s="202" t="str">
        <f>IFERROR(VLOOKUP(#REF!243,'학생용 IP'!$C$11:$H$326,5,FALSE),"")</f>
        <v>10.54.38.119</v>
      </c>
      <c r="J243" s="13"/>
      <c r="K243" s="13">
        <v>2020.07</v>
      </c>
      <c r="L243" s="134">
        <v>20161017</v>
      </c>
      <c r="M243" s="22">
        <v>820000</v>
      </c>
      <c r="N243" s="13" t="s">
        <v>1186</v>
      </c>
      <c r="O243" s="208">
        <v>713</v>
      </c>
      <c r="P243" s="13" t="s">
        <v>1401</v>
      </c>
      <c r="Q243" s="13" t="s">
        <v>917</v>
      </c>
      <c r="R243" s="13" t="s">
        <v>24</v>
      </c>
      <c r="S243" s="13" t="s">
        <v>1181</v>
      </c>
    </row>
    <row r="244" spans="1:22" s="14" customFormat="1" ht="15" hidden="1" customHeight="1" ns3:dyDescent="0.25">
      <c r="A244" s="25" t="s">
        <v>1476</v>
      </c>
      <c r="B244" s="25" t="str">
        <f t="shared" si="20"/>
      </c>
      <c r="C244" s="13" t="s">
        <v>1147</v>
      </c>
      <c r="D244" s="13" t="s">
        <v>106</v>
      </c>
      <c r="E244" s="13" t="s">
        <v>55</v>
      </c>
      <c r="F244" s="13" t="s">
        <v>1641</v>
      </c>
      <c r="G244" s="13" t="s">
        <v>1205</v>
      </c>
      <c r="H244" s="13" t="s">
        <v>1172</v>
      </c>
      <c r="I244" s="202" t="str">
        <f>IFERROR(VLOOKUP(#REF!244,'학생용 IP'!$C$11:$H$326,5,FALSE),"")</f>
        <v>10.54.38.118</v>
      </c>
      <c r="J244" s="13"/>
      <c r="K244" s="13">
        <v>2020.07</v>
      </c>
      <c r="L244" s="134">
        <v>20161017</v>
      </c>
      <c r="M244" s="22">
        <v>820000</v>
      </c>
      <c r="N244" s="13" t="s">
        <v>1186</v>
      </c>
      <c r="O244" s="208">
        <v>712</v>
      </c>
      <c r="P244" s="13" t="s">
        <v>1401</v>
      </c>
      <c r="Q244" s="13" t="s">
        <v>917</v>
      </c>
      <c r="R244" s="13" t="s">
        <v>24</v>
      </c>
      <c r="S244" s="13" t="s">
        <v>1181</v>
      </c>
    </row>
    <row r="245" spans="1:22" s="14" customFormat="1" ht="15" hidden="1" customHeight="1" ns3:dyDescent="0.25">
      <c r="A245" s="25" t="s">
        <v>1492</v>
      </c>
      <c r="B245" s="25" t="str">
        <f t="shared" si="20"/>
      </c>
      <c r="C245" s="13" t="s">
        <v>1147</v>
      </c>
      <c r="D245" s="13" t="s">
        <v>106</v>
      </c>
      <c r="E245" s="13" t="s">
        <v>55</v>
      </c>
      <c r="F245" s="13" t="s">
        <v>1641</v>
      </c>
      <c r="G245" s="13" t="s">
        <v>1205</v>
      </c>
      <c r="H245" s="13" t="s">
        <v>1172</v>
      </c>
      <c r="I245" s="202" t="str">
        <f>IFERROR(VLOOKUP(#REF!245,'학생용 IP'!$C$11:$H$326,5,FALSE),"")</f>
        <v>10.54.38.117</v>
      </c>
      <c r="J245" s="13"/>
      <c r="K245" s="13">
        <v>2020.07</v>
      </c>
      <c r="L245" s="134">
        <v>20161017</v>
      </c>
      <c r="M245" s="22">
        <v>820000</v>
      </c>
      <c r="N245" s="13" t="s">
        <v>1186</v>
      </c>
      <c r="O245" s="208">
        <v>711</v>
      </c>
      <c r="P245" s="13" t="s">
        <v>1401</v>
      </c>
      <c r="Q245" s="13" t="s">
        <v>917</v>
      </c>
      <c r="R245" s="13" t="s">
        <v>24</v>
      </c>
      <c r="S245" s="13" t="s">
        <v>1181</v>
      </c>
    </row>
    <row r="246" spans="1:22" s="14" customFormat="1" ht="15" hidden="1" customHeight="1" ns3:dyDescent="0.25">
      <c r="A246" s="25" t="s">
        <v>1475</v>
      </c>
      <c r="B246" s="25" t="str">
        <f t="shared" si="20"/>
      </c>
      <c r="C246" s="13" t="s">
        <v>1147</v>
      </c>
      <c r="D246" s="13" t="s">
        <v>106</v>
      </c>
      <c r="E246" s="13" t="s">
        <v>55</v>
      </c>
      <c r="F246" s="13" t="s">
        <v>1641</v>
      </c>
      <c r="G246" s="13" t="s">
        <v>1205</v>
      </c>
      <c r="H246" s="13" t="s">
        <v>1172</v>
      </c>
      <c r="I246" s="202" t="str">
        <f>IFERROR(VLOOKUP(#REF!246,'학생용 IP'!$C$11:$H$326,5,FALSE),"")</f>
        <v>10.54.38.116</v>
      </c>
      <c r="J246" s="13"/>
      <c r="K246" s="13">
        <v>2020.07</v>
      </c>
      <c r="L246" s="134">
        <v>20161017</v>
      </c>
      <c r="M246" s="22">
        <v>820000</v>
      </c>
      <c r="N246" s="13" t="s">
        <v>1186</v>
      </c>
      <c r="O246" s="208">
        <v>710</v>
      </c>
      <c r="P246" s="13" t="s">
        <v>1401</v>
      </c>
      <c r="Q246" s="13" t="s">
        <v>917</v>
      </c>
      <c r="R246" s="13" t="s">
        <v>24</v>
      </c>
      <c r="S246" s="13" t="s">
        <v>1181</v>
      </c>
    </row>
    <row r="247" spans="1:22" s="14" customFormat="1" ht="15" hidden="1" customHeight="1" ns3:dyDescent="0.25">
      <c r="A247" s="25" t="s">
        <v>1481</v>
      </c>
      <c r="B247" s="25" t="str">
        <f t="shared" si="20"/>
      </c>
      <c r="C247" s="13" t="s">
        <v>1147</v>
      </c>
      <c r="D247" s="13" t="s">
        <v>106</v>
      </c>
      <c r="E247" s="13" t="s">
        <v>55</v>
      </c>
      <c r="F247" s="13" t="s">
        <v>1641</v>
      </c>
      <c r="G247" s="13" t="s">
        <v>1205</v>
      </c>
      <c r="H247" s="13" t="s">
        <v>1172</v>
      </c>
      <c r="I247" s="202" t="str">
        <f>IFERROR(VLOOKUP(#REF!247,'학생용 IP'!$C$11:$H$326,5,FALSE),"")</f>
        <v>10.54.38.115</v>
      </c>
      <c r="J247" s="13"/>
      <c r="K247" s="13">
        <v>2020.07</v>
      </c>
      <c r="L247" s="134">
        <v>20161017</v>
      </c>
      <c r="M247" s="22">
        <v>820000</v>
      </c>
      <c r="N247" s="13" t="s">
        <v>1186</v>
      </c>
      <c r="O247" s="208">
        <v>709</v>
      </c>
      <c r="P247" s="13" t="s">
        <v>1401</v>
      </c>
      <c r="Q247" s="13" t="s">
        <v>917</v>
      </c>
      <c r="R247" s="13" t="s">
        <v>24</v>
      </c>
      <c r="S247" s="13" t="s">
        <v>1181</v>
      </c>
    </row>
    <row r="248" spans="1:22" s="14" customFormat="1" ht="15" hidden="1" customHeight="1" ns3:dyDescent="0.25">
      <c r="A248" s="25" t="s">
        <v>1498</v>
      </c>
      <c r="B248" s="25" t="str">
        <f t="shared" si="20"/>
      </c>
      <c r="C248" s="13" t="s">
        <v>1147</v>
      </c>
      <c r="D248" s="13" t="s">
        <v>106</v>
      </c>
      <c r="E248" s="13" t="s">
        <v>55</v>
      </c>
      <c r="F248" s="13" t="s">
        <v>1641</v>
      </c>
      <c r="G248" s="13" t="s">
        <v>1205</v>
      </c>
      <c r="H248" s="13" t="s">
        <v>1172</v>
      </c>
      <c r="I248" s="202" t="str">
        <f>IFERROR(VLOOKUP(#REF!248,'학생용 IP'!$C$11:$H$326,5,FALSE),"")</f>
        <v>10.54.38.114</v>
      </c>
      <c r="J248" s="13"/>
      <c r="K248" s="13">
        <v>2020.07</v>
      </c>
      <c r="L248" s="134">
        <v>20161017</v>
      </c>
      <c r="M248" s="22">
        <v>820000</v>
      </c>
      <c r="N248" s="13" t="s">
        <v>1186</v>
      </c>
      <c r="O248" s="208">
        <v>708</v>
      </c>
      <c r="P248" s="13" t="s">
        <v>1401</v>
      </c>
      <c r="Q248" s="13" t="s">
        <v>917</v>
      </c>
      <c r="R248" s="13" t="s">
        <v>24</v>
      </c>
      <c r="S248" s="13" t="s">
        <v>1181</v>
      </c>
    </row>
    <row r="249" spans="1:22" s="14" customFormat="1" ht="15" hidden="1" customHeight="1" ns3:dyDescent="0.25">
      <c r="A249" s="25" t="s">
        <v>1477</v>
      </c>
      <c r="B249" s="25" t="str">
        <f t="shared" si="20"/>
      </c>
      <c r="C249" s="13" t="s">
        <v>1147</v>
      </c>
      <c r="D249" s="13" t="s">
        <v>106</v>
      </c>
      <c r="E249" s="13" t="s">
        <v>55</v>
      </c>
      <c r="F249" s="13" t="s">
        <v>1641</v>
      </c>
      <c r="G249" s="13" t="s">
        <v>1205</v>
      </c>
      <c r="H249" s="13" t="s">
        <v>1172</v>
      </c>
      <c r="I249" s="202" t="str">
        <f>IFERROR(VLOOKUP(#REF!249,'학생용 IP'!$C$11:$H$326,5,FALSE),"")</f>
        <v>10.54.38.113</v>
      </c>
      <c r="J249" s="13"/>
      <c r="K249" s="13">
        <v>2020.07</v>
      </c>
      <c r="L249" s="134">
        <v>20161017</v>
      </c>
      <c r="M249" s="22">
        <v>820000</v>
      </c>
      <c r="N249" s="13" t="s">
        <v>1186</v>
      </c>
      <c r="O249" s="208">
        <v>707</v>
      </c>
      <c r="P249" s="13" t="s">
        <v>1401</v>
      </c>
      <c r="Q249" s="13" t="s">
        <v>917</v>
      </c>
      <c r="R249" s="13" t="s">
        <v>24</v>
      </c>
      <c r="S249" s="13" t="s">
        <v>1181</v>
      </c>
    </row>
    <row r="250" spans="1:22" s="14" customFormat="1" ht="15" hidden="1" customHeight="1" ns3:dyDescent="0.25">
      <c r="A250" s="25" t="s">
        <v>1494</v>
      </c>
      <c r="B250" s="25" t="str">
        <f t="shared" si="20"/>
      </c>
      <c r="C250" s="13" t="s">
        <v>1147</v>
      </c>
      <c r="D250" s="13" t="s">
        <v>106</v>
      </c>
      <c r="E250" s="13" t="s">
        <v>55</v>
      </c>
      <c r="F250" s="13" t="s">
        <v>1641</v>
      </c>
      <c r="G250" s="13" t="s">
        <v>1205</v>
      </c>
      <c r="H250" s="13" t="s">
        <v>1172</v>
      </c>
      <c r="I250" s="202" t="str">
        <f>IFERROR(VLOOKUP(#REF!250,'학생용 IP'!$C$11:$H$326,5,FALSE),"")</f>
        <v>10.54.38.112</v>
      </c>
      <c r="J250" s="13"/>
      <c r="K250" s="13">
        <v>2020.07</v>
      </c>
      <c r="L250" s="134">
        <v>20161017</v>
      </c>
      <c r="M250" s="22">
        <v>820000</v>
      </c>
      <c r="N250" s="13" t="s">
        <v>1186</v>
      </c>
      <c r="O250" s="208">
        <v>706</v>
      </c>
      <c r="P250" s="13" t="s">
        <v>1401</v>
      </c>
      <c r="Q250" s="13" t="s">
        <v>917</v>
      </c>
      <c r="R250" s="13" t="s">
        <v>24</v>
      </c>
      <c r="S250" s="13" t="s">
        <v>1181</v>
      </c>
    </row>
    <row r="251" spans="1:22" s="14" customFormat="1" ht="15" hidden="1" customHeight="1" ns3:dyDescent="0.25">
      <c r="A251" s="25" t="s">
        <v>1489</v>
      </c>
      <c r="B251" s="25" t="str">
        <f t="shared" si="20"/>
      </c>
      <c r="C251" s="13" t="s">
        <v>1147</v>
      </c>
      <c r="D251" s="13" t="s">
        <v>106</v>
      </c>
      <c r="E251" s="13" t="s">
        <v>55</v>
      </c>
      <c r="F251" s="13" t="s">
        <v>1641</v>
      </c>
      <c r="G251" s="13" t="s">
        <v>1205</v>
      </c>
      <c r="H251" s="13" t="s">
        <v>1172</v>
      </c>
      <c r="I251" s="202" t="str">
        <f>IFERROR(VLOOKUP(#REF!251,'학생용 IP'!$C$11:$H$326,5,FALSE),"")</f>
        <v>10.54.38.111</v>
      </c>
      <c r="J251" s="13"/>
      <c r="K251" s="13">
        <v>2020.07</v>
      </c>
      <c r="L251" s="134">
        <v>20161017</v>
      </c>
      <c r="M251" s="22">
        <v>820000</v>
      </c>
      <c r="N251" s="13" t="s">
        <v>1186</v>
      </c>
      <c r="O251" s="208">
        <v>705</v>
      </c>
      <c r="P251" s="13" t="s">
        <v>1401</v>
      </c>
      <c r="Q251" s="13" t="s">
        <v>917</v>
      </c>
      <c r="R251" s="13" t="s">
        <v>24</v>
      </c>
      <c r="S251" s="13" t="s">
        <v>1181</v>
      </c>
    </row>
    <row r="252" spans="1:22" s="14" customFormat="1" ht="15" hidden="1" customHeight="1" ns3:dyDescent="0.25">
      <c r="A252" s="25" t="s">
        <v>1501</v>
      </c>
      <c r="B252" s="25" t="str">
        <f t="shared" si="20"/>
      </c>
      <c r="C252" s="13" t="s">
        <v>1147</v>
      </c>
      <c r="D252" s="13" t="s">
        <v>106</v>
      </c>
      <c r="E252" s="13" t="s">
        <v>55</v>
      </c>
      <c r="F252" s="13" t="s">
        <v>1641</v>
      </c>
      <c r="G252" s="13" t="s">
        <v>1205</v>
      </c>
      <c r="H252" s="13" t="s">
        <v>1172</v>
      </c>
      <c r="I252" s="202" t="str">
        <f>IFERROR(VLOOKUP(#REF!252,'학생용 IP'!$C$11:$H$326,5,FALSE),"")</f>
        <v>10.54.38.110</v>
      </c>
      <c r="J252" s="13"/>
      <c r="K252" s="13">
        <v>2020.07</v>
      </c>
      <c r="L252" s="134">
        <v>20161017</v>
      </c>
      <c r="M252" s="22">
        <v>820000</v>
      </c>
      <c r="N252" s="13" t="s">
        <v>1186</v>
      </c>
      <c r="O252" s="208">
        <v>704</v>
      </c>
      <c r="P252" s="13" t="s">
        <v>1401</v>
      </c>
      <c r="Q252" s="13" t="s">
        <v>917</v>
      </c>
      <c r="R252" s="13" t="s">
        <v>24</v>
      </c>
      <c r="S252" s="13" t="s">
        <v>1181</v>
      </c>
    </row>
    <row r="253" spans="1:22" s="14" customFormat="1" ht="15" hidden="1" customHeight="1" ns3:dyDescent="0.25">
      <c r="A253" s="25" t="s">
        <v>1500</v>
      </c>
      <c r="B253" s="25" t="str">
        <f t="shared" si="20"/>
      </c>
      <c r="C253" s="13" t="s">
        <v>1147</v>
      </c>
      <c r="D253" s="13" t="s">
        <v>106</v>
      </c>
      <c r="E253" s="13" t="s">
        <v>55</v>
      </c>
      <c r="F253" s="13" t="s">
        <v>1641</v>
      </c>
      <c r="G253" s="13" t="s">
        <v>1205</v>
      </c>
      <c r="H253" s="13" t="s">
        <v>1172</v>
      </c>
      <c r="I253" s="202" t="str">
        <f>IFERROR(VLOOKUP(#REF!253,'학생용 IP'!$C$11:$H$326,5,FALSE),"")</f>
        <v>10.54.38.109</v>
      </c>
      <c r="J253" s="13"/>
      <c r="K253" s="13">
        <v>2020.07</v>
      </c>
      <c r="L253" s="134">
        <v>20161017</v>
      </c>
      <c r="M253" s="22">
        <v>820000</v>
      </c>
      <c r="N253" s="13" t="s">
        <v>1186</v>
      </c>
      <c r="O253" s="208">
        <v>703</v>
      </c>
      <c r="P253" s="13" t="s">
        <v>1401</v>
      </c>
      <c r="Q253" s="13" t="s">
        <v>917</v>
      </c>
      <c r="R253" s="13" t="s">
        <v>24</v>
      </c>
      <c r="S253" s="13" t="s">
        <v>1181</v>
      </c>
    </row>
    <row r="254" spans="1:22" s="14" customFormat="1" ht="15" hidden="1" customHeight="1" ns3:dyDescent="0.25">
      <c r="A254" s="25" t="s">
        <v>1479</v>
      </c>
      <c r="B254" s="25" t="str">
        <f t="shared" si="20"/>
      </c>
      <c r="C254" s="13" t="s">
        <v>1147</v>
      </c>
      <c r="D254" s="13" t="s">
        <v>106</v>
      </c>
      <c r="E254" s="13" t="s">
        <v>55</v>
      </c>
      <c r="F254" s="13" t="s">
        <v>1641</v>
      </c>
      <c r="G254" s="13" t="s">
        <v>1205</v>
      </c>
      <c r="H254" s="13" t="s">
        <v>1172</v>
      </c>
      <c r="I254" s="202" t="str">
        <f>IFERROR(VLOOKUP(#REF!254,'학생용 IP'!$C$11:$H$326,5,FALSE),"")</f>
        <v>10.54.38.108</v>
      </c>
      <c r="J254" s="13"/>
      <c r="K254" s="13">
        <v>2020.07</v>
      </c>
      <c r="L254" s="134">
        <v>20161017</v>
      </c>
      <c r="M254" s="22">
        <v>820000</v>
      </c>
      <c r="N254" s="13" t="s">
        <v>1186</v>
      </c>
      <c r="O254" s="208">
        <v>702</v>
      </c>
      <c r="P254" s="13" t="s">
        <v>1401</v>
      </c>
      <c r="Q254" s="13" t="s">
        <v>917</v>
      </c>
      <c r="R254" s="13" t="s">
        <v>24</v>
      </c>
      <c r="S254" s="13" t="s">
        <v>1181</v>
      </c>
    </row>
    <row r="255" spans="1:22" s="14" customFormat="1" ht="15" hidden="1" customHeight="1" ns3:dyDescent="0.25">
      <c r="A255" s="25" t="s">
        <v>1471</v>
      </c>
      <c r="B255" s="25" t="str">
        <f t="shared" si="20"/>
      </c>
      <c r="C255" s="13" t="s">
        <v>1147</v>
      </c>
      <c r="D255" s="13" t="s">
        <v>106</v>
      </c>
      <c r="E255" s="13" t="s">
        <v>55</v>
      </c>
      <c r="F255" s="13" t="s">
        <v>1641</v>
      </c>
      <c r="G255" s="13" t="s">
        <v>1205</v>
      </c>
      <c r="H255" s="13" t="s">
        <v>1172</v>
      </c>
      <c r="I255" s="202" t="str">
        <f>IFERROR(VLOOKUP(#REF!255,'학생용 IP'!$C$11:$H$326,5,FALSE),"")</f>
        <v>10.54.38.107</v>
      </c>
      <c r="J255" s="13"/>
      <c r="K255" s="13">
        <v>2020.07</v>
      </c>
      <c r="L255" s="134">
        <v>20161017</v>
      </c>
      <c r="M255" s="22">
        <v>820000</v>
      </c>
      <c r="N255" s="13" t="s">
        <v>1186</v>
      </c>
      <c r="O255" s="208">
        <v>701</v>
      </c>
      <c r="P255" s="13" t="s">
        <v>1401</v>
      </c>
      <c r="Q255" s="13" t="s">
        <v>917</v>
      </c>
      <c r="R255" s="13" t="s">
        <v>24</v>
      </c>
      <c r="S255" s="13" t="s">
        <v>1181</v>
      </c>
    </row>
    <row r="256" spans="1:22" s="14" customFormat="1" ht="15" hidden="1" customHeight="1" ns3:dyDescent="0.25">
      <c r="A256" s="25" t="s">
        <v>1495</v>
      </c>
      <c r="B256" s="25" t="str">
        <f t="shared" si="20"/>
      </c>
      <c r="C256" s="13" t="s">
        <v>1147</v>
      </c>
      <c r="D256" s="13" t="s">
        <v>106</v>
      </c>
      <c r="E256" s="13" t="s">
        <v>55</v>
      </c>
      <c r="F256" s="13" t="s">
        <v>1641</v>
      </c>
      <c r="G256" s="13" t="s">
        <v>1205</v>
      </c>
      <c r="H256" s="13" t="s">
        <v>1172</v>
      </c>
      <c r="I256" s="202" t="str">
        <f>IFERROR(VLOOKUP(#REF!256,'학생용 IP'!$C$11:$H$326,5,FALSE),"")</f>
        <v>10.54.38.106</v>
      </c>
      <c r="J256" s="13"/>
      <c r="K256" s="13">
        <v>2020.07</v>
      </c>
      <c r="L256" s="134">
        <v>20161017</v>
      </c>
      <c r="M256" s="22">
        <v>820000</v>
      </c>
      <c r="N256" s="13" t="s">
        <v>1186</v>
      </c>
      <c r="O256" s="208">
        <v>700</v>
      </c>
      <c r="P256" s="13" t="s">
        <v>1401</v>
      </c>
      <c r="Q256" s="13" t="s">
        <v>917</v>
      </c>
      <c r="R256" s="13" t="s">
        <v>24</v>
      </c>
      <c r="S256" s="13" t="s">
        <v>1181</v>
      </c>
    </row>
    <row r="257" spans="1:24" s="14" customFormat="1" ht="15" hidden="1" customHeight="1" ns3:dyDescent="0.25">
      <c r="A257" s="25" t="s">
        <v>1509</v>
      </c>
      <c r="B257" s="25" t="str">
        <f t="shared" si="20"/>
      </c>
      <c r="C257" s="13" t="s">
        <v>1147</v>
      </c>
      <c r="D257" s="13" t="s">
        <v>106</v>
      </c>
      <c r="E257" s="13" t="s">
        <v>55</v>
      </c>
      <c r="F257" s="13" t="s">
        <v>1641</v>
      </c>
      <c r="G257" s="13" t="s">
        <v>1205</v>
      </c>
      <c r="H257" s="13" t="s">
        <v>1172</v>
      </c>
      <c r="I257" s="202" t="str">
        <f>IFERROR(VLOOKUP(#REF!257,'학생용 IP'!$C$11:$H$326,5,FALSE),"")</f>
        <v>10.54.38.105</v>
      </c>
      <c r="J257" s="13"/>
      <c r="K257" s="13">
        <v>2020.07</v>
      </c>
      <c r="L257" s="134">
        <v>20161017</v>
      </c>
      <c r="M257" s="22">
        <v>820000</v>
      </c>
      <c r="N257" s="13" t="s">
        <v>1186</v>
      </c>
      <c r="O257" s="208">
        <v>699</v>
      </c>
      <c r="P257" s="13" t="s">
        <v>1401</v>
      </c>
      <c r="Q257" s="13" t="s">
        <v>917</v>
      </c>
      <c r="R257" s="13" t="s">
        <v>24</v>
      </c>
      <c r="S257" s="13" t="s">
        <v>1181</v>
      </c>
    </row>
    <row r="258" spans="1:24" s="14" customFormat="1" ht="15" hidden="1" customHeight="1" ns3:dyDescent="0.25">
      <c r="A258" s="25" t="s">
        <v>1493</v>
      </c>
      <c r="B258" s="25" t="str">
        <f t="shared" si="20"/>
      </c>
      <c r="C258" s="13" t="s">
        <v>1147</v>
      </c>
      <c r="D258" s="13" t="s">
        <v>106</v>
      </c>
      <c r="E258" s="13" t="s">
        <v>55</v>
      </c>
      <c r="F258" s="13" t="s">
        <v>1641</v>
      </c>
      <c r="G258" s="13" t="s">
        <v>1205</v>
      </c>
      <c r="H258" s="13" t="s">
        <v>1172</v>
      </c>
      <c r="I258" s="202" t="str">
        <f>IFERROR(VLOOKUP(#REF!258,'학생용 IP'!$C$11:$H$326,5,FALSE),"")</f>
        <v>10.54.38.104</v>
      </c>
      <c r="J258" s="13"/>
      <c r="K258" s="13">
        <v>2020.07</v>
      </c>
      <c r="L258" s="134">
        <v>20161017</v>
      </c>
      <c r="M258" s="22">
        <v>820000</v>
      </c>
      <c r="N258" s="13" t="s">
        <v>1186</v>
      </c>
      <c r="O258" s="208">
        <v>698</v>
      </c>
      <c r="P258" s="13" t="s">
        <v>1401</v>
      </c>
      <c r="Q258" s="13" t="s">
        <v>917</v>
      </c>
      <c r="R258" s="13" t="s">
        <v>24</v>
      </c>
      <c r="S258" s="13" t="s">
        <v>1181</v>
      </c>
    </row>
    <row r="259" spans="1:24" s="14" customFormat="1" ht="15" hidden="1" customHeight="1" ns3:dyDescent="0.25">
      <c r="A259" s="25" t="s">
        <v>1488</v>
      </c>
      <c r="B259" s="25" t="str">
        <f t="shared" si="20"/>
      </c>
      <c r="C259" s="13" t="s">
        <v>1147</v>
      </c>
      <c r="D259" s="13" t="s">
        <v>106</v>
      </c>
      <c r="E259" s="13" t="s">
        <v>55</v>
      </c>
      <c r="F259" s="13" t="s">
        <v>1641</v>
      </c>
      <c r="G259" s="13" t="s">
        <v>1205</v>
      </c>
      <c r="H259" s="13" t="s">
        <v>1172</v>
      </c>
      <c r="I259" s="202" t="str">
        <f>IFERROR(VLOOKUP(#REF!259,'학생용 IP'!$C$11:$H$326,5,FALSE),"")</f>
        <v>10.54.38.103</v>
      </c>
      <c r="J259" s="13"/>
      <c r="K259" s="13">
        <v>2020.07</v>
      </c>
      <c r="L259" s="134">
        <v>20161017</v>
      </c>
      <c r="M259" s="22">
        <v>820000</v>
      </c>
      <c r="N259" s="13" t="s">
        <v>1186</v>
      </c>
      <c r="O259" s="208">
        <v>697</v>
      </c>
      <c r="P259" s="13" t="s">
        <v>1401</v>
      </c>
      <c r="Q259" s="13" t="s">
        <v>917</v>
      </c>
      <c r="R259" s="13" t="s">
        <v>24</v>
      </c>
      <c r="S259" s="13" t="s">
        <v>1181</v>
      </c>
    </row>
    <row r="260" spans="1:24" s="14" customFormat="1" ht="15" hidden="1" customHeight="1" ns3:dyDescent="0.25">
      <c r="A260" s="25" t="s">
        <v>1515</v>
      </c>
      <c r="B260" s="25" t="str">
        <f t="shared" si="20"/>
      </c>
      <c r="C260" s="13" t="s">
        <v>1147</v>
      </c>
      <c r="D260" s="13" t="s">
        <v>106</v>
      </c>
      <c r="E260" s="13" t="s">
        <v>55</v>
      </c>
      <c r="F260" s="13" t="s">
        <v>1641</v>
      </c>
      <c r="G260" s="13" t="s">
        <v>1205</v>
      </c>
      <c r="H260" s="13" t="s">
        <v>1172</v>
      </c>
      <c r="I260" s="202" t="str">
        <f>IFERROR(VLOOKUP(#REF!260,'학생용 IP'!$C$11:$H$326,5,FALSE),"")</f>
        <v>10.54.38.102</v>
      </c>
      <c r="J260" s="13"/>
      <c r="K260" s="13">
        <v>2020.07</v>
      </c>
      <c r="L260" s="134">
        <v>20161017</v>
      </c>
      <c r="M260" s="22">
        <v>820000</v>
      </c>
      <c r="N260" s="13" t="s">
        <v>1186</v>
      </c>
      <c r="O260" s="208">
        <v>696</v>
      </c>
      <c r="P260" s="13" t="s">
        <v>1401</v>
      </c>
      <c r="Q260" s="13" t="s">
        <v>917</v>
      </c>
      <c r="R260" s="13" t="s">
        <v>24</v>
      </c>
      <c r="S260" s="13" t="s">
        <v>1181</v>
      </c>
    </row>
    <row r="261" spans="1:24" ht="15" customHeight="1" ns3:dyDescent="0.25">
      <c r="A261" s="25" t="s">
        <v>920</v>
      </c>
      <c r="B261" s="25" t="str">
        <f t="shared" si="20"/>
      </c>
      <c r="C261" s="25" t="s">
        <v>102</v>
      </c>
      <c r="D261" s="25" t="s">
        <v>106</v>
      </c>
      <c r="E261" s="25" t="s">
        <v>55</v>
      </c>
      <c r="F261" s="25" t="s">
        <v>1663</v>
      </c>
      <c r="G261" s="25" t="s">
        <v>117</v>
      </c>
      <c r="H261" s="25" t="str">
        <f>IFERROR(VLOOKUP(#REF!261,'정보화기기 명부'!A$2:B$187,2,FALSE),"")</f>
        <v>진로진학상담부</v>
      </c>
      <c r="I261" s="202" t="str">
        <f>IFERROR(VLOOKUP(#REF!261,'학생용 IP'!$C$11:$H$326,5,FALSE),"")</f>
        <v>10.54.36.100</v>
      </c>
      <c r="J261" s="25"/>
      <c r="K261" s="288"/>
      <c r="L261" s="129">
        <v>20160323</v>
      </c>
      <c r="M261" s="125">
        <v>1060000</v>
      </c>
      <c r="N261" s="25" t="s">
        <v>1191</v>
      </c>
      <c r="O261" s="162">
        <v>695</v>
      </c>
      <c r="P261" s="25" t="s">
        <v>1535</v>
      </c>
      <c r="Q261" s="25" t="s">
        <v>950</v>
      </c>
      <c r="R261" s="25" t="s">
        <v>52</v>
      </c>
      <c r="S261" s="25" t="s">
        <v>1181</v>
      </c>
    </row>
    <row r="262" spans="1:24" ht="15" customHeight="1" ns3:dyDescent="0.25">
      <c r="A262" s="25" t="s">
        <v>924</v>
      </c>
      <c r="B262" s="25" t="str">
        <f t="shared" si="20"/>
      </c>
      <c r="C262" s="25" t="s">
        <v>102</v>
      </c>
      <c r="D262" s="25" t="s">
        <v>946</v>
      </c>
      <c r="E262" s="25" t="s">
        <v>120</v>
      </c>
      <c r="F262" s="25" t="s">
        <v>1637</v>
      </c>
      <c r="G262" s="25" t="s">
        <v>117</v>
      </c>
      <c r="H262" s="25" t="str">
        <f>IFERROR(VLOOKUP(#REF!262,'정보화기기 명부'!A$2:B$187,2,FALSE),"")</f>
        <v/>
      </c>
      <c r="I262" s="126" t="str">
        <f>IFERROR(VLOOKUP(A262,'교직원용 IP'!$C$2:$H$230,6,FALSE),"")</f>
        <v/>
      </c>
      <c r="J262" s="89" t="s">
        <v>1455</v>
      </c>
      <c r="K262" s="117">
        <v>2022.08</v>
      </c>
      <c r="L262" s="129">
        <v>20160323</v>
      </c>
      <c r="M262" s="125">
        <v>1060000</v>
      </c>
      <c r="N262" s="25" t="s">
        <v>1191</v>
      </c>
      <c r="O262" s="162">
        <v>694</v>
      </c>
      <c r="P262" s="25" t="s">
        <v>1535</v>
      </c>
      <c r="Q262" s="25" t="s">
        <v>950</v>
      </c>
      <c r="R262" s="25" t="s">
        <v>964</v>
      </c>
      <c r="S262" s="25" t="s">
        <v>1197</v>
      </c>
      <c r="T262" t="inlineStr">
        <is>
          <t>O</t>
        </is>
      </c>
    </row>
    <row r="263" spans="1:24" ht="15" customHeight="1" ns3:dyDescent="0.25">
      <c r="A263" s="25" t="s">
        <v>1487</v>
      </c>
      <c r="B263" s="25" t="str">
        <f t="shared" si="20"/>
      </c>
      <c r="C263" s="25" t="s">
        <v>102</v>
      </c>
      <c r="D263" s="25" t="s">
        <v>946</v>
      </c>
      <c r="E263" s="25" t="s">
        <v>120</v>
      </c>
      <c r="F263" s="25" t="s">
        <v>1637</v>
      </c>
      <c r="G263" s="25" t="s">
        <v>117</v>
      </c>
      <c r="H263" s="89" t="str">
        <f>IFERROR(VLOOKUP(#REF!263,'정보화기기 명부'!A$2:B$187,2,FALSE),"")</f>
        <v>정보교육부</v>
      </c>
      <c r="I263" s="126" t="str">
        <f>IFERROR(VLOOKUP(A263,'교직원용 IP'!$C$2:$H$230,6,FALSE),"")</f>
        <v/>
      </c>
      <c r="J263" s="25"/>
      <c r="K263" s="117">
        <v>2022.08</v>
      </c>
      <c r="L263" s="129">
        <v>20160323</v>
      </c>
      <c r="M263" s="125">
        <v>1060000</v>
      </c>
      <c r="N263" s="25" t="s">
        <v>1191</v>
      </c>
      <c r="O263" s="162">
        <v>693</v>
      </c>
      <c r="P263" s="25" t="s">
        <v>1535</v>
      </c>
      <c r="Q263" s="25" t="s">
        <v>950</v>
      </c>
      <c r="R263" s="25" t="s">
        <v>964</v>
      </c>
      <c r="S263" s="25" t="s">
        <v>1197</v>
      </c>
    </row>
    <row r="264" spans="1:24" ht="15" customHeight="1" ns3:dyDescent="0.25">
      <c r="A264" s="25" t="s">
        <v>914</v>
      </c>
      <c r="B264" s="25" t="str">
        <f t="shared" si="20"/>
      </c>
      <c r="C264" s="25" t="s">
        <v>102</v>
      </c>
      <c r="D264" s="25" t="s">
        <v>946</v>
      </c>
      <c r="E264" s="25" t="s">
        <v>120</v>
      </c>
      <c r="F264" s="25" t="s">
        <v>1637</v>
      </c>
      <c r="G264" s="25" t="s">
        <v>117</v>
      </c>
      <c r="H264" s="25" t="s">
        <v>1800</v>
      </c>
      <c r="I264" s="126" t="str">
        <f>IFERROR(VLOOKUP(A264,'교직원용 IP'!$C$2:$H$230,6,FALSE),"")</f>
        <v/>
      </c>
      <c r="J264" s="25" t="s">
        <v>954</v>
      </c>
      <c r="K264" s="117">
        <v>2022.08</v>
      </c>
      <c r="L264" s="129">
        <v>20160323</v>
      </c>
      <c r="M264" s="125">
        <v>1060000</v>
      </c>
      <c r="N264" s="25" t="s">
        <v>1191</v>
      </c>
      <c r="O264" s="162">
        <v>692</v>
      </c>
      <c r="P264" s="25" t="s">
        <v>1535</v>
      </c>
      <c r="Q264" s="25" t="s">
        <v>950</v>
      </c>
      <c r="R264" s="25" t="s">
        <v>964</v>
      </c>
      <c r="S264" s="25" t="s">
        <v>1197</v>
      </c>
      <c r="T264" t="inlineStr">
        <is>
          <t>O</t>
        </is>
      </c>
    </row>
    <row r="265" spans="1:24" ht="15" customHeight="1" ns3:dyDescent="0.25">
      <c r="A265" s="25" t="s">
        <v>912</v>
      </c>
      <c r="B265" s="25" t="str">
        <f t="shared" si="20"/>
      </c>
      <c r="C265" s="25" t="s">
        <v>102</v>
      </c>
      <c r="D265" s="25" t="s">
        <v>17</v>
      </c>
      <c r="E265" s="25" t="s">
        <v>120</v>
      </c>
      <c r="F265" s="25" t="s">
        <v>1637</v>
      </c>
      <c r="G265" s="25" t="s">
        <v>117</v>
      </c>
      <c r="H265" s="25" t="str">
        <f>IFERROR(VLOOKUP(#REF!265,'정보화기기 명부'!A$2:B$187,2,FALSE),"")</f>
        <v/>
      </c>
      <c r="I265" s="126" t="str">
        <f>IFERROR(VLOOKUP(A265,'교직원용 IP'!$C$2:$H$230,6,FALSE),"")</f>
        <v/>
      </c>
      <c r="J265" s="25"/>
      <c r="K265" s="117">
        <v>2022.08</v>
      </c>
      <c r="L265" s="129">
        <v>20160323</v>
      </c>
      <c r="M265" s="125">
        <v>1060000</v>
      </c>
      <c r="N265" s="25" t="s">
        <v>1191</v>
      </c>
      <c r="O265" s="162">
        <v>691</v>
      </c>
      <c r="P265" s="25" t="s">
        <v>1535</v>
      </c>
      <c r="Q265" s="25" t="s">
        <v>950</v>
      </c>
      <c r="R265" s="25" t="s">
        <v>964</v>
      </c>
      <c r="S265" s="25" t="s">
        <v>1197</v>
      </c>
    </row>
    <row r="266" spans="1:24" ht="15" customHeight="1" ns3:dyDescent="0.25">
      <c r="A266" s="25" t="s">
        <v>934</v>
      </c>
      <c r="B266" s="25" t="str">
        <f t="shared" si="20"/>
      </c>
      <c r="C266" s="25" t="s">
        <v>102</v>
      </c>
      <c r="D266" s="25" t="s">
        <v>17</v>
      </c>
      <c r="E266" s="25" t="s">
        <v>120</v>
      </c>
      <c r="F266" s="25" t="s">
        <v>1637</v>
      </c>
      <c r="G266" s="25" t="s">
        <v>30</v>
      </c>
      <c r="H266" s="25" t="str">
        <f>IFERROR(VLOOKUP(#REF!266,'정보화기기 명부'!A$2:B$187,2,FALSE),"")</f>
        <v/>
      </c>
      <c r="I266" s="126" t="str">
        <f>IFERROR(VLOOKUP(A266,'교직원용 IP'!$C$2:$H$230,6,FALSE),"")</f>
        <v/>
      </c>
      <c r="J266" s="25"/>
      <c r="K266" s="117">
        <v>2022.08</v>
      </c>
      <c r="L266" s="129">
        <v>20160323</v>
      </c>
      <c r="M266" s="125">
        <v>1060000</v>
      </c>
      <c r="N266" s="25" t="s">
        <v>1191</v>
      </c>
      <c r="O266" s="162">
        <v>690</v>
      </c>
      <c r="P266" s="25" t="s">
        <v>1535</v>
      </c>
      <c r="Q266" s="25" t="s">
        <v>950</v>
      </c>
      <c r="R266" s="25" t="s">
        <v>964</v>
      </c>
      <c r="S266" s="25" t="s">
        <v>1197</v>
      </c>
      <c r="T266" t="inlineStr">
        <is>
          <t>O</t>
        </is>
      </c>
    </row>
    <row r="267" spans="1:24" ht="15" customHeight="1" ns3:dyDescent="0.25">
      <c r="A267" s="25" t="s">
        <v>960</v>
      </c>
      <c r="B267" s="25" t="str">
        <f t="shared" si="20"/>
      </c>
      <c r="C267" s="25" t="s">
        <v>102</v>
      </c>
      <c r="D267" s="25" t="s">
        <v>17</v>
      </c>
      <c r="E267" s="25" t="s">
        <v>120</v>
      </c>
      <c r="F267" s="25" t="s">
        <v>1637</v>
      </c>
      <c r="G267" s="25" t="s">
        <v>117</v>
      </c>
      <c r="H267" s="25" t="str">
        <f>IFERROR(VLOOKUP(#REF!267,'정보화기기 명부'!A$2:B$187,2,FALSE),"")</f>
        <v/>
      </c>
      <c r="I267" s="126" t="str">
        <f>IFERROR(VLOOKUP(A267,'교직원용 IP'!$C$2:$H$230,6,FALSE),"")</f>
        <v/>
      </c>
      <c r="J267" s="25"/>
      <c r="K267" s="117">
        <v>2022.08</v>
      </c>
      <c r="L267" s="129">
        <v>20160323</v>
      </c>
      <c r="M267" s="125">
        <v>1060000</v>
      </c>
      <c r="N267" s="25" t="s">
        <v>1191</v>
      </c>
      <c r="O267" s="162">
        <v>689</v>
      </c>
      <c r="P267" s="25" t="s">
        <v>1535</v>
      </c>
      <c r="Q267" s="25" t="s">
        <v>950</v>
      </c>
      <c r="R267" s="25" t="s">
        <v>964</v>
      </c>
      <c r="S267" s="25" t="s">
        <v>1197</v>
      </c>
      <c r="T267" t="inlineStr">
        <is>
          <t>O</t>
        </is>
      </c>
    </row>
    <row r="268" spans="1:24" ht="15" customHeight="1" ns3:dyDescent="0.25">
      <c r="A268" s="25" t="s">
        <v>925</v>
      </c>
      <c r="B268" s="25" t="str">
        <f t="shared" si="20"/>
      </c>
      <c r="C268" s="25" t="s">
        <v>102</v>
      </c>
      <c r="D268" s="25" t="s">
        <v>17</v>
      </c>
      <c r="E268" s="25" t="s">
        <v>40</v>
      </c>
      <c r="F268" s="25" t="s">
        <v>1637</v>
      </c>
      <c r="G268" s="25" t="s">
        <v>117</v>
      </c>
      <c r="H268" s="126" t="str">
        <f>IFERROR(VLOOKUP(#REF!268,'정보화기기 명부'!A$2:B$187,2,FALSE),"")</f>
        <v/>
      </c>
      <c r="I268" s="126" t="str">
        <f>IFERROR(VLOOKUP(A268,'교직원용 IP'!$C$2:$H$230,6,FALSE),"")</f>
        <v/>
      </c>
      <c r="J268" s="25"/>
      <c r="K268" s="117">
        <v>2022.08</v>
      </c>
      <c r="L268" s="129">
        <v>20160323</v>
      </c>
      <c r="M268" s="125">
        <v>1060000</v>
      </c>
      <c r="N268" s="25" t="s">
        <v>1191</v>
      </c>
      <c r="O268" s="162">
        <v>688</v>
      </c>
      <c r="P268" s="25" t="s">
        <v>1535</v>
      </c>
      <c r="Q268" s="25" t="s">
        <v>950</v>
      </c>
      <c r="R268" s="25" t="s">
        <v>964</v>
      </c>
      <c r="S268" s="25" t="s">
        <v>1197</v>
      </c>
      <c r="T268" t="inlineStr">
        <is>
          <t>O</t>
        </is>
      </c>
    </row>
    <row r="269" spans="1:24" ht="15" customHeight="1" ns3:dyDescent="0.25">
      <c r="A269" s="25" t="s">
        <v>959</v>
      </c>
      <c r="B269" s="25" t="str">
        <f t="shared" si="20"/>
      </c>
      <c r="C269" s="25" t="s">
        <v>102</v>
      </c>
      <c r="D269" s="25" t="s">
        <v>17</v>
      </c>
      <c r="E269" s="25" t="s">
        <v>120</v>
      </c>
      <c r="F269" s="25" t="s">
        <v>1637</v>
      </c>
      <c r="G269" s="25" t="s">
        <v>117</v>
      </c>
      <c r="H269" s="25" t="str">
        <f>IFERROR(VLOOKUP(#REF!269,'정보화기기 명부'!A$2:B$187,2,FALSE),"")</f>
        <v/>
      </c>
      <c r="I269" s="126" t="str">
        <f>IFERROR(VLOOKUP(A269,'교직원용 IP'!$C$2:$H$230,6,FALSE),"")</f>
        <v/>
      </c>
      <c r="J269" s="25" t="s">
        <v>50</v>
      </c>
      <c r="K269" s="117">
        <v>2022.08</v>
      </c>
      <c r="L269" s="129">
        <v>20160323</v>
      </c>
      <c r="M269" s="125">
        <v>1060000</v>
      </c>
      <c r="N269" s="25" t="s">
        <v>1191</v>
      </c>
      <c r="O269" s="162">
        <v>687</v>
      </c>
      <c r="P269" s="25" t="s">
        <v>1535</v>
      </c>
      <c r="Q269" s="25" t="s">
        <v>950</v>
      </c>
      <c r="R269" s="25" t="s">
        <v>964</v>
      </c>
      <c r="S269" s="25" t="s">
        <v>1197</v>
      </c>
      <c r="T269" t="inlineStr">
        <is>
          <t>O</t>
        </is>
      </c>
    </row>
    <row r="270" spans="1:24" ht="15" customHeight="1" ns3:dyDescent="0.25">
      <c r="A270" s="25" t="s">
        <v>933</v>
      </c>
      <c r="B270" s="25" t="str">
        <f t="shared" si="20"/>
      </c>
      <c r="C270" s="25" t="s">
        <v>102</v>
      </c>
      <c r="D270" s="25" t="s">
        <v>17</v>
      </c>
      <c r="E270" s="25" t="s">
        <v>120</v>
      </c>
      <c r="F270" s="25" t="s">
        <v>1637</v>
      </c>
      <c r="G270" s="25" t="s">
        <v>117</v>
      </c>
      <c r="H270" s="25" t="str">
        <f>IFERROR(VLOOKUP(#REF!270,'정보화기기 명부'!A$2:B$187,2,FALSE),"")</f>
        <v/>
      </c>
      <c r="I270" s="126" t="str">
        <f>IFERROR(VLOOKUP(A270,'교직원용 IP'!$C$2:$H$230,6,FALSE),"")</f>
        <v/>
      </c>
      <c r="J270" s="25"/>
      <c r="K270" s="117">
        <v>2022.08</v>
      </c>
      <c r="L270" s="131">
        <v>20160323</v>
      </c>
      <c r="M270" s="125">
        <v>1060000</v>
      </c>
      <c r="N270" s="25" t="s">
        <v>1191</v>
      </c>
      <c r="O270" s="162">
        <v>686</v>
      </c>
      <c r="P270" s="25" t="s">
        <v>1535</v>
      </c>
      <c r="Q270" s="25" t="s">
        <v>950</v>
      </c>
      <c r="R270" s="25" t="s">
        <v>964</v>
      </c>
      <c r="S270" s="25" t="s">
        <v>1197</v>
      </c>
      <c r="T270" t="inlineStr">
        <is>
          <t>O</t>
        </is>
      </c>
    </row>
    <row r="271" spans="1:24" ht="15" customHeight="1" ns3:dyDescent="0.25">
      <c r="A271" s="25" t="s">
        <v>1449</v>
      </c>
      <c r="B271" s="25" t="str">
        <f t="shared" si="20"/>
      </c>
      <c r="C271" s="25" t="s">
        <v>102</v>
      </c>
      <c r="D271" s="25" t="s">
        <v>17</v>
      </c>
      <c r="E271" s="25" t="s">
        <v>104</v>
      </c>
      <c r="F271" s="25" t="s">
        <v>1637</v>
      </c>
      <c r="G271" s="25" t="s">
        <v>117</v>
      </c>
      <c r="H271" s="25" t="str">
        <f>IFERROR(VLOOKUP(#REF!271,'정보화기기 명부'!A$2:B$187,2,FALSE),"")</f>
        <v/>
      </c>
      <c r="I271" s="126" t="str">
        <f>IFERROR(VLOOKUP(A271,'교직원용 IP'!$C$2:$H$230,6,FALSE),"")</f>
        <v/>
      </c>
      <c r="J271" s="25"/>
      <c r="K271" s="117">
        <v>2022.08</v>
      </c>
      <c r="L271" s="129">
        <v>20160323</v>
      </c>
      <c r="M271" s="125">
        <v>1060000</v>
      </c>
      <c r="N271" s="25" t="s">
        <v>1191</v>
      </c>
      <c r="O271" s="162">
        <v>685</v>
      </c>
      <c r="P271" s="25" t="s">
        <v>1535</v>
      </c>
      <c r="Q271" s="25" t="s">
        <v>950</v>
      </c>
      <c r="R271" s="25" t="s">
        <v>964</v>
      </c>
      <c r="S271" s="25" t="s">
        <v>1197</v>
      </c>
      <c r="T271" t="inlineStr">
        <is>
          <t>O</t>
        </is>
      </c>
    </row>
    <row r="272" spans="1:24" ht="15" hidden="1" customHeight="1" ns3:dyDescent="0.25">
      <c r="A272" s="25" t="s">
        <v>931</v>
      </c>
      <c r="B272" s="25" t="str">
        <f t="shared" si="20"/>
      </c>
      <c r="C272" s="25" t="s">
        <v>1147</v>
      </c>
      <c r="D272" s="25" t="s">
        <v>17</v>
      </c>
      <c r="E272" s="25" t="s">
        <v>40</v>
      </c>
      <c r="F272" s="25" t="s">
        <v>926</v>
      </c>
      <c r="G272" s="25" t="s">
        <v>15</v>
      </c>
      <c r="H272" s="25" t="str">
        <f>IFERROR(VLOOKUP(#REF!272,'정보화기기 명부'!A$2:B$187,2,FALSE),"")</f>
        <v/>
      </c>
      <c r="I272" s="126" t="str">
        <f>IFERROR(VLOOKUP(A272,'교직원용 IP'!$C$2:$H$230,6,FALSE),"")</f>
        <v/>
      </c>
      <c r="J272" s="25"/>
      <c r="K272" s="25">
        <v>2020.11</v>
      </c>
      <c r="L272" s="135">
        <v>20160115</v>
      </c>
      <c r="M272" s="125">
        <v>669090</v>
      </c>
      <c r="N272" s="25" t="s">
        <v>1191</v>
      </c>
      <c r="O272" s="162">
        <v>765</v>
      </c>
      <c r="P272" s="25" t="s">
        <v>1401</v>
      </c>
      <c r="Q272" s="25" t="s">
        <v>907</v>
      </c>
      <c r="R272" s="25" t="s">
        <v>24</v>
      </c>
      <c r="S272" s="25" t="s">
        <v>942</v>
      </c>
      <c r="T272" t="inlineStr">
        <is>
          <t>O</t>
        </is>
      </c>
    </row>
    <row r="273" spans="1:24" ht="15" hidden="1" customHeight="1" ns3:dyDescent="0.25">
      <c r="A273" s="25" t="s">
        <v>986</v>
      </c>
      <c r="B273" s="25" t="str">
        <f t="shared" si="20"/>
      </c>
      <c r="C273" s="25" t="s">
        <v>1147</v>
      </c>
      <c r="D273" s="25" t="s">
        <v>17</v>
      </c>
      <c r="E273" s="25" t="s">
        <v>40</v>
      </c>
      <c r="F273" s="25" t="s">
        <v>926</v>
      </c>
      <c r="G273" s="25" t="s">
        <v>15</v>
      </c>
      <c r="H273" s="126" t="str">
        <f>IFERROR(VLOOKUP(#REF!273,'정보화기기 명부'!A$2:B$187,2,FALSE),"")</f>
        <v/>
      </c>
      <c r="I273" s="126" t="str">
        <f>IFERROR(VLOOKUP(A273,'교직원용 IP'!$C$2:$H$230,6,FALSE),"")</f>
        <v/>
      </c>
      <c r="J273" s="25"/>
      <c r="K273" s="117">
        <v>2022.08</v>
      </c>
      <c r="L273" s="129">
        <v>20160115</v>
      </c>
      <c r="M273" s="125">
        <v>1055385</v>
      </c>
      <c r="N273" s="25" t="s">
        <v>1191</v>
      </c>
      <c r="O273" s="162">
        <v>764</v>
      </c>
      <c r="P273" s="25" t="s">
        <v>1401</v>
      </c>
      <c r="Q273" s="25" t="s">
        <v>907</v>
      </c>
      <c r="R273" s="25" t="s">
        <v>24</v>
      </c>
      <c r="S273" s="25" t="s">
        <v>978</v>
      </c>
      <c r="T273" t="inlineStr">
        <is>
          <t>O</t>
        </is>
      </c>
    </row>
    <row r="274" spans="1:24" ht="15" hidden="1" customHeight="1" ns3:dyDescent="0.25">
      <c r="A274" s="118" t="s">
        <v>44</v>
      </c>
      <c r="B274" s="25" t="str">
        <f t="shared" si="20"/>
      </c>
      <c r="C274" s="25" t="s">
        <v>1147</v>
      </c>
      <c r="D274" s="25" t="s">
        <v>106</v>
      </c>
      <c r="E274" s="25" t="s">
        <v>104</v>
      </c>
      <c r="F274" s="25" t="s">
        <v>1510</v>
      </c>
      <c r="G274" s="25" t="s">
        <v>1209</v>
      </c>
      <c r="H274" s="126" t="str">
        <f>IFERROR(VLOOKUP(#REF!274,'정보화기기 명부'!A$2:B$187,2,FALSE),"")</f>
        <v>야구부합숙소</v>
      </c>
      <c r="I274" s="126" t="str">
        <f>IFERROR(VLOOKUP(#REF!274,'교직원용 IP'!$C$2:$H$230,6,FALSE),"")</f>
        <v>10.51.90.147</v>
      </c>
      <c r="J274" s="25"/>
      <c r="K274" s="25"/>
      <c r="L274" s="129">
        <v>20160107</v>
      </c>
      <c r="M274" s="125">
        <v>1085540</v>
      </c>
      <c r="N274" s="25" t="s">
        <v>1191</v>
      </c>
      <c r="O274" s="162">
        <v>774</v>
      </c>
      <c r="P274" s="25" t="s">
        <v>1535</v>
      </c>
      <c r="Q274" s="25" t="s">
        <v>907</v>
      </c>
      <c r="R274" s="25" t="s">
        <v>24</v>
      </c>
      <c r="S274" s="25" t="s">
        <v>1215</v>
      </c>
    </row>
    <row r="275" spans="1:24" ht="12.75" hidden="1" customHeight="1" ns3:dyDescent="0.25">
      <c r="A275" s="25" t="s">
        <v>990</v>
      </c>
      <c r="B275" s="25" t="str">
        <f t="shared" si="20"/>
      </c>
      <c r="C275" s="25" t="s">
        <v>1147</v>
      </c>
      <c r="D275" s="25" t="s">
        <v>17</v>
      </c>
      <c r="E275" s="25" t="s">
        <v>55</v>
      </c>
      <c r="F275" s="25" t="s">
        <v>1511</v>
      </c>
      <c r="G275" s="25" t="s">
        <v>64</v>
      </c>
      <c r="H275" s="25" t="str">
        <f>IFERROR(VLOOKUP(#REF!275,'정보화기기 명부'!A$2:B$187,2,FALSE),"")</f>
        <v>방송실</v>
      </c>
      <c r="I275" s="126" t="str">
        <f>IFERROR(VLOOKUP(#REF!275,'교직원용 IP'!$C$2:$H$230,6,FALSE),"")</f>
        <v/>
      </c>
      <c r="J275" s="25" t="s">
        <v>938</v>
      </c>
      <c r="K275" s="25">
        <v>2021.1</v>
      </c>
      <c r="L275" s="25">
        <v>20151218</v>
      </c>
      <c r="M275" s="125">
        <v>818000</v>
      </c>
      <c r="N275" s="25" t="s">
        <v>1186</v>
      </c>
      <c r="O275" s="162">
        <v>771</v>
      </c>
      <c r="P275" s="25" t="s">
        <v>1535</v>
      </c>
      <c r="Q275" s="25" t="s">
        <v>907</v>
      </c>
      <c r="R275" s="25" t="s">
        <v>54</v>
      </c>
      <c r="S275" s="25" t="s">
        <v>952</v>
      </c>
    </row>
    <row r="276" spans="1:24" ht="15" customHeight="1" ns3:dyDescent="0.25">
      <c r="A276" s="25" t="s">
        <v>38</v>
      </c>
      <c r="B276" s="25" t="str">
        <f t="shared" si="20"/>
      </c>
      <c r="C276" s="25" t="s">
        <v>102</v>
      </c>
      <c r="D276" s="25" t="s">
        <v>946</v>
      </c>
      <c r="E276" s="25" t="s">
        <v>104</v>
      </c>
      <c r="F276" s="25" t="s">
        <v>1271</v>
      </c>
      <c r="G276" s="25" t="s">
        <v>10</v>
      </c>
      <c r="H276" s="126" t="str">
        <f>IFERROR(VLOOKUP(#REF!276,'정보화기기 명부'!A$2:B$187,2,FALSE),"")</f>
        <v/>
      </c>
      <c r="I276" s="126" t="str">
        <f>IFERROR(VLOOKUP(#REF!276,'교직원용 IP'!$C$2:$H$230,6,FALSE),"")</f>
        <v/>
      </c>
      <c r="J276" s="25"/>
      <c r="K276" s="117">
        <v>2022.08</v>
      </c>
      <c r="L276" s="135">
        <v>20150916</v>
      </c>
      <c r="M276" s="125">
        <v>1216530</v>
      </c>
      <c r="N276" s="25" t="s">
        <v>1191</v>
      </c>
      <c r="O276" s="162">
        <v>772</v>
      </c>
      <c r="P276" s="25" t="s">
        <v>1535</v>
      </c>
      <c r="Q276" s="25" t="s">
        <v>1187</v>
      </c>
      <c r="R276" s="25" t="s">
        <v>24</v>
      </c>
      <c r="S276" s="25" t="s">
        <v>20</v>
      </c>
    </row>
    <row r="277" spans="1:24" ht="15" hidden="1" customHeight="1" ns3:dyDescent="0.25">
      <c r="A277" s="25" t="s">
        <v>992</v>
      </c>
      <c r="B277" s="25" t="str">
        <f t="shared" si="20"/>
      </c>
      <c r="C277" s="25" t="s">
        <v>1147</v>
      </c>
      <c r="D277" s="25" t="s">
        <v>17</v>
      </c>
      <c r="E277" s="25" t="s">
        <v>55</v>
      </c>
      <c r="F277" s="25" t="s">
        <v>1684</v>
      </c>
      <c r="G277" s="25" t="s">
        <v>935</v>
      </c>
      <c r="H277" s="25" t="str">
        <f>IFERROR(VLOOKUP(#REF!277,'정보화기기 명부'!A$2:B$187,2,FALSE),"")</f>
        <v/>
      </c>
      <c r="I277" s="126" t="str">
        <f>IFERROR(VLOOKUP(#REF!277,'교직원용 IP'!$C$2:$H$230,6,FALSE),"")</f>
        <v/>
      </c>
      <c r="J277" s="25" t="s">
        <v>938</v>
      </c>
      <c r="K277" s="25">
        <v>2022.03</v>
      </c>
      <c r="L277" s="135">
        <v>20150825</v>
      </c>
      <c r="M277" s="125">
        <v>723693</v>
      </c>
      <c r="N277" s="25" t="s">
        <v>1193</v>
      </c>
      <c r="O277" s="162">
        <v>769</v>
      </c>
      <c r="P277" s="25" t="s">
        <v>1535</v>
      </c>
      <c r="Q277" s="25" t="s">
        <v>907</v>
      </c>
      <c r="R277" s="25" t="s">
        <v>24</v>
      </c>
      <c r="S277" s="25" t="s">
        <v>1197</v>
      </c>
    </row>
    <row r="278" spans="1:24" ht="15" hidden="1" customHeight="1" ns3:dyDescent="0.25">
      <c r="A278" s="25" t="s">
        <v>994</v>
      </c>
      <c r="B278" s="25" t="str">
        <f t="shared" si="20"/>
      </c>
      <c r="C278" s="25" t="s">
        <v>1147</v>
      </c>
      <c r="D278" s="25" t="s">
        <v>17</v>
      </c>
      <c r="E278" s="25" t="s">
        <v>55</v>
      </c>
      <c r="F278" s="25" t="s">
        <v>1684</v>
      </c>
      <c r="G278" s="25" t="s">
        <v>935</v>
      </c>
      <c r="H278" s="25" t="str">
        <f>IFERROR(VLOOKUP(#REF!278,'정보화기기 명부'!A$2:B$187,2,FALSE),"")</f>
        <v/>
      </c>
      <c r="I278" s="126" t="str">
        <f>IFERROR(VLOOKUP(#REF!278,'교직원용 IP'!$C$2:$H$230,6,FALSE),"")</f>
        <v/>
      </c>
      <c r="J278" s="25" t="s">
        <v>938</v>
      </c>
      <c r="K278" s="25">
        <v>2022.03</v>
      </c>
      <c r="L278" s="135">
        <v>20150825</v>
      </c>
      <c r="M278" s="125">
        <v>723693</v>
      </c>
      <c r="N278" s="25" t="s">
        <v>1193</v>
      </c>
      <c r="O278" s="162">
        <v>768</v>
      </c>
      <c r="P278" s="25" t="s">
        <v>1535</v>
      </c>
      <c r="Q278" s="25" t="s">
        <v>907</v>
      </c>
      <c r="R278" s="25" t="s">
        <v>24</v>
      </c>
      <c r="S278" s="25" t="s">
        <v>1197</v>
      </c>
    </row>
    <row r="279" spans="1:24" ht="15" hidden="1" customHeight="1" ns3:dyDescent="0.25">
      <c r="A279" s="25" t="s">
        <v>1203</v>
      </c>
      <c r="B279" s="25" t="str">
        <f t="shared" si="20"/>
      </c>
      <c r="C279" s="25" t="s">
        <v>1147</v>
      </c>
      <c r="D279" s="25" t="s">
        <v>17</v>
      </c>
      <c r="E279" s="25" t="s">
        <v>55</v>
      </c>
      <c r="F279" s="25" t="s">
        <v>1684</v>
      </c>
      <c r="G279" s="25" t="s">
        <v>935</v>
      </c>
      <c r="H279" s="25" t="str">
        <f>IFERROR(VLOOKUP(#REF!279,'정보화기기 명부'!A$2:B$187,2,FALSE),"")</f>
        <v>도서실</v>
      </c>
      <c r="I279" s="126" t="str">
        <f>IFERROR(VLOOKUP(#REF!279,'교직원용 IP'!$C$2:$H$230,6,FALSE),"")</f>
        <v/>
      </c>
      <c r="J279" s="25" t="s">
        <v>938</v>
      </c>
      <c r="K279" s="25">
        <v>2022.03</v>
      </c>
      <c r="L279" s="135">
        <v>20150825</v>
      </c>
      <c r="M279" s="125">
        <v>723693</v>
      </c>
      <c r="N279" s="25" t="s">
        <v>1193</v>
      </c>
      <c r="O279" s="162">
        <v>767</v>
      </c>
      <c r="P279" s="25" t="s">
        <v>1535</v>
      </c>
      <c r="Q279" s="25" t="s">
        <v>907</v>
      </c>
      <c r="R279" s="25" t="s">
        <v>24</v>
      </c>
      <c r="S279" s="25" t="s">
        <v>1197</v>
      </c>
    </row>
    <row r="280" spans="1:24" ht="15" hidden="1" customHeight="1" ns3:dyDescent="0.25">
      <c r="A280" s="25" t="s">
        <v>921</v>
      </c>
      <c r="B280" s="25" t="str">
        <f t="shared" si="20"/>
      </c>
      <c r="C280" s="25" t="s">
        <v>1147</v>
      </c>
      <c r="D280" s="25" t="s">
        <v>17</v>
      </c>
      <c r="E280" s="25" t="s">
        <v>55</v>
      </c>
      <c r="F280" s="25" t="s">
        <v>1684</v>
      </c>
      <c r="G280" s="25" t="s">
        <v>935</v>
      </c>
      <c r="H280" s="25" t="str">
        <f>IFERROR(VLOOKUP(#REF!280,'정보화기기 명부'!A$2:B$187,2,FALSE),"")</f>
        <v>도서실</v>
      </c>
      <c r="I280" s="126" t="str">
        <f>IFERROR(VLOOKUP(#REF!280,'교직원용 IP'!$C$2:$H$230,6,FALSE),"")</f>
        <v/>
      </c>
      <c r="J280" s="25" t="s">
        <v>938</v>
      </c>
      <c r="K280" s="25">
        <v>2022.03</v>
      </c>
      <c r="L280" s="135">
        <v>20150825</v>
      </c>
      <c r="M280" s="125">
        <v>723693</v>
      </c>
      <c r="N280" s="25" t="s">
        <v>1193</v>
      </c>
      <c r="O280" s="162">
        <v>766</v>
      </c>
      <c r="P280" s="25" t="s">
        <v>1535</v>
      </c>
      <c r="Q280" s="25" t="s">
        <v>907</v>
      </c>
      <c r="R280" s="25" t="s">
        <v>24</v>
      </c>
      <c r="S280" s="25" t="s">
        <v>1197</v>
      </c>
    </row>
    <row r="281" spans="1:24" ht="15" customHeight="1" ns3:dyDescent="0.25">
      <c r="A281" s="25" t="s">
        <v>966</v>
      </c>
      <c r="B281" s="25" t="str">
        <f t="shared" si="20"/>
      </c>
      <c r="C281" s="25" t="s">
        <v>102</v>
      </c>
      <c r="D281" s="25" t="s">
        <v>984</v>
      </c>
      <c r="E281" s="25" t="s">
        <v>120</v>
      </c>
      <c r="F281" s="25" t="s">
        <v>1649</v>
      </c>
      <c r="G281" s="25" t="s">
        <v>117</v>
      </c>
      <c r="H281" s="126" t="str">
        <f>IFERROR(VLOOKUP(#REF!281,'정보화기기 명부'!A$2:B$187,2,FALSE),"")</f>
        <v>수리과학부</v>
      </c>
      <c r="I281" s="126" t="str">
        <f>IFERROR(VLOOKUP(#REF!281,'교직원용 IP'!$C$2:$H$230,6,FALSE),"")</f>
        <v/>
      </c>
      <c r="J281" s="25"/>
      <c r="K281" s="25">
        <v>2021.01</v>
      </c>
      <c r="L281" s="25">
        <v>20150511</v>
      </c>
      <c r="M281" s="125">
        <v>770000</v>
      </c>
      <c r="N281" s="25" t="s">
        <v>1186</v>
      </c>
      <c r="O281" s="162">
        <v>684</v>
      </c>
      <c r="P281" s="25" t="s">
        <v>1535</v>
      </c>
      <c r="Q281" s="25" t="s">
        <v>950</v>
      </c>
      <c r="R281" s="25" t="s">
        <v>964</v>
      </c>
      <c r="S281" s="25" t="s">
        <v>983</v>
      </c>
    </row>
    <row r="282" spans="1:24" ht="15" customHeight="1" ns3:dyDescent="0.25">
      <c r="A282" s="25" t="s">
        <v>989</v>
      </c>
      <c r="B282" s="25" t="str">
        <f t="shared" si="20"/>
      </c>
      <c r="C282" s="25" t="s">
        <v>102</v>
      </c>
      <c r="D282" s="25" t="s">
        <v>984</v>
      </c>
      <c r="E282" s="25" t="s">
        <v>120</v>
      </c>
      <c r="F282" s="25" t="s">
        <v>1649</v>
      </c>
      <c r="G282" s="25" t="s">
        <v>117</v>
      </c>
      <c r="H282" s="126" t="str">
        <f>IFERROR(VLOOKUP(#REF!282,'정보화기기 명부'!A$2:B$187,2,FALSE),"")</f>
        <v>수리과학부</v>
      </c>
      <c r="I282" s="126" t="str">
        <f>IFERROR(VLOOKUP(#REF!282,'교직원용 IP'!$C$2:$H$230,6,FALSE),"")</f>
        <v/>
      </c>
      <c r="J282" s="25"/>
      <c r="K282" s="25">
        <v>2021.01</v>
      </c>
      <c r="L282" s="25">
        <v>20150511</v>
      </c>
      <c r="M282" s="125">
        <v>770000</v>
      </c>
      <c r="N282" s="25" t="s">
        <v>1186</v>
      </c>
      <c r="O282" s="162">
        <v>683</v>
      </c>
      <c r="P282" s="25" t="s">
        <v>1535</v>
      </c>
      <c r="Q282" s="25" t="s">
        <v>950</v>
      </c>
      <c r="R282" s="25" t="s">
        <v>964</v>
      </c>
      <c r="S282" s="25" t="s">
        <v>983</v>
      </c>
    </row>
    <row r="283" spans="1:24" ht="15" customHeight="1" ns3:dyDescent="0.25">
      <c r="A283" s="25" t="s">
        <v>953</v>
      </c>
      <c r="B283" s="25" t="str">
        <f t="shared" si="20"/>
      </c>
      <c r="C283" s="25" t="s">
        <v>102</v>
      </c>
      <c r="D283" s="25" t="s">
        <v>984</v>
      </c>
      <c r="E283" s="25" t="s">
        <v>120</v>
      </c>
      <c r="F283" s="25" t="s">
        <v>1649</v>
      </c>
      <c r="G283" s="25" t="s">
        <v>117</v>
      </c>
      <c r="H283" s="126" t="str">
        <f>IFERROR(VLOOKUP(#REF!283,'정보화기기 명부'!A$2:B$187,2,FALSE),"")</f>
        <v>수리과학부</v>
      </c>
      <c r="I283" s="126" t="str">
        <f>IFERROR(VLOOKUP(#REF!283,'교직원용 IP'!$C$2:$H$230,6,FALSE),"")</f>
        <v/>
      </c>
      <c r="J283" s="25"/>
      <c r="K283" s="25">
        <v>2021.01</v>
      </c>
      <c r="L283" s="25">
        <v>20150511</v>
      </c>
      <c r="M283" s="125">
        <v>770000</v>
      </c>
      <c r="N283" s="25" t="s">
        <v>1186</v>
      </c>
      <c r="O283" s="162">
        <v>682</v>
      </c>
      <c r="P283" s="25" t="s">
        <v>1535</v>
      </c>
      <c r="Q283" s="25" t="s">
        <v>950</v>
      </c>
      <c r="R283" s="25" t="s">
        <v>964</v>
      </c>
      <c r="S283" s="25" t="s">
        <v>983</v>
      </c>
    </row>
    <row r="284" spans="1:24" ht="15" customHeight="1" ns3:dyDescent="0.25">
      <c r="A284" s="25" t="s">
        <v>967</v>
      </c>
      <c r="B284" s="25" t="str">
        <f t="shared" si="20"/>
      </c>
      <c r="C284" s="25" t="s">
        <v>102</v>
      </c>
      <c r="D284" s="25" t="s">
        <v>984</v>
      </c>
      <c r="E284" s="25" t="s">
        <v>120</v>
      </c>
      <c r="F284" s="25" t="s">
        <v>1649</v>
      </c>
      <c r="G284" s="25" t="s">
        <v>30</v>
      </c>
      <c r="H284" s="126" t="str">
        <f>IFERROR(VLOOKUP(#REF!284,'정보화기기 명부'!A$2:B$187,2,FALSE),"")</f>
        <v>수리과학부</v>
      </c>
      <c r="I284" s="126" t="str">
        <f>IFERROR(VLOOKUP(#REF!284,'교직원용 IP'!$C$2:$H$230,6,FALSE),"")</f>
        <v/>
      </c>
      <c r="J284" s="25"/>
      <c r="K284" s="25">
        <v>2021.01</v>
      </c>
      <c r="L284" s="25">
        <v>20150511</v>
      </c>
      <c r="M284" s="125">
        <v>770000</v>
      </c>
      <c r="N284" s="25" t="s">
        <v>1186</v>
      </c>
      <c r="O284" s="162">
        <v>681</v>
      </c>
      <c r="P284" s="25" t="s">
        <v>1535</v>
      </c>
      <c r="Q284" s="25" t="s">
        <v>950</v>
      </c>
      <c r="R284" s="25" t="s">
        <v>964</v>
      </c>
      <c r="S284" s="25" t="s">
        <v>983</v>
      </c>
    </row>
    <row r="285" spans="1:24" ht="15" customHeight="1" ns3:dyDescent="0.25">
      <c r="A285" s="25" t="s">
        <v>945</v>
      </c>
      <c r="B285" s="25" t="str">
        <f t="shared" si="20"/>
      </c>
      <c r="C285" s="25" t="s">
        <v>102</v>
      </c>
      <c r="D285" s="25" t="s">
        <v>984</v>
      </c>
      <c r="E285" s="25" t="s">
        <v>120</v>
      </c>
      <c r="F285" s="25" t="s">
        <v>1649</v>
      </c>
      <c r="G285" s="25" t="s">
        <v>117</v>
      </c>
      <c r="H285" s="126" t="str">
        <f>IFERROR(VLOOKUP(#REF!285,'정보화기기 명부'!A$2:B$187,2,FALSE),"")</f>
        <v>수리과학부</v>
      </c>
      <c r="I285" s="126" t="str">
        <f>IFERROR(VLOOKUP(#REF!285,'교직원용 IP'!$C$2:$H$230,6,FALSE),"")</f>
        <v/>
      </c>
      <c r="J285" s="25"/>
      <c r="K285" s="25">
        <v>2021.01</v>
      </c>
      <c r="L285" s="135">
        <v>20150511</v>
      </c>
      <c r="M285" s="125">
        <v>770000</v>
      </c>
      <c r="N285" s="25" t="s">
        <v>1186</v>
      </c>
      <c r="O285" s="162">
        <v>680</v>
      </c>
      <c r="P285" s="25" t="s">
        <v>1535</v>
      </c>
      <c r="Q285" s="25" t="s">
        <v>950</v>
      </c>
      <c r="R285" s="25" t="s">
        <v>964</v>
      </c>
      <c r="S285" s="25" t="s">
        <v>983</v>
      </c>
    </row>
    <row r="286" spans="1:24" ht="15" customHeight="1" ns3:dyDescent="0.25">
      <c r="A286" s="25" t="s">
        <v>1514</v>
      </c>
      <c r="B286" s="25" t="str">
        <f t="shared" si="20"/>
      </c>
      <c r="C286" s="25" t="s">
        <v>102</v>
      </c>
      <c r="D286" s="25" t="s">
        <v>17</v>
      </c>
      <c r="E286" s="25" t="s">
        <v>120</v>
      </c>
      <c r="F286" s="25" t="s">
        <v>1649</v>
      </c>
      <c r="G286" s="25" t="s">
        <v>117</v>
      </c>
      <c r="H286" s="25" t="str">
        <f>IFERROR(VLOOKUP(#REF!286,'정보화기기 명부'!A$2:B$187,2,FALSE),"")</f>
        <v/>
      </c>
      <c r="I286" s="126" t="str">
        <f>IFERROR(VLOOKUP(#REF!286,'교직원용 IP'!$C$2:$H$230,6,FALSE),"")</f>
        <v/>
      </c>
      <c r="J286" s="25"/>
      <c r="K286" s="25">
        <v>2021.01</v>
      </c>
      <c r="L286" s="25">
        <v>20150511</v>
      </c>
      <c r="M286" s="125">
        <v>770000</v>
      </c>
      <c r="N286" s="25" t="s">
        <v>1186</v>
      </c>
      <c r="O286" s="162">
        <v>679</v>
      </c>
      <c r="P286" s="25" t="s">
        <v>1535</v>
      </c>
      <c r="Q286" s="25" t="s">
        <v>950</v>
      </c>
      <c r="R286" s="25" t="s">
        <v>964</v>
      </c>
      <c r="S286" s="25" t="s">
        <v>983</v>
      </c>
    </row>
    <row r="287" spans="1:24" ht="15" customHeight="1" ns3:dyDescent="0.25">
      <c r="A287" s="25" t="s">
        <v>1496</v>
      </c>
      <c r="B287" s="25" t="str">
        <f t="shared" si="20"/>
      </c>
      <c r="C287" s="25" t="s">
        <v>102</v>
      </c>
      <c r="D287" s="25" t="s">
        <v>17</v>
      </c>
      <c r="E287" s="25" t="s">
        <v>120</v>
      </c>
      <c r="F287" s="25" t="s">
        <v>1649</v>
      </c>
      <c r="G287" s="25" t="s">
        <v>117</v>
      </c>
      <c r="H287" s="25" t="str">
        <f>IFERROR(VLOOKUP(#REF!287,'정보화기기 명부'!A$2:B$187,2,FALSE),"")</f>
        <v/>
      </c>
      <c r="I287" s="126" t="str">
        <f>IFERROR(VLOOKUP(#REF!287,'교직원용 IP'!$C$2:$H$230,6,FALSE),"")</f>
        <v/>
      </c>
      <c r="J287" s="25"/>
      <c r="K287" s="25">
        <v>2021.01</v>
      </c>
      <c r="L287" s="25">
        <v>20150511</v>
      </c>
      <c r="M287" s="125">
        <v>770000</v>
      </c>
      <c r="N287" s="25" t="s">
        <v>1186</v>
      </c>
      <c r="O287" s="162">
        <v>678</v>
      </c>
      <c r="P287" s="25" t="s">
        <v>1535</v>
      </c>
      <c r="Q287" s="25" t="s">
        <v>950</v>
      </c>
      <c r="R287" s="25" t="s">
        <v>964</v>
      </c>
      <c r="S287" s="25" t="s">
        <v>983</v>
      </c>
    </row>
    <row r="288" spans="1:24" ht="15" customHeight="1" ns3:dyDescent="0.25">
      <c r="A288" s="25" t="s">
        <v>993</v>
      </c>
      <c r="B288" s="25" t="str">
        <f t="shared" si="20"/>
      </c>
      <c r="C288" s="25" t="s">
        <v>102</v>
      </c>
      <c r="D288" s="25" t="s">
        <v>984</v>
      </c>
      <c r="E288" s="25" t="s">
        <v>40</v>
      </c>
      <c r="F288" s="25" t="s">
        <v>1649</v>
      </c>
      <c r="G288" s="25" t="s">
        <v>117</v>
      </c>
      <c r="H288" s="25" t="str">
        <f>IFERROR(VLOOKUP(#REF!288,'정보화기기 명부'!A$2:B$187,2,FALSE),"")</f>
        <v>급식실</v>
      </c>
      <c r="I288" s="126" t="str">
        <f>IFERROR(VLOOKUP(#REF!288,'교직원용 IP'!$C$2:$H$230,6,FALSE),"")</f>
        <v>10.51.91.16</v>
      </c>
      <c r="J288" s="25"/>
      <c r="K288" s="25">
        <v>2021.01</v>
      </c>
      <c r="L288" s="135">
        <v>20150511</v>
      </c>
      <c r="M288" s="125">
        <v>770000</v>
      </c>
      <c r="N288" s="25" t="s">
        <v>1186</v>
      </c>
      <c r="O288" s="162">
        <v>677</v>
      </c>
      <c r="P288" s="25" t="s">
        <v>1535</v>
      </c>
      <c r="Q288" s="25" t="s">
        <v>950</v>
      </c>
      <c r="R288" s="25" t="s">
        <v>964</v>
      </c>
      <c r="S288" s="25" t="s">
        <v>983</v>
      </c>
    </row>
    <row r="289" spans="1:22" ht="15" customHeight="1" ns3:dyDescent="0.25">
      <c r="A289" s="25" t="s">
        <v>32</v>
      </c>
      <c r="B289" s="25" t="str">
        <f t="shared" si="20"/>
      </c>
      <c r="C289" s="25" t="s">
        <v>102</v>
      </c>
      <c r="D289" s="25" t="s">
        <v>984</v>
      </c>
      <c r="E289" s="25" t="s">
        <v>40</v>
      </c>
      <c r="F289" s="25" t="s">
        <v>1649</v>
      </c>
      <c r="G289" s="25" t="s">
        <v>117</v>
      </c>
      <c r="H289" s="25" t="str">
        <f>IFERROR(VLOOKUP(#REF!289,'정보화기기 명부'!A$2:B$187,2,FALSE),"")</f>
        <v>급식실</v>
      </c>
      <c r="I289" s="126" t="str">
        <f>IFERROR(VLOOKUP(#REF!289,'교직원용 IP'!$C$2:$H$230,6,FALSE),"")</f>
        <v>10.51.91.15</v>
      </c>
      <c r="J289" s="25"/>
      <c r="K289" s="25">
        <v>2021.01</v>
      </c>
      <c r="L289" s="135">
        <v>20150511</v>
      </c>
      <c r="M289" s="125">
        <v>770000</v>
      </c>
      <c r="N289" s="25" t="s">
        <v>1186</v>
      </c>
      <c r="O289" s="162">
        <v>676</v>
      </c>
      <c r="P289" s="25" t="s">
        <v>1535</v>
      </c>
      <c r="Q289" s="25" t="s">
        <v>950</v>
      </c>
      <c r="R289" s="25" t="s">
        <v>964</v>
      </c>
      <c r="S289" s="25" t="s">
        <v>983</v>
      </c>
    </row>
    <row r="290" spans="1:22" ht="15" customHeight="1" ns3:dyDescent="0.25">
      <c r="A290" s="25" t="s">
        <v>956</v>
      </c>
      <c r="B290" s="25" t="str">
        <f t="shared" si="20"/>
      </c>
      <c r="C290" s="25" t="s">
        <v>102</v>
      </c>
      <c r="D290" s="25" t="s">
        <v>984</v>
      </c>
      <c r="E290" s="25" t="s">
        <v>120</v>
      </c>
      <c r="F290" s="25" t="s">
        <v>1649</v>
      </c>
      <c r="G290" s="25" t="s">
        <v>117</v>
      </c>
      <c r="H290" s="25" t="str">
        <f>IFERROR(VLOOKUP(#REF!290,'정보화기기 명부'!A$2:B$187,2,FALSE),"")</f>
        <v>수리과학부</v>
      </c>
      <c r="I290" s="126" t="str">
        <f>IFERROR(VLOOKUP(#REF!290,'교직원용 IP'!$C$2:$H$230,6,FALSE),"")</f>
        <v/>
      </c>
      <c r="J290" s="25"/>
      <c r="K290" s="25">
        <v>2021.01</v>
      </c>
      <c r="L290" s="25">
        <v>20150511</v>
      </c>
      <c r="M290" s="125">
        <v>770000</v>
      </c>
      <c r="N290" s="25" t="s">
        <v>1186</v>
      </c>
      <c r="O290" s="162">
        <v>675</v>
      </c>
      <c r="P290" s="25" t="s">
        <v>1535</v>
      </c>
      <c r="Q290" s="25" t="s">
        <v>950</v>
      </c>
      <c r="R290" s="25" t="s">
        <v>964</v>
      </c>
      <c r="S290" s="25" t="s">
        <v>983</v>
      </c>
    </row>
    <row r="291" spans="1:22" ht="15" customHeight="1" ns3:dyDescent="0.25">
      <c r="A291" s="25" t="s">
        <v>948</v>
      </c>
      <c r="B291" s="25" t="str">
        <f t="shared" si="20"/>
      </c>
      <c r="C291" s="25" t="s">
        <v>102</v>
      </c>
      <c r="D291" s="25" t="s">
        <v>984</v>
      </c>
      <c r="E291" s="88" t="s">
        <v>120</v>
      </c>
      <c r="F291" s="93" t="s">
        <v>1649</v>
      </c>
      <c r="G291" s="25" t="s">
        <v>117</v>
      </c>
      <c r="H291" s="25" t="str">
        <f>IFERROR(VLOOKUP(#REF!291,'정보화기기 명부'!A$2:B$187,2,FALSE),"")</f>
        <v>수리과학부</v>
      </c>
      <c r="I291" s="126" t="str">
        <f>IFERROR(VLOOKUP(#REF!291,'교직원용 IP'!$C$2:$H$230,6,FALSE),"")</f>
        <v/>
      </c>
      <c r="J291" s="25"/>
      <c r="K291" s="25">
        <v>2021.01</v>
      </c>
      <c r="L291" s="25">
        <v>20150511</v>
      </c>
      <c r="M291" s="125">
        <v>770000</v>
      </c>
      <c r="N291" s="25" t="s">
        <v>1186</v>
      </c>
      <c r="O291" s="162">
        <v>674</v>
      </c>
      <c r="P291" s="25" t="s">
        <v>1535</v>
      </c>
      <c r="Q291" s="25" t="s">
        <v>950</v>
      </c>
      <c r="R291" s="25" t="s">
        <v>964</v>
      </c>
      <c r="S291" s="25" t="s">
        <v>983</v>
      </c>
    </row>
    <row r="292" spans="1:22" ht="15" customHeight="1" ns3:dyDescent="0.25">
      <c r="A292" s="25" t="s">
        <v>991</v>
      </c>
      <c r="B292" s="25" t="str">
        <f t="shared" si="20"/>
      </c>
      <c r="C292" s="25" t="s">
        <v>102</v>
      </c>
      <c r="D292" s="25" t="s">
        <v>984</v>
      </c>
      <c r="E292" s="25" t="s">
        <v>120</v>
      </c>
      <c r="F292" s="25" t="s">
        <v>1680</v>
      </c>
      <c r="G292" s="25" t="s">
        <v>117</v>
      </c>
      <c r="H292" s="25" t="str">
        <f>IFERROR(VLOOKUP(#REF!292,'정보화기기 명부'!A$2:B$187,2,FALSE),"")</f>
        <v>수리과학부</v>
      </c>
      <c r="I292" s="126" t="str">
        <f>IFERROR(VLOOKUP(#REF!292,'교직원용 IP'!$C$2:$H$230,6,FALSE),"")</f>
        <v/>
      </c>
      <c r="J292" s="25"/>
      <c r="K292" s="25">
        <v>2021.01</v>
      </c>
      <c r="L292" s="25">
        <v>20150511</v>
      </c>
      <c r="M292" s="125">
        <v>770000</v>
      </c>
      <c r="N292" s="25" t="s">
        <v>1186</v>
      </c>
      <c r="O292" s="162">
        <v>673</v>
      </c>
      <c r="P292" s="25" t="s">
        <v>1535</v>
      </c>
      <c r="Q292" s="25" t="s">
        <v>950</v>
      </c>
      <c r="R292" s="25" t="s">
        <v>964</v>
      </c>
      <c r="S292" s="25" t="s">
        <v>983</v>
      </c>
    </row>
    <row r="293" spans="1:22" ht="15" hidden="1" customHeight="1" ns3:dyDescent="0.25">
      <c r="A293" s="25" t="s">
        <v>6</v>
      </c>
      <c r="B293" s="25" t="str">
        <f t="shared" si="20"/>
      </c>
      <c r="C293" s="25" t="s">
        <v>1147</v>
      </c>
      <c r="D293" s="25" t="s">
        <v>17</v>
      </c>
      <c r="E293" s="25" t="s">
        <v>120</v>
      </c>
      <c r="F293" s="25" t="s">
        <v>1666</v>
      </c>
      <c r="G293" s="25" t="s">
        <v>943</v>
      </c>
      <c r="H293" s="25" t="str">
        <f>IFERROR(VLOOKUP(#REF!293,'정보화기기 명부'!A$2:B$187,2,FALSE),"")</f>
        <v/>
      </c>
      <c r="I293" s="126"/>
      <c r="J293" s="25"/>
      <c r="K293" s="25">
        <v>2021.01</v>
      </c>
      <c r="L293" s="25">
        <v>20150223</v>
      </c>
      <c r="M293" s="125">
        <v>792000</v>
      </c>
      <c r="N293" s="25" t="s">
        <v>1191</v>
      </c>
      <c r="O293" s="162">
        <v>672</v>
      </c>
      <c r="P293" s="25" t="s">
        <v>1535</v>
      </c>
      <c r="Q293" s="25" t="s">
        <v>907</v>
      </c>
      <c r="R293" s="25" t="s">
        <v>964</v>
      </c>
      <c r="S293" s="25" t="s">
        <v>949</v>
      </c>
    </row>
    <row r="294" spans="1:22" ht="15" customHeight="1" ns3:dyDescent="0.25">
      <c r="A294" s="25" t="s">
        <v>961</v>
      </c>
      <c r="B294" s="25" t="str">
        <f t="shared" si="20"/>
      </c>
      <c r="C294" s="25" t="s">
        <v>102</v>
      </c>
      <c r="D294" s="25" t="s">
        <v>984</v>
      </c>
      <c r="E294" s="25" t="s">
        <v>120</v>
      </c>
      <c r="F294" s="25" t="s">
        <v>1680</v>
      </c>
      <c r="G294" s="25" t="s">
        <v>117</v>
      </c>
      <c r="H294" s="25" t="str">
        <f>IFERROR(VLOOKUP(#REF!294,'정보화기기 명부'!A$2:B$187,2,FALSE),"")</f>
        <v/>
      </c>
      <c r="I294" s="126" t="str">
        <f>IFERROR(VLOOKUP(#REF!294,'교직원용 IP'!$C$2:$H$230,6,FALSE),"")</f>
        <v/>
      </c>
      <c r="J294" s="25"/>
      <c r="K294" s="25">
        <v>2021.01</v>
      </c>
      <c r="L294" s="25">
        <v>20150223</v>
      </c>
      <c r="M294" s="125">
        <v>799000</v>
      </c>
      <c r="N294" s="25" t="s">
        <v>1191</v>
      </c>
      <c r="O294" s="162">
        <v>671</v>
      </c>
      <c r="P294" s="25" t="s">
        <v>1535</v>
      </c>
      <c r="Q294" s="25" t="s">
        <v>950</v>
      </c>
      <c r="R294" s="25" t="s">
        <v>964</v>
      </c>
      <c r="S294" s="25" t="s">
        <v>983</v>
      </c>
    </row>
    <row r="295" spans="1:22" ht="15" customHeight="1" ns3:dyDescent="0.25">
      <c r="A295" s="25" t="s">
        <v>1506</v>
      </c>
      <c r="B295" s="25" t="str">
        <f t="shared" si="20"/>
      </c>
      <c r="C295" s="25" t="s">
        <v>102</v>
      </c>
      <c r="D295" s="25" t="s">
        <v>17</v>
      </c>
      <c r="E295" s="25" t="s">
        <v>120</v>
      </c>
      <c r="F295" s="25" t="s">
        <v>1680</v>
      </c>
      <c r="G295" s="25" t="s">
        <v>117</v>
      </c>
      <c r="H295" s="25" t="str">
        <f>IFERROR(VLOOKUP(#REF!295,'정보화기기 명부'!A$2:B$187,2,FALSE),"")</f>
        <v/>
      </c>
      <c r="I295" s="126" t="str">
        <f>IFERROR(VLOOKUP(#REF!295,'교직원용 IP'!$C$2:$H$230,6,FALSE),"")</f>
        <v/>
      </c>
      <c r="J295" s="25"/>
      <c r="K295" s="25">
        <v>2021.01</v>
      </c>
      <c r="L295" s="25">
        <v>20150223</v>
      </c>
      <c r="M295" s="125">
        <v>799000</v>
      </c>
      <c r="N295" s="25" t="s">
        <v>1191</v>
      </c>
      <c r="O295" s="162">
        <v>670</v>
      </c>
      <c r="P295" s="25" t="s">
        <v>1535</v>
      </c>
      <c r="Q295" s="25" t="s">
        <v>950</v>
      </c>
      <c r="R295" s="25" t="s">
        <v>964</v>
      </c>
      <c r="S295" s="25" t="s">
        <v>983</v>
      </c>
    </row>
    <row r="296" spans="1:22" ht="15" customHeight="1" ns3:dyDescent="0.25">
      <c r="A296" s="25" t="s">
        <v>23</v>
      </c>
      <c r="B296" s="25" t="str">
        <f t="shared" si="20"/>
      </c>
      <c r="C296" s="25" t="s">
        <v>102</v>
      </c>
      <c r="D296" s="25" t="s">
        <v>17</v>
      </c>
      <c r="E296" s="25" t="s">
        <v>120</v>
      </c>
      <c r="F296" s="25" t="s">
        <v>1680</v>
      </c>
      <c r="G296" s="25" t="s">
        <v>117</v>
      </c>
      <c r="H296" s="25" t="str">
        <f>IFERROR(VLOOKUP(#REF!296,'정보화기기 명부'!A$2:B$187,2,FALSE),"")</f>
        <v/>
      </c>
      <c r="I296" s="126" t="str">
        <f>IFERROR(VLOOKUP(#REF!296,'교직원용 IP'!$C$2:$H$230,6,FALSE),"")</f>
        <v/>
      </c>
      <c r="J296" s="25"/>
      <c r="K296" s="25">
        <v>2021.01</v>
      </c>
      <c r="L296" s="136">
        <v>20150223</v>
      </c>
      <c r="M296" s="125">
        <v>799000</v>
      </c>
      <c r="N296" s="25" t="s">
        <v>1191</v>
      </c>
      <c r="O296" s="162">
        <v>669</v>
      </c>
      <c r="P296" s="25" t="s">
        <v>1535</v>
      </c>
      <c r="Q296" s="25" t="s">
        <v>950</v>
      </c>
      <c r="R296" s="25" t="s">
        <v>964</v>
      </c>
      <c r="S296" s="25" t="s">
        <v>983</v>
      </c>
    </row>
    <row r="297" spans="1:22" ht="15" customHeight="1" ns3:dyDescent="0.25">
      <c r="A297" s="25" t="s">
        <v>1001</v>
      </c>
      <c r="B297" s="25" t="str">
        <f t="shared" si="20"/>
      </c>
      <c r="C297" s="25" t="s">
        <v>102</v>
      </c>
      <c r="D297" s="25" t="s">
        <v>17</v>
      </c>
      <c r="E297" s="25" t="s">
        <v>120</v>
      </c>
      <c r="F297" s="25" t="s">
        <v>1680</v>
      </c>
      <c r="G297" s="25" t="s">
        <v>117</v>
      </c>
      <c r="H297" s="25" t="str">
        <f>IFERROR(VLOOKUP(#REF!297,'정보화기기 명부'!A$2:B$187,2,FALSE),"")</f>
        <v/>
      </c>
      <c r="I297" s="126" t="str">
        <f>IFERROR(VLOOKUP(#REF!297,'교직원용 IP'!$C$2:$H$230,6,FALSE),"")</f>
        <v/>
      </c>
      <c r="J297" s="25"/>
      <c r="K297" s="25">
        <v>2020.11</v>
      </c>
      <c r="L297" s="25">
        <v>20150223</v>
      </c>
      <c r="M297" s="125">
        <v>799000</v>
      </c>
      <c r="N297" s="25" t="s">
        <v>1191</v>
      </c>
      <c r="O297" s="162">
        <v>668</v>
      </c>
      <c r="P297" s="25" t="s">
        <v>1535</v>
      </c>
      <c r="Q297" s="25" t="s">
        <v>950</v>
      </c>
      <c r="R297" s="25" t="s">
        <v>964</v>
      </c>
      <c r="S297" s="25" t="s">
        <v>983</v>
      </c>
      <c r="T297" t="inlineStr">
        <is>
          <t>O</t>
        </is>
      </c>
    </row>
    <row r="298" spans="1:22" ht="15" customHeight="1" ns3:dyDescent="0.25">
      <c r="A298" s="25" t="s">
        <v>940</v>
      </c>
      <c r="B298" s="25" t="str">
        <f t="shared" si="20"/>
      </c>
      <c r="C298" s="25" t="s">
        <v>102</v>
      </c>
      <c r="D298" s="25" t="s">
        <v>984</v>
      </c>
      <c r="E298" s="25" t="s">
        <v>40</v>
      </c>
      <c r="F298" s="25" t="s">
        <v>1680</v>
      </c>
      <c r="G298" s="25" t="s">
        <v>117</v>
      </c>
      <c r="H298" s="25" t="str">
        <f>IFERROR(VLOOKUP(#REF!298,'정보화기기 명부'!A$2:B$187,2,FALSE),"")</f>
        <v>급식실</v>
      </c>
      <c r="I298" s="126" t="str">
        <f>IFERROR(VLOOKUP(#REF!298,'교직원용 IP'!$C$2:$H$230,6,FALSE),"")</f>
        <v>10.51.91.17</v>
      </c>
      <c r="J298" s="25"/>
      <c r="K298" s="25">
        <v>2021.01</v>
      </c>
      <c r="L298" s="136">
        <v>20150223</v>
      </c>
      <c r="M298" s="125">
        <v>799000</v>
      </c>
      <c r="N298" s="25" t="s">
        <v>1191</v>
      </c>
      <c r="O298" s="162">
        <v>667</v>
      </c>
      <c r="P298" s="25" t="s">
        <v>1535</v>
      </c>
      <c r="Q298" s="25" t="s">
        <v>950</v>
      </c>
      <c r="R298" s="25" t="s">
        <v>964</v>
      </c>
      <c r="S298" s="25" t="s">
        <v>983</v>
      </c>
    </row>
    <row r="299" spans="1:22" ht="15" customHeight="1" ns3:dyDescent="0.25">
      <c r="A299" s="288" t="s">
        <v>147</v>
      </c>
      <c r="B299" s="25" t="str">
        <f t="shared" si="20"/>
      </c>
      <c r="C299" s="25" t="s">
        <v>102</v>
      </c>
      <c r="D299" s="25" t="s">
        <v>984</v>
      </c>
      <c r="E299" s="25" t="s">
        <v>120</v>
      </c>
      <c r="F299" s="25" t="s">
        <v>1680</v>
      </c>
      <c r="G299" s="25" t="s">
        <v>117</v>
      </c>
      <c r="H299" s="25" t="str">
        <f>IFERROR(VLOOKUP(#REF!299,'정보화기기 명부'!A$2:B$187,2,FALSE),"")</f>
        <v>특수교육부</v>
      </c>
      <c r="I299" s="126" t="str">
        <f>IFERROR(VLOOKUP(#REF!299,'교직원용 IP'!$C$2:$H$230,6,FALSE),"")</f>
        <v>10.51.90.161</v>
      </c>
      <c r="J299" s="25"/>
      <c r="K299" s="25">
        <v>2021.01</v>
      </c>
      <c r="L299" s="136">
        <v>20150223</v>
      </c>
      <c r="M299" s="125">
        <v>799000</v>
      </c>
      <c r="N299" s="25" t="s">
        <v>1191</v>
      </c>
      <c r="O299" s="162">
        <v>666</v>
      </c>
      <c r="P299" s="25" t="s">
        <v>1535</v>
      </c>
      <c r="Q299" s="25" t="s">
        <v>950</v>
      </c>
      <c r="R299" s="25" t="s">
        <v>964</v>
      </c>
      <c r="S299" s="25" t="s">
        <v>983</v>
      </c>
    </row>
    <row r="300" spans="1:22" ht="15" customHeight="1" ns3:dyDescent="0.25">
      <c r="A300" s="25" t="s">
        <v>26</v>
      </c>
      <c r="B300" s="25" t="str">
        <f t="shared" si="20"/>
      </c>
      <c r="C300" s="25" t="s">
        <v>102</v>
      </c>
      <c r="D300" s="25" t="s">
        <v>17</v>
      </c>
      <c r="E300" s="25" t="s">
        <v>120</v>
      </c>
      <c r="F300" s="25" t="s">
        <v>1680</v>
      </c>
      <c r="G300" s="25" t="s">
        <v>117</v>
      </c>
      <c r="H300" s="25" t="str">
        <f>IFERROR(VLOOKUP(#REF!300,'정보화기기 명부'!A$2:B$187,2,FALSE),"")</f>
        <v/>
      </c>
      <c r="I300" s="126"/>
      <c r="J300" s="25"/>
      <c r="K300" s="25">
        <v>2021.01</v>
      </c>
      <c r="L300" s="136">
        <v>20150223</v>
      </c>
      <c r="M300" s="125">
        <v>799000</v>
      </c>
      <c r="N300" s="25" t="s">
        <v>1191</v>
      </c>
      <c r="O300" s="162">
        <v>665</v>
      </c>
      <c r="P300" s="25" t="s">
        <v>1535</v>
      </c>
      <c r="Q300" s="25" t="s">
        <v>950</v>
      </c>
      <c r="R300" s="25" t="s">
        <v>964</v>
      </c>
      <c r="S300" s="25" t="s">
        <v>983</v>
      </c>
    </row>
    <row r="301" spans="1:22" ht="15" customHeight="1" ns3:dyDescent="0.25">
      <c r="A301" s="25" t="s">
        <v>1503</v>
      </c>
      <c r="B301" s="25" t="str">
        <f t="shared" si="20"/>
      </c>
      <c r="C301" s="25" t="s">
        <v>102</v>
      </c>
      <c r="D301" s="25" t="s">
        <v>17</v>
      </c>
      <c r="E301" s="25" t="s">
        <v>120</v>
      </c>
      <c r="F301" s="25" t="s">
        <v>1680</v>
      </c>
      <c r="G301" s="25" t="s">
        <v>117</v>
      </c>
      <c r="H301" s="25" t="str">
        <f>IFERROR(VLOOKUP(#REF!301,'정보화기기 명부'!A$2:B$187,2,FALSE),"")</f>
        <v/>
      </c>
      <c r="I301" s="126" t="str">
        <f>IFERROR(VLOOKUP(#REF!301,'교직원용 IP'!$C$2:$H$230,6,FALSE),"")</f>
        <v/>
      </c>
      <c r="J301" s="25"/>
      <c r="K301" s="25">
        <v>2021.01</v>
      </c>
      <c r="L301" s="25">
        <v>20150223</v>
      </c>
      <c r="M301" s="125">
        <v>799000</v>
      </c>
      <c r="N301" s="25" t="s">
        <v>1191</v>
      </c>
      <c r="O301" s="162">
        <v>664</v>
      </c>
      <c r="P301" s="25" t="s">
        <v>1535</v>
      </c>
      <c r="Q301" s="25" t="s">
        <v>950</v>
      </c>
      <c r="R301" s="25" t="s">
        <v>964</v>
      </c>
      <c r="S301" s="25" t="s">
        <v>983</v>
      </c>
    </row>
    <row r="302" spans="1:22" ht="15" customHeight="1" ns3:dyDescent="0.25">
      <c r="A302" s="25" t="s">
        <v>1681</v>
      </c>
      <c r="B302" s="25" t="str">
        <f t="shared" si="20"/>
      </c>
      <c r="C302" s="25" t="s">
        <v>102</v>
      </c>
      <c r="D302" s="25" t="s">
        <v>17</v>
      </c>
      <c r="E302" s="25" t="s">
        <v>104</v>
      </c>
      <c r="F302" s="25" t="s">
        <v>1680</v>
      </c>
      <c r="G302" s="25" t="s">
        <v>117</v>
      </c>
      <c r="H302" s="25" t="str">
        <f>IFERROR(VLOOKUP(#REF!302,'정보화기기 명부'!A$2:B$187,2,FALSE),"")</f>
        <v/>
      </c>
      <c r="I302" s="193" t="s">
        <v>1486</v>
      </c>
      <c r="J302" s="25"/>
      <c r="K302" s="25">
        <v>2021.01</v>
      </c>
      <c r="L302" s="136">
        <v>20150223</v>
      </c>
      <c r="M302" s="125">
        <v>799000</v>
      </c>
      <c r="N302" s="25" t="s">
        <v>1191</v>
      </c>
      <c r="O302" s="162">
        <v>663</v>
      </c>
      <c r="P302" s="25" t="s">
        <v>1535</v>
      </c>
      <c r="Q302" s="25" t="s">
        <v>950</v>
      </c>
      <c r="R302" s="25" t="s">
        <v>964</v>
      </c>
      <c r="S302" s="25" t="s">
        <v>983</v>
      </c>
      <c r="T302" t="inlineStr">
        <is>
          <t>O</t>
        </is>
      </c>
    </row>
    <row r="303" spans="1:22" ht="15" customHeight="1" ns3:dyDescent="0.25">
      <c r="A303" s="288" t="s">
        <v>965</v>
      </c>
      <c r="B303" s="25" t="str">
        <f t="shared" si="20"/>
      </c>
      <c r="C303" s="25" t="s">
        <v>102</v>
      </c>
      <c r="D303" s="25" t="s">
        <v>984</v>
      </c>
      <c r="E303" s="25" t="s">
        <v>104</v>
      </c>
      <c r="F303" s="25" t="s">
        <v>1680</v>
      </c>
      <c r="G303" s="25" t="s">
        <v>117</v>
      </c>
      <c r="H303" s="25" t="str">
        <f>IFERROR(VLOOKUP(#REF!303,'정보화기기 명부'!A$2:B$187,2,FALSE),"")</f>
        <v>3학년부</v>
      </c>
      <c r="I303" s="126" t="str">
        <f>IFERROR(VLOOKUP(#REF!303,'교직원용 IP'!$C$2:$H$230,6,FALSE),"")</f>
        <v>10.51.90.155</v>
      </c>
      <c r="J303" s="25"/>
      <c r="K303" s="25">
        <v>2021.01</v>
      </c>
      <c r="L303" s="136">
        <v>20150223</v>
      </c>
      <c r="M303" s="125">
        <v>799000</v>
      </c>
      <c r="N303" s="25" t="s">
        <v>1191</v>
      </c>
      <c r="O303" s="162">
        <v>662</v>
      </c>
      <c r="P303" s="25" t="s">
        <v>1535</v>
      </c>
      <c r="Q303" s="25" t="s">
        <v>950</v>
      </c>
      <c r="R303" s="25" t="s">
        <v>964</v>
      </c>
      <c r="S303" s="25" t="s">
        <v>983</v>
      </c>
    </row>
    <row r="304" spans="1:22" ht="15" customHeight="1" ns3:dyDescent="0.25">
      <c r="A304" s="25" t="s">
        <v>1512</v>
      </c>
      <c r="B304" s="25" t="str">
        <f t="shared" si="20"/>
      </c>
      <c r="C304" s="25" t="s">
        <v>102</v>
      </c>
      <c r="D304" s="25" t="s">
        <v>984</v>
      </c>
      <c r="E304" s="25" t="s">
        <v>55</v>
      </c>
      <c r="F304" s="25" t="s">
        <v>1680</v>
      </c>
      <c r="G304" s="25" t="s">
        <v>117</v>
      </c>
      <c r="H304" s="25" t="str">
        <f>IFERROR(VLOOKUP(#REF!304,'정보화기기 명부'!A$2:B$187,2,FALSE),"")</f>
        <v>Wee클래스</v>
      </c>
      <c r="I304" s="126" t="str">
        <f>IFERROR(VLOOKUP(#REF!304,'교직원용 IP'!$C$2:$H$230,6,FALSE),"")</f>
        <v/>
      </c>
      <c r="J304" s="25" t="s">
        <v>962</v>
      </c>
      <c r="K304" s="25">
        <v>2021.01</v>
      </c>
      <c r="L304" s="136">
        <v>20150223</v>
      </c>
      <c r="M304" s="125">
        <v>799000</v>
      </c>
      <c r="N304" s="25" t="s">
        <v>1191</v>
      </c>
      <c r="O304" s="162">
        <v>661</v>
      </c>
      <c r="P304" s="25" t="s">
        <v>1535</v>
      </c>
      <c r="Q304" s="25" t="s">
        <v>950</v>
      </c>
      <c r="R304" s="25" t="s">
        <v>964</v>
      </c>
      <c r="S304" s="25" t="s">
        <v>983</v>
      </c>
    </row>
    <row r="305" spans="1:24" ht="15" customHeight="1" ns3:dyDescent="0.25">
      <c r="A305" s="25" t="s">
        <v>981</v>
      </c>
      <c r="B305" s="25" t="str">
        <f t="shared" si="20"/>
      </c>
      <c r="C305" s="25" t="s">
        <v>102</v>
      </c>
      <c r="D305" s="25" t="s">
        <v>17</v>
      </c>
      <c r="E305" s="25" t="s">
        <v>120</v>
      </c>
      <c r="F305" s="25" t="s">
        <v>1680</v>
      </c>
      <c r="G305" s="25" t="s">
        <v>117</v>
      </c>
      <c r="H305" s="25" t="str">
        <f>IFERROR(VLOOKUP(#REF!305,'정보화기기 명부'!A$2:B$187,2,FALSE),"")</f>
        <v/>
      </c>
      <c r="I305" s="126" t="str">
        <f>IFERROR(VLOOKUP(#REF!305,'교직원용 IP'!$C$2:$H$230,6,FALSE),"")</f>
        <v/>
      </c>
      <c r="J305" s="25"/>
      <c r="K305" s="25">
        <v>2020.11</v>
      </c>
      <c r="L305" s="25">
        <v>20150223</v>
      </c>
      <c r="M305" s="125">
        <v>799000</v>
      </c>
      <c r="N305" s="25" t="s">
        <v>1191</v>
      </c>
      <c r="O305" s="162">
        <v>660</v>
      </c>
      <c r="P305" s="25" t="s">
        <v>1535</v>
      </c>
      <c r="Q305" s="25" t="s">
        <v>950</v>
      </c>
      <c r="R305" s="25" t="s">
        <v>964</v>
      </c>
      <c r="S305" s="25" t="s">
        <v>983</v>
      </c>
      <c r="T305" t="inlineStr">
        <is>
          <t>O</t>
        </is>
      </c>
    </row>
    <row r="306" spans="1:24" ht="15" customHeight="1" ns3:dyDescent="0.25">
      <c r="A306" s="25" t="s">
        <v>153</v>
      </c>
      <c r="B306" s="25" t="str">
        <f t="shared" ref="B306:B369" si="23">LEFT(L306,6)&amp;"-"&amp;TEXT(O306,"0000")</f>
      </c>
      <c r="C306" s="25" t="s">
        <v>102</v>
      </c>
      <c r="D306" s="25" t="s">
        <v>17</v>
      </c>
      <c r="E306" s="25" t="s">
        <v>120</v>
      </c>
      <c r="F306" s="25" t="s">
        <v>1262</v>
      </c>
      <c r="G306" s="25" t="s">
        <v>117</v>
      </c>
      <c r="H306" s="25" t="str">
        <f>IFERROR(VLOOKUP(#REF!306,'정보화기기 명부'!A$2:B$187,2,FALSE),"")</f>
        <v/>
      </c>
      <c r="I306" s="126" t="str">
        <f>IFERROR(VLOOKUP(#REF!306,'교직원용 IP'!$C$2:$H$230,6,FALSE),"")</f>
        <v/>
      </c>
      <c r="J306" s="25"/>
      <c r="K306" s="25">
        <v>2021.01</v>
      </c>
      <c r="L306" s="136">
        <v>20140810</v>
      </c>
      <c r="M306" s="125">
        <v>632500</v>
      </c>
      <c r="N306" s="25" t="s">
        <v>1191</v>
      </c>
      <c r="O306" s="162">
        <v>659</v>
      </c>
      <c r="P306" s="25" t="s">
        <v>1535</v>
      </c>
      <c r="Q306" s="25" t="s">
        <v>950</v>
      </c>
      <c r="R306" s="25" t="s">
        <v>970</v>
      </c>
      <c r="S306" s="25" t="s">
        <v>957</v>
      </c>
    </row>
    <row r="307" spans="1:24" ht="15" hidden="1" customHeight="1" ns3:dyDescent="0.25">
      <c r="A307" s="25" t="s">
        <v>941</v>
      </c>
      <c r="B307" s="25" t="str">
        <f t="shared" si="23"/>
      </c>
      <c r="C307" s="25" t="s">
        <v>1147</v>
      </c>
      <c r="D307" s="25" t="s">
        <v>17</v>
      </c>
      <c r="E307" s="25" t="s">
        <v>120</v>
      </c>
      <c r="F307" s="25" t="s">
        <v>1275</v>
      </c>
      <c r="G307" s="25" t="s">
        <v>117</v>
      </c>
      <c r="H307" s="25" t="str">
        <f>IFERROR(VLOOKUP(#REF!307,'정보화기기 명부'!A$2:B$187,2,FALSE),"")</f>
        <v>도서실</v>
      </c>
      <c r="I307" s="126"/>
      <c r="J307" s="25"/>
      <c r="K307" s="25">
        <v>2021.01</v>
      </c>
      <c r="L307" s="136">
        <v>20140810</v>
      </c>
      <c r="M307" s="125">
        <v>542260</v>
      </c>
      <c r="N307" s="25" t="s">
        <v>1191</v>
      </c>
      <c r="O307" s="162">
        <v>658</v>
      </c>
      <c r="P307" s="25" t="s">
        <v>1535</v>
      </c>
      <c r="Q307" s="25" t="s">
        <v>917</v>
      </c>
      <c r="R307" s="25" t="s">
        <v>939</v>
      </c>
      <c r="S307" s="25" t="s">
        <v>1197</v>
      </c>
    </row>
    <row r="308" spans="1:24" ht="13.5" hidden="1" customHeight="1" ns3:dyDescent="0.25">
      <c r="A308" s="25" t="s">
        <v>1010</v>
      </c>
      <c r="B308" s="25" t="str">
        <f t="shared" si="23"/>
      </c>
      <c r="C308" s="25" t="s">
        <v>1147</v>
      </c>
      <c r="D308" s="25" t="s">
        <v>17</v>
      </c>
      <c r="E308" s="25" t="s">
        <v>8</v>
      </c>
      <c r="F308" s="25" t="s">
        <v>1275</v>
      </c>
      <c r="G308" s="25" t="s">
        <v>117</v>
      </c>
      <c r="H308" s="25" t="str">
        <f>IFERROR(VLOOKUP(#REF!308,'정보화기기 명부'!A$2:B$187,2,FALSE),"")</f>
        <v/>
      </c>
      <c r="I308" s="126" t="str">
        <f>IFERROR(VLOOKUP(#REF!308,'교직원용 IP'!$C$2:$H$230,6,FALSE),"")</f>
        <v/>
      </c>
      <c r="J308" s="25"/>
      <c r="K308" s="25">
        <v>2020.07</v>
      </c>
      <c r="L308" s="25">
        <v>20140810</v>
      </c>
      <c r="M308" s="125">
        <v>542260</v>
      </c>
      <c r="N308" s="25" t="s">
        <v>1191</v>
      </c>
      <c r="O308" s="162">
        <v>657</v>
      </c>
      <c r="P308" s="25" t="s">
        <v>1508</v>
      </c>
      <c r="Q308" s="25" t="s">
        <v>917</v>
      </c>
      <c r="R308" s="25" t="s">
        <v>939</v>
      </c>
      <c r="S308" s="25" t="s">
        <v>1197</v>
      </c>
      <c r="T308" t="inlineStr">
        <is>
          <t>O</t>
        </is>
      </c>
    </row>
    <row r="309" spans="1:24" ht="13.5" hidden="1" customHeight="1" ns3:dyDescent="0.25">
      <c r="A309" s="25" t="s">
        <v>1689</v>
      </c>
      <c r="B309" s="25" t="str">
        <f t="shared" si="23"/>
      </c>
      <c r="C309" s="25" t="s">
        <v>1147</v>
      </c>
      <c r="D309" s="25" t="s">
        <v>17</v>
      </c>
      <c r="E309" s="25" t="s">
        <v>8</v>
      </c>
      <c r="F309" s="25" t="s">
        <v>1275</v>
      </c>
      <c r="G309" s="25" t="s">
        <v>117</v>
      </c>
      <c r="H309" s="25" t="str">
        <f>IFERROR(VLOOKUP(#REF!309,'정보화기기 명부'!A$2:B$187,2,FALSE),"")</f>
        <v/>
      </c>
      <c r="I309" s="126" t="str">
        <f>IFERROR(VLOOKUP(#REF!309,'교직원용 IP'!$C$2:$H$230,6,FALSE),"")</f>
        <v/>
      </c>
      <c r="J309" s="25"/>
      <c r="K309" s="25">
        <v>2020.07</v>
      </c>
      <c r="L309" s="25">
        <v>20140810</v>
      </c>
      <c r="M309" s="125">
        <v>542260</v>
      </c>
      <c r="N309" s="25" t="s">
        <v>1191</v>
      </c>
      <c r="O309" s="162">
        <v>656</v>
      </c>
      <c r="P309" s="25" t="s">
        <v>1535</v>
      </c>
      <c r="Q309" s="25" t="s">
        <v>917</v>
      </c>
      <c r="R309" s="25" t="s">
        <v>939</v>
      </c>
      <c r="S309" s="25" t="s">
        <v>1197</v>
      </c>
    </row>
    <row r="310" spans="1:24" ht="15" hidden="1" customHeight="1" ns3:dyDescent="0.25">
      <c r="A310" s="25" t="s">
        <v>1513</v>
      </c>
      <c r="B310" s="25" t="str">
        <f t="shared" si="23"/>
      </c>
      <c r="C310" s="25" t="s">
        <v>1147</v>
      </c>
      <c r="D310" s="25" t="s">
        <v>984</v>
      </c>
      <c r="E310" s="25" t="s">
        <v>40</v>
      </c>
      <c r="F310" s="25" t="s">
        <v>1694</v>
      </c>
      <c r="G310" s="25" t="s">
        <v>10</v>
      </c>
      <c r="H310" s="25" t="str">
        <f>IFERROR(VLOOKUP(#REF!310,'정보화기기 명부'!A$2:B$187,2,FALSE),"")</f>
        <v/>
      </c>
      <c r="I310" s="126" t="str">
        <f>IFERROR(VLOOKUP(#REF!310,'교직원용 IP'!$C$2:$H$230,6,FALSE),"")</f>
        <v/>
      </c>
      <c r="J310" s="25" t="s">
        <v>159</v>
      </c>
      <c r="K310" s="25">
        <v>2021.01</v>
      </c>
      <c r="L310" s="136">
        <v>20140603</v>
      </c>
      <c r="M310" s="125">
        <v>570000</v>
      </c>
      <c r="N310" s="25" t="s">
        <v>1191</v>
      </c>
      <c r="O310" s="162">
        <v>770</v>
      </c>
      <c r="P310" s="25" t="s">
        <v>1535</v>
      </c>
      <c r="Q310" s="25" t="s">
        <v>917</v>
      </c>
      <c r="R310" s="25" t="s">
        <v>24</v>
      </c>
      <c r="S310" s="25" t="s">
        <v>980</v>
      </c>
      <c r="T310" t="inlineStr">
        <is>
          <t>O</t>
        </is>
      </c>
    </row>
    <row r="311" spans="1:24" ht="13.5" hidden="1" customHeight="1" ns3:dyDescent="0.25">
      <c r="A311" s="25" t="s">
        <v>163</v>
      </c>
      <c r="B311" s="25" t="str">
        <f t="shared" si="23"/>
      </c>
      <c r="C311" s="25" t="s">
        <v>1147</v>
      </c>
      <c r="D311" s="25" t="s">
        <v>17</v>
      </c>
      <c r="E311" s="25" t="s">
        <v>8</v>
      </c>
      <c r="F311" s="25" t="s">
        <v>1642</v>
      </c>
      <c r="G311" s="25" t="s">
        <v>10</v>
      </c>
      <c r="H311" s="25" t="str">
        <f>IFERROR(VLOOKUP(#REF!311,'정보화기기 명부'!A$2:B$187,2,FALSE),"")</f>
        <v/>
      </c>
      <c r="I311" s="125"/>
      <c r="J311" s="25"/>
      <c r="K311" s="25"/>
      <c r="L311" s="25">
        <v>20130902</v>
      </c>
      <c r="M311" s="125">
        <v>478000</v>
      </c>
      <c r="N311" s="25" t="s">
        <v>1191</v>
      </c>
      <c r="O311" s="162">
        <v>654</v>
      </c>
      <c r="P311" s="25" t="s">
        <v>1508</v>
      </c>
      <c r="Q311" s="25" t="s">
        <v>907</v>
      </c>
      <c r="R311" s="25" t="s">
        <v>970</v>
      </c>
      <c r="S311" s="25" t="s">
        <v>910</v>
      </c>
    </row>
    <row r="312" spans="1:24" s="14" customFormat="1" ht="13.5" hidden="1" customHeight="1" ns3:dyDescent="0.25">
      <c r="A312" s="13" t="s">
        <v>1008</v>
      </c>
      <c r="B312" s="25" t="str">
        <f t="shared" si="23"/>
      </c>
      <c r="C312" s="25" t="s">
        <v>1147</v>
      </c>
      <c r="D312" s="13" t="s">
        <v>17</v>
      </c>
      <c r="E312" s="13" t="s">
        <v>120</v>
      </c>
      <c r="F312" s="13" t="s">
        <v>1653</v>
      </c>
      <c r="G312" s="13" t="s">
        <v>10</v>
      </c>
      <c r="H312" s="13" t="str">
        <f>IFERROR(VLOOKUP(#REF!312,'정보화기기 명부'!A$2:B$187,2,FALSE),"")</f>
        <v/>
      </c>
      <c r="I312" s="22"/>
      <c r="J312" s="13"/>
      <c r="K312" s="13"/>
      <c r="L312" s="13">
        <v>20130329</v>
      </c>
      <c r="M312" s="22">
        <v>1215000</v>
      </c>
      <c r="N312" s="13" t="s">
        <v>1191</v>
      </c>
      <c r="O312" s="208">
        <v>647</v>
      </c>
      <c r="P312" s="13" t="s">
        <v>1508</v>
      </c>
      <c r="Q312" s="13" t="s">
        <v>917</v>
      </c>
      <c r="R312" s="13" t="s">
        <v>964</v>
      </c>
      <c r="S312" s="13" t="s">
        <v>1015</v>
      </c>
      <c r="T312" t="inlineStr">
        <is>
          <t>O</t>
        </is>
      </c>
    </row>
    <row r="313" spans="1:24" ht="13.5" hidden="1" customHeight="1" ns3:dyDescent="0.25">
      <c r="A313" s="25" t="s">
        <v>987</v>
      </c>
      <c r="B313" s="25" t="str">
        <f t="shared" si="23"/>
      </c>
      <c r="C313" s="25" t="s">
        <v>1147</v>
      </c>
      <c r="D313" s="25" t="s">
        <v>17</v>
      </c>
      <c r="E313" s="25" t="s">
        <v>120</v>
      </c>
      <c r="F313" s="25" t="s">
        <v>1653</v>
      </c>
      <c r="G313" s="25" t="s">
        <v>10</v>
      </c>
      <c r="H313" s="25" t="str">
        <f>IFERROR(VLOOKUP(#REF!313,'정보화기기 명부'!A$2:B$187,2,FALSE),"")</f>
        <v/>
      </c>
      <c r="I313" s="125"/>
      <c r="J313" s="25"/>
      <c r="K313" s="25"/>
      <c r="L313" s="25">
        <v>20130329</v>
      </c>
      <c r="M313" s="125">
        <v>1215000</v>
      </c>
      <c r="N313" s="25" t="s">
        <v>1191</v>
      </c>
      <c r="O313" s="162">
        <v>646</v>
      </c>
      <c r="P313" s="25" t="s">
        <v>1508</v>
      </c>
      <c r="Q313" s="25" t="s">
        <v>917</v>
      </c>
      <c r="R313" s="25" t="s">
        <v>161</v>
      </c>
      <c r="S313" s="25" t="s">
        <v>152</v>
      </c>
    </row>
    <row r="314" spans="1:24" ht="15" customHeight="1" ns3:dyDescent="0.25">
      <c r="A314" s="25" t="s">
        <v>1009</v>
      </c>
      <c r="B314" s="25" t="str">
        <f t="shared" si="23"/>
      </c>
      <c r="C314" s="25" t="s">
        <v>102</v>
      </c>
      <c r="D314" s="25" t="s">
        <v>17</v>
      </c>
      <c r="E314" s="25" t="s">
        <v>55</v>
      </c>
      <c r="F314" s="25" t="s">
        <v>1291</v>
      </c>
      <c r="G314" s="25" t="s">
        <v>117</v>
      </c>
      <c r="H314" s="25" t="str">
        <f>IFERROR(VLOOKUP(#REF!314,'정보화기기 명부'!A$2:B$187,2,FALSE),"")</f>
        <v/>
      </c>
      <c r="I314" s="125"/>
      <c r="J314" s="25"/>
      <c r="K314" s="25">
        <v>2020.11</v>
      </c>
      <c r="L314" s="128">
        <v>20130108</v>
      </c>
      <c r="M314" s="125">
        <v>1110000</v>
      </c>
      <c r="N314" s="25" t="s">
        <v>1186</v>
      </c>
      <c r="O314" s="162">
        <v>645</v>
      </c>
      <c r="P314" s="25" t="s">
        <v>1535</v>
      </c>
      <c r="Q314" s="25" t="s">
        <v>979</v>
      </c>
      <c r="R314" s="25" t="s">
        <v>964</v>
      </c>
      <c r="S314" s="25" t="s">
        <v>1197</v>
      </c>
    </row>
    <row r="315" spans="1:24" ht="15" customHeight="1" ns3:dyDescent="0.25">
      <c r="A315" s="25" t="s">
        <v>976</v>
      </c>
      <c r="B315" s="25" t="str">
        <f t="shared" si="23"/>
      </c>
      <c r="C315" s="25" t="s">
        <v>102</v>
      </c>
      <c r="D315" s="25" t="s">
        <v>17</v>
      </c>
      <c r="E315" s="25" t="s">
        <v>55</v>
      </c>
      <c r="F315" s="25" t="s">
        <v>1291</v>
      </c>
      <c r="G315" s="25" t="s">
        <v>117</v>
      </c>
      <c r="H315" s="25" t="str">
        <f>IFERROR(VLOOKUP(#REF!315,'정보화기기 명부'!A$2:B$187,2,FALSE),"")</f>
        <v/>
      </c>
      <c r="I315" s="125"/>
      <c r="J315" s="25"/>
      <c r="K315" s="25">
        <v>2020.11</v>
      </c>
      <c r="L315" s="128">
        <v>20130108</v>
      </c>
      <c r="M315" s="125">
        <v>1110000</v>
      </c>
      <c r="N315" s="25" t="s">
        <v>1186</v>
      </c>
      <c r="O315" s="162">
        <v>644</v>
      </c>
      <c r="P315" s="25" t="s">
        <v>1535</v>
      </c>
      <c r="Q315" s="25" t="s">
        <v>979</v>
      </c>
      <c r="R315" s="25" t="s">
        <v>964</v>
      </c>
      <c r="S315" s="25" t="s">
        <v>1197</v>
      </c>
    </row>
    <row r="316" spans="1:24" ht="15" customHeight="1" ns3:dyDescent="0.25">
      <c r="A316" s="25" t="s">
        <v>982</v>
      </c>
      <c r="B316" s="25" t="str">
        <f t="shared" si="23"/>
      </c>
      <c r="C316" s="25" t="s">
        <v>102</v>
      </c>
      <c r="D316" s="25" t="s">
        <v>17</v>
      </c>
      <c r="E316" s="25" t="s">
        <v>55</v>
      </c>
      <c r="F316" s="25" t="s">
        <v>1291</v>
      </c>
      <c r="G316" s="25" t="s">
        <v>117</v>
      </c>
      <c r="H316" s="25" t="str">
        <f>IFERROR(VLOOKUP(#REF!316,'정보화기기 명부'!A$2:B$187,2,FALSE),"")</f>
        <v/>
      </c>
      <c r="I316" s="125"/>
      <c r="J316" s="25"/>
      <c r="K316" s="25">
        <v>2020.11</v>
      </c>
      <c r="L316" s="128">
        <v>20130108</v>
      </c>
      <c r="M316" s="125">
        <v>1110000</v>
      </c>
      <c r="N316" s="25" t="s">
        <v>1186</v>
      </c>
      <c r="O316" s="162">
        <v>643</v>
      </c>
      <c r="P316" s="25" t="s">
        <v>1535</v>
      </c>
      <c r="Q316" s="25" t="s">
        <v>979</v>
      </c>
      <c r="R316" s="25" t="s">
        <v>964</v>
      </c>
      <c r="S316" s="25" t="s">
        <v>1197</v>
      </c>
    </row>
    <row r="317" spans="1:24" ht="15" customHeight="1" ns3:dyDescent="0.25">
      <c r="A317" s="25" t="s">
        <v>1021</v>
      </c>
      <c r="B317" s="25" t="str">
        <f t="shared" si="23"/>
      </c>
      <c r="C317" s="25" t="s">
        <v>102</v>
      </c>
      <c r="D317" s="25" t="s">
        <v>17</v>
      </c>
      <c r="E317" s="25" t="s">
        <v>55</v>
      </c>
      <c r="F317" s="25" t="s">
        <v>1291</v>
      </c>
      <c r="G317" s="25" t="s">
        <v>117</v>
      </c>
      <c r="H317" s="25" t="str">
        <f>IFERROR(VLOOKUP(#REF!317,'정보화기기 명부'!A$2:B$187,2,FALSE),"")</f>
        <v/>
      </c>
      <c r="I317" s="125"/>
      <c r="J317" s="25"/>
      <c r="K317" s="25">
        <v>2020.11</v>
      </c>
      <c r="L317" s="128">
        <v>20130108</v>
      </c>
      <c r="M317" s="125">
        <v>1110000</v>
      </c>
      <c r="N317" s="25" t="s">
        <v>1186</v>
      </c>
      <c r="O317" s="162">
        <v>642</v>
      </c>
      <c r="P317" s="25" t="s">
        <v>1535</v>
      </c>
      <c r="Q317" s="25" t="s">
        <v>979</v>
      </c>
      <c r="R317" s="25" t="s">
        <v>964</v>
      </c>
      <c r="S317" s="25" t="s">
        <v>1197</v>
      </c>
    </row>
    <row r="318" spans="1:24" ht="15" customHeight="1" ns3:dyDescent="0.25">
      <c r="A318" s="25" t="s">
        <v>973</v>
      </c>
      <c r="B318" s="25" t="str">
        <f t="shared" si="23"/>
      </c>
      <c r="C318" s="25" t="s">
        <v>102</v>
      </c>
      <c r="D318" s="25" t="s">
        <v>17</v>
      </c>
      <c r="E318" s="25" t="s">
        <v>55</v>
      </c>
      <c r="F318" s="25" t="s">
        <v>1291</v>
      </c>
      <c r="G318" s="25" t="s">
        <v>117</v>
      </c>
      <c r="H318" s="25" t="str">
        <f>IFERROR(VLOOKUP(#REF!318,'정보화기기 명부'!A$2:B$187,2,FALSE),"")</f>
        <v/>
      </c>
      <c r="I318" s="125"/>
      <c r="J318" s="25"/>
      <c r="K318" s="25">
        <v>2020.11</v>
      </c>
      <c r="L318" s="128">
        <v>20130108</v>
      </c>
      <c r="M318" s="125">
        <v>1110000</v>
      </c>
      <c r="N318" s="25" t="s">
        <v>1186</v>
      </c>
      <c r="O318" s="162">
        <v>641</v>
      </c>
      <c r="P318" s="25" t="s">
        <v>1535</v>
      </c>
      <c r="Q318" s="25" t="s">
        <v>979</v>
      </c>
      <c r="R318" s="25" t="s">
        <v>964</v>
      </c>
      <c r="S318" s="25" t="s">
        <v>1197</v>
      </c>
    </row>
    <row r="319" spans="1:24" ht="15" customHeight="1" ns3:dyDescent="0.25">
      <c r="A319" s="25" t="s">
        <v>998</v>
      </c>
      <c r="B319" s="25" t="str">
        <f t="shared" si="23"/>
      </c>
      <c r="C319" s="25" t="s">
        <v>102</v>
      </c>
      <c r="D319" s="25" t="s">
        <v>17</v>
      </c>
      <c r="E319" s="25" t="s">
        <v>55</v>
      </c>
      <c r="F319" s="25" t="s">
        <v>1291</v>
      </c>
      <c r="G319" s="25" t="s">
        <v>117</v>
      </c>
      <c r="H319" s="25" t="str">
        <f>IFERROR(VLOOKUP(#REF!319,'정보화기기 명부'!A$2:B$187,2,FALSE),"")</f>
        <v/>
      </c>
      <c r="I319" s="125"/>
      <c r="J319" s="25"/>
      <c r="K319" s="25">
        <v>2020.11</v>
      </c>
      <c r="L319" s="128">
        <v>20130108</v>
      </c>
      <c r="M319" s="125">
        <v>1110000</v>
      </c>
      <c r="N319" s="25" t="s">
        <v>1186</v>
      </c>
      <c r="O319" s="162">
        <v>640</v>
      </c>
      <c r="P319" s="25" t="s">
        <v>1535</v>
      </c>
      <c r="Q319" s="25" t="s">
        <v>979</v>
      </c>
      <c r="R319" s="25" t="s">
        <v>964</v>
      </c>
      <c r="S319" s="25" t="s">
        <v>1197</v>
      </c>
    </row>
    <row r="320" spans="1:24" ht="15" customHeight="1" ns3:dyDescent="0.25">
      <c r="A320" s="25" t="s">
        <v>1017</v>
      </c>
      <c r="B320" s="25" t="str">
        <f t="shared" si="23"/>
      </c>
      <c r="C320" s="25" t="s">
        <v>102</v>
      </c>
      <c r="D320" s="25" t="s">
        <v>17</v>
      </c>
      <c r="E320" s="25" t="s">
        <v>55</v>
      </c>
      <c r="F320" s="25" t="s">
        <v>1291</v>
      </c>
      <c r="G320" s="25" t="s">
        <v>117</v>
      </c>
      <c r="H320" s="25" t="str">
        <f>IFERROR(VLOOKUP(#REF!320,'정보화기기 명부'!A$2:B$187,2,FALSE),"")</f>
        <v/>
      </c>
      <c r="I320" s="125"/>
      <c r="J320" s="25"/>
      <c r="K320" s="25">
        <v>2020.11</v>
      </c>
      <c r="L320" s="128">
        <v>20130108</v>
      </c>
      <c r="M320" s="125">
        <v>1110000</v>
      </c>
      <c r="N320" s="25" t="s">
        <v>1186</v>
      </c>
      <c r="O320" s="162">
        <v>639</v>
      </c>
      <c r="P320" s="25" t="s">
        <v>1535</v>
      </c>
      <c r="Q320" s="25" t="s">
        <v>979</v>
      </c>
      <c r="R320" s="25" t="s">
        <v>964</v>
      </c>
      <c r="S320" s="25" t="s">
        <v>1197</v>
      </c>
    </row>
    <row r="321" spans="1:22" ht="15" customHeight="1" ns3:dyDescent="0.25">
      <c r="A321" s="25" t="s">
        <v>1014</v>
      </c>
      <c r="B321" s="25" t="str">
        <f t="shared" si="23"/>
      </c>
      <c r="C321" s="25" t="s">
        <v>102</v>
      </c>
      <c r="D321" s="25" t="s">
        <v>17</v>
      </c>
      <c r="E321" s="25" t="s">
        <v>55</v>
      </c>
      <c r="F321" s="25" t="s">
        <v>1291</v>
      </c>
      <c r="G321" s="25" t="s">
        <v>117</v>
      </c>
      <c r="H321" s="25" t="str">
        <f>IFERROR(VLOOKUP(#REF!321,'정보화기기 명부'!A$2:B$187,2,FALSE),"")</f>
        <v/>
      </c>
      <c r="I321" s="125"/>
      <c r="J321" s="25"/>
      <c r="K321" s="25">
        <v>2020.11</v>
      </c>
      <c r="L321" s="128">
        <v>20130108</v>
      </c>
      <c r="M321" s="125">
        <v>1110000</v>
      </c>
      <c r="N321" s="25" t="s">
        <v>1186</v>
      </c>
      <c r="O321" s="162">
        <v>638</v>
      </c>
      <c r="P321" s="25" t="s">
        <v>1535</v>
      </c>
      <c r="Q321" s="25" t="s">
        <v>979</v>
      </c>
      <c r="R321" s="25" t="s">
        <v>964</v>
      </c>
      <c r="S321" s="25" t="s">
        <v>1197</v>
      </c>
    </row>
    <row r="322" spans="1:22" ht="15" customHeight="1" ns3:dyDescent="0.25">
      <c r="A322" s="25" t="s">
        <v>1019</v>
      </c>
      <c r="B322" s="25" t="str">
        <f t="shared" si="23"/>
      </c>
      <c r="C322" s="25" t="s">
        <v>102</v>
      </c>
      <c r="D322" s="25" t="s">
        <v>17</v>
      </c>
      <c r="E322" s="25" t="s">
        <v>120</v>
      </c>
      <c r="F322" s="25" t="s">
        <v>1291</v>
      </c>
      <c r="G322" s="25" t="s">
        <v>117</v>
      </c>
      <c r="H322" s="25" t="str">
        <f>IFERROR(VLOOKUP(#REF!322,'정보화기기 명부'!A$2:B$187,2,FALSE),"")</f>
        <v>정보교육부</v>
      </c>
      <c r="I322" s="125"/>
      <c r="J322" s="25"/>
      <c r="K322" s="25">
        <v>2020.11</v>
      </c>
      <c r="L322" s="128">
        <v>20130108</v>
      </c>
      <c r="M322" s="125">
        <v>1110000</v>
      </c>
      <c r="N322" s="25" t="s">
        <v>1186</v>
      </c>
      <c r="O322" s="162">
        <v>637</v>
      </c>
      <c r="P322" s="25" t="s">
        <v>1535</v>
      </c>
      <c r="Q322" s="25" t="s">
        <v>979</v>
      </c>
      <c r="R322" s="25" t="s">
        <v>964</v>
      </c>
      <c r="S322" s="25" t="s">
        <v>1197</v>
      </c>
    </row>
    <row r="323" spans="1:22" ht="13.5" customHeight="1" ns3:dyDescent="0.25">
      <c r="A323" s="25" t="s">
        <v>1009</v>
      </c>
      <c r="B323" s="25" t="str">
        <f t="shared" si="23"/>
      </c>
      <c r="C323" s="25" t="s">
        <v>102</v>
      </c>
      <c r="D323" s="25" t="s">
        <v>17</v>
      </c>
      <c r="E323" s="25" t="s">
        <v>55</v>
      </c>
      <c r="F323" s="25" t="s">
        <v>1291</v>
      </c>
      <c r="G323" s="25" t="s">
        <v>117</v>
      </c>
      <c r="H323" s="25" t="str">
        <f>IFERROR(VLOOKUP(#REF!323,'정보화기기 명부'!A$2:B$187,2,FALSE),"")</f>
        <v/>
      </c>
      <c r="I323" s="125"/>
      <c r="J323" s="25"/>
      <c r="K323" s="25">
        <v>2020.07</v>
      </c>
      <c r="L323" s="25">
        <v>20130108</v>
      </c>
      <c r="M323" s="125">
        <v>1110000</v>
      </c>
      <c r="N323" s="25" t="s">
        <v>1186</v>
      </c>
      <c r="O323" s="162">
        <v>636</v>
      </c>
      <c r="P323" s="25" t="s">
        <v>1508</v>
      </c>
      <c r="Q323" s="25" t="s">
        <v>979</v>
      </c>
      <c r="R323" s="25" t="s">
        <v>964</v>
      </c>
      <c r="S323" s="25" t="s">
        <v>1197</v>
      </c>
    </row>
    <row r="324" spans="1:22" ht="13.5" customHeight="1" ns3:dyDescent="0.25">
      <c r="A324" s="25" t="s">
        <v>925</v>
      </c>
      <c r="B324" s="25" t="str">
        <f t="shared" si="23"/>
      </c>
      <c r="C324" s="25" t="s">
        <v>102</v>
      </c>
      <c r="D324" s="25" t="s">
        <v>17</v>
      </c>
      <c r="E324" s="25" t="s">
        <v>120</v>
      </c>
      <c r="F324" s="25" t="s">
        <v>1291</v>
      </c>
      <c r="G324" s="25" t="s">
        <v>117</v>
      </c>
      <c r="H324" s="25" t="str">
        <f>IFERROR(VLOOKUP(#REF!324,'정보화기기 명부'!A$2:B$187,2,FALSE),"")</f>
        <v/>
      </c>
      <c r="I324" s="125"/>
      <c r="J324" s="25"/>
      <c r="K324" s="25">
        <v>2020.07</v>
      </c>
      <c r="L324" s="25">
        <v>20130108</v>
      </c>
      <c r="M324" s="125">
        <v>1110000</v>
      </c>
      <c r="N324" s="25" t="s">
        <v>1186</v>
      </c>
      <c r="O324" s="162">
        <v>635</v>
      </c>
      <c r="P324" s="25" t="s">
        <v>1508</v>
      </c>
      <c r="Q324" s="25" t="s">
        <v>979</v>
      </c>
      <c r="R324" s="25" t="s">
        <v>964</v>
      </c>
      <c r="S324" s="25" t="s">
        <v>1197</v>
      </c>
      <c r="T324" t="inlineStr">
        <is>
          <t>O</t>
        </is>
      </c>
    </row>
    <row r="325" spans="1:22" ht="13.5" customHeight="1" ns3:dyDescent="0.25">
      <c r="A325" s="25" t="s">
        <v>932</v>
      </c>
      <c r="B325" s="25" t="str">
        <f t="shared" si="23"/>
      </c>
      <c r="C325" s="25" t="s">
        <v>102</v>
      </c>
      <c r="D325" s="25" t="s">
        <v>17</v>
      </c>
      <c r="E325" s="25" t="s">
        <v>120</v>
      </c>
      <c r="F325" s="25" t="s">
        <v>1291</v>
      </c>
      <c r="G325" s="25" t="s">
        <v>117</v>
      </c>
      <c r="H325" s="25" t="str">
        <f>IFERROR(VLOOKUP(#REF!325,'정보화기기 명부'!A$2:B$187,2,FALSE),"")</f>
        <v/>
      </c>
      <c r="I325" s="125"/>
      <c r="J325" s="25"/>
      <c r="K325" s="25">
        <v>2020.07</v>
      </c>
      <c r="L325" s="25">
        <v>20130108</v>
      </c>
      <c r="M325" s="125">
        <v>1110000</v>
      </c>
      <c r="N325" s="25" t="s">
        <v>1186</v>
      </c>
      <c r="O325" s="162">
        <v>634</v>
      </c>
      <c r="P325" s="25" t="s">
        <v>1508</v>
      </c>
      <c r="Q325" s="25" t="s">
        <v>979</v>
      </c>
      <c r="R325" s="25" t="s">
        <v>964</v>
      </c>
      <c r="S325" s="25" t="s">
        <v>1197</v>
      </c>
      <c r="T325" t="inlineStr">
        <is>
          <t>O</t>
        </is>
      </c>
    </row>
    <row r="326" spans="1:22" ht="13.5" customHeight="1" ns3:dyDescent="0.25">
      <c r="A326" s="25" t="s">
        <v>1657</v>
      </c>
      <c r="B326" s="25" t="str">
        <f t="shared" si="23"/>
      </c>
      <c r="C326" s="25" t="s">
        <v>102</v>
      </c>
      <c r="D326" s="25" t="s">
        <v>17</v>
      </c>
      <c r="E326" s="25" t="s">
        <v>55</v>
      </c>
      <c r="F326" s="25" t="s">
        <v>1291</v>
      </c>
      <c r="G326" s="25" t="s">
        <v>30</v>
      </c>
      <c r="H326" s="25" t="str">
        <f>IFERROR(VLOOKUP(#REF!326,'정보화기기 명부'!A$2:B$187,2,FALSE),"")</f>
        <v/>
      </c>
      <c r="I326" s="125"/>
      <c r="J326" s="25"/>
      <c r="K326" s="25">
        <v>2020.07</v>
      </c>
      <c r="L326" s="25">
        <v>20130108</v>
      </c>
      <c r="M326" s="125">
        <v>1110000</v>
      </c>
      <c r="N326" s="25" t="s">
        <v>1186</v>
      </c>
      <c r="O326" s="162">
        <v>633</v>
      </c>
      <c r="P326" s="25" t="s">
        <v>1508</v>
      </c>
      <c r="Q326" s="25" t="s">
        <v>979</v>
      </c>
      <c r="R326" s="25" t="s">
        <v>964</v>
      </c>
      <c r="S326" s="25" t="s">
        <v>1197</v>
      </c>
    </row>
    <row r="327" spans="1:22" ht="13.5" customHeight="1" ns3:dyDescent="0.25">
      <c r="A327" s="25" t="s">
        <v>1527</v>
      </c>
      <c r="B327" s="25" t="str">
        <f t="shared" si="23"/>
      </c>
      <c r="C327" s="25" t="s">
        <v>102</v>
      </c>
      <c r="D327" s="25" t="s">
        <v>17</v>
      </c>
      <c r="E327" s="25" t="s">
        <v>55</v>
      </c>
      <c r="F327" s="25" t="s">
        <v>1291</v>
      </c>
      <c r="G327" s="25" t="s">
        <v>117</v>
      </c>
      <c r="H327" s="25" t="str">
        <f>IFERROR(VLOOKUP(#REF!327,'정보화기기 명부'!A$2:B$187,2,FALSE),"")</f>
        <v/>
      </c>
      <c r="I327" s="125"/>
      <c r="J327" s="25"/>
      <c r="K327" s="25">
        <v>2020.07</v>
      </c>
      <c r="L327" s="25">
        <v>20130108</v>
      </c>
      <c r="M327" s="125">
        <v>1110000</v>
      </c>
      <c r="N327" s="25" t="s">
        <v>1186</v>
      </c>
      <c r="O327" s="162">
        <v>632</v>
      </c>
      <c r="P327" s="25" t="s">
        <v>1508</v>
      </c>
      <c r="Q327" s="25" t="s">
        <v>979</v>
      </c>
      <c r="R327" s="25" t="s">
        <v>964</v>
      </c>
      <c r="S327" s="25" t="s">
        <v>1197</v>
      </c>
      <c r="T327" t="inlineStr">
        <is>
          <t>O</t>
        </is>
      </c>
    </row>
    <row r="328" spans="1:22" ht="13.5" customHeight="1" ns3:dyDescent="0.25">
      <c r="A328" s="25" t="s">
        <v>1528</v>
      </c>
      <c r="B328" s="25" t="str">
        <f t="shared" si="23"/>
      </c>
      <c r="C328" s="25" t="s">
        <v>102</v>
      </c>
      <c r="D328" s="25" t="s">
        <v>17</v>
      </c>
      <c r="E328" s="25" t="s">
        <v>55</v>
      </c>
      <c r="F328" s="25" t="s">
        <v>1291</v>
      </c>
      <c r="G328" s="25" t="s">
        <v>117</v>
      </c>
      <c r="H328" s="25" t="str">
        <f>IFERROR(VLOOKUP(#REF!328,'정보화기기 명부'!A$2:B$187,2,FALSE),"")</f>
        <v/>
      </c>
      <c r="I328" s="125"/>
      <c r="J328" s="25"/>
      <c r="K328" s="25">
        <v>2020.07</v>
      </c>
      <c r="L328" s="25">
        <v>20130108</v>
      </c>
      <c r="M328" s="125">
        <v>1110000</v>
      </c>
      <c r="N328" s="25"/>
      <c r="O328" s="162">
        <v>631</v>
      </c>
      <c r="P328" s="25" t="s">
        <v>1508</v>
      </c>
      <c r="Q328" s="25" t="s">
        <v>979</v>
      </c>
      <c r="R328" s="25" t="s">
        <v>964</v>
      </c>
      <c r="S328" s="25" t="s">
        <v>1197</v>
      </c>
      <c r="T328" t="inlineStr">
        <is>
          <t>O</t>
        </is>
      </c>
    </row>
    <row r="329" spans="1:22" ht="13.5" customHeight="1" ns3:dyDescent="0.25">
      <c r="A329" s="25" t="s">
        <v>1030</v>
      </c>
      <c r="B329" s="25" t="str">
        <f t="shared" si="23"/>
      </c>
      <c r="C329" s="25" t="s">
        <v>102</v>
      </c>
      <c r="D329" s="25" t="s">
        <v>17</v>
      </c>
      <c r="E329" s="25" t="s">
        <v>120</v>
      </c>
      <c r="F329" s="25" t="s">
        <v>1298</v>
      </c>
      <c r="G329" s="25" t="s">
        <v>117</v>
      </c>
      <c r="H329" s="25" t="str">
        <f>IFERROR(VLOOKUP(#REF!329,'정보화기기 명부'!A$2:B$187,2,FALSE),"")</f>
        <v/>
      </c>
      <c r="I329" s="125"/>
      <c r="J329" s="25"/>
      <c r="K329" s="25">
        <v>2020.07</v>
      </c>
      <c r="L329" s="25">
        <v>20121128</v>
      </c>
      <c r="M329" s="125">
        <v>1110000</v>
      </c>
      <c r="N329" s="25" t="s">
        <v>1186</v>
      </c>
      <c r="O329" s="162">
        <v>630</v>
      </c>
      <c r="P329" s="25" t="s">
        <v>1508</v>
      </c>
      <c r="Q329" s="25" t="s">
        <v>979</v>
      </c>
      <c r="R329" s="25" t="s">
        <v>964</v>
      </c>
      <c r="S329" s="25" t="s">
        <v>1197</v>
      </c>
      <c r="T329" t="inlineStr">
        <is>
          <t>O</t>
        </is>
      </c>
    </row>
    <row r="330" spans="1:22" ht="13.5" customHeight="1" ns3:dyDescent="0.25">
      <c r="A330" s="25" t="s">
        <v>1504</v>
      </c>
      <c r="B330" s="25" t="str">
        <f t="shared" si="23"/>
      </c>
      <c r="C330" s="25" t="s">
        <v>102</v>
      </c>
      <c r="D330" s="25" t="s">
        <v>17</v>
      </c>
      <c r="E330" s="25" t="s">
        <v>55</v>
      </c>
      <c r="F330" s="25" t="s">
        <v>1298</v>
      </c>
      <c r="G330" s="25" t="s">
        <v>117</v>
      </c>
      <c r="H330" s="25" t="str">
        <f>IFERROR(VLOOKUP(#REF!330,'정보화기기 명부'!A$2:B$187,2,FALSE),"")</f>
        <v/>
      </c>
      <c r="I330" s="125"/>
      <c r="J330" s="25"/>
      <c r="K330" s="25">
        <v>2020.07</v>
      </c>
      <c r="L330" s="25">
        <v>20121128</v>
      </c>
      <c r="M330" s="125">
        <v>1110000</v>
      </c>
      <c r="N330" s="25" t="s">
        <v>1186</v>
      </c>
      <c r="O330" s="162">
        <v>629</v>
      </c>
      <c r="P330" s="25" t="s">
        <v>1508</v>
      </c>
      <c r="Q330" s="25" t="s">
        <v>979</v>
      </c>
      <c r="R330" s="25" t="s">
        <v>964</v>
      </c>
      <c r="S330" s="25" t="s">
        <v>1197</v>
      </c>
      <c r="T330" t="inlineStr">
        <is>
          <t>O</t>
        </is>
      </c>
    </row>
    <row r="331" spans="1:22" ht="13.5" customHeight="1" ns3:dyDescent="0.25">
      <c r="A331" s="25" t="s">
        <v>1507</v>
      </c>
      <c r="B331" s="25" t="str">
        <f t="shared" si="23"/>
      </c>
      <c r="C331" s="25" t="s">
        <v>102</v>
      </c>
      <c r="D331" s="25" t="s">
        <v>17</v>
      </c>
      <c r="E331" s="25" t="s">
        <v>55</v>
      </c>
      <c r="F331" s="25" t="s">
        <v>1298</v>
      </c>
      <c r="G331" s="25" t="s">
        <v>117</v>
      </c>
      <c r="H331" s="25" t="str">
        <f>IFERROR(VLOOKUP(#REF!331,'정보화기기 명부'!A$2:B$187,2,FALSE),"")</f>
        <v/>
      </c>
      <c r="I331" s="125"/>
      <c r="J331" s="25"/>
      <c r="K331" s="25">
        <v>2020.07</v>
      </c>
      <c r="L331" s="25">
        <v>20121128</v>
      </c>
      <c r="M331" s="125">
        <v>1110000</v>
      </c>
      <c r="N331" s="25" t="s">
        <v>1186</v>
      </c>
      <c r="O331" s="162">
        <v>628</v>
      </c>
      <c r="P331" s="25" t="s">
        <v>1508</v>
      </c>
      <c r="Q331" s="25" t="s">
        <v>979</v>
      </c>
      <c r="R331" s="25" t="s">
        <v>964</v>
      </c>
      <c r="S331" s="25" t="s">
        <v>1197</v>
      </c>
      <c r="T331" t="inlineStr">
        <is>
          <t>O</t>
        </is>
      </c>
    </row>
    <row r="332" spans="1:22" ht="13.5" customHeight="1" ns3:dyDescent="0.25">
      <c r="A332" s="25" t="s">
        <v>1517</v>
      </c>
      <c r="B332" s="25" t="str">
        <f t="shared" si="23"/>
      </c>
      <c r="C332" s="25" t="s">
        <v>102</v>
      </c>
      <c r="D332" s="25" t="s">
        <v>17</v>
      </c>
      <c r="E332" s="25" t="s">
        <v>55</v>
      </c>
      <c r="F332" s="25" t="s">
        <v>1298</v>
      </c>
      <c r="G332" s="25" t="s">
        <v>117</v>
      </c>
      <c r="H332" s="25" t="str">
        <f>IFERROR(VLOOKUP(#REF!332,'정보화기기 명부'!A$2:B$187,2,FALSE),"")</f>
        <v/>
      </c>
      <c r="I332" s="125"/>
      <c r="J332" s="25"/>
      <c r="K332" s="25">
        <v>2020.07</v>
      </c>
      <c r="L332" s="25">
        <v>20120827</v>
      </c>
      <c r="M332" s="125">
        <v>1120000</v>
      </c>
      <c r="N332" s="25" t="s">
        <v>1186</v>
      </c>
      <c r="O332" s="162">
        <v>578</v>
      </c>
      <c r="P332" s="25" t="s">
        <v>1508</v>
      </c>
      <c r="Q332" s="25" t="s">
        <v>979</v>
      </c>
      <c r="R332" s="25" t="s">
        <v>964</v>
      </c>
      <c r="S332" s="25" t="s">
        <v>1197</v>
      </c>
      <c r="T332" t="inlineStr">
        <is>
          <t>O</t>
        </is>
      </c>
    </row>
    <row r="333" spans="1:22" ht="13.5" customHeight="1" ns3:dyDescent="0.25">
      <c r="A333" s="25" t="s">
        <v>1502</v>
      </c>
      <c r="B333" s="25" t="str">
        <f t="shared" si="23"/>
      </c>
      <c r="C333" s="25" t="s">
        <v>102</v>
      </c>
      <c r="D333" s="25" t="s">
        <v>17</v>
      </c>
      <c r="E333" s="25" t="s">
        <v>55</v>
      </c>
      <c r="F333" s="25" t="s">
        <v>1298</v>
      </c>
      <c r="G333" s="25" t="s">
        <v>117</v>
      </c>
      <c r="H333" s="25" t="str">
        <f>IFERROR(VLOOKUP(#REF!333,'정보화기기 명부'!A$2:B$187,2,FALSE),"")</f>
        <v/>
      </c>
      <c r="I333" s="125"/>
      <c r="J333" s="25"/>
      <c r="K333" s="25">
        <v>2020.07</v>
      </c>
      <c r="L333" s="25">
        <v>20120827</v>
      </c>
      <c r="M333" s="125">
        <v>1120000</v>
      </c>
      <c r="N333" s="25" t="s">
        <v>1186</v>
      </c>
      <c r="O333" s="162">
        <v>577</v>
      </c>
      <c r="P333" s="25" t="s">
        <v>1508</v>
      </c>
      <c r="Q333" s="25" t="s">
        <v>979</v>
      </c>
      <c r="R333" s="25" t="s">
        <v>964</v>
      </c>
      <c r="S333" s="25" t="s">
        <v>1197</v>
      </c>
      <c r="T333" t="inlineStr">
        <is>
          <t>O</t>
        </is>
      </c>
    </row>
    <row r="334" spans="1:22" ht="13.5" customHeight="1" ns3:dyDescent="0.25">
      <c r="A334" s="25" t="s">
        <v>1518</v>
      </c>
      <c r="B334" s="25" t="str">
        <f t="shared" si="23"/>
      </c>
      <c r="C334" s="25" t="s">
        <v>102</v>
      </c>
      <c r="D334" s="25" t="s">
        <v>17</v>
      </c>
      <c r="E334" s="25" t="s">
        <v>55</v>
      </c>
      <c r="F334" s="119" t="s">
        <v>1298</v>
      </c>
      <c r="G334" s="25" t="s">
        <v>117</v>
      </c>
      <c r="H334" s="25" t="str">
        <f>IFERROR(VLOOKUP(#REF!334,'정보화기기 명부'!A$2:B$187,2,FALSE),"")</f>
        <v/>
      </c>
      <c r="I334" s="125"/>
      <c r="J334" s="25"/>
      <c r="K334" s="25">
        <v>2020.07</v>
      </c>
      <c r="L334" s="25">
        <v>20120827</v>
      </c>
      <c r="M334" s="125">
        <v>1120000</v>
      </c>
      <c r="N334" s="25" t="s">
        <v>1186</v>
      </c>
      <c r="O334" s="162">
        <v>576</v>
      </c>
      <c r="P334" s="25" t="s">
        <v>1508</v>
      </c>
      <c r="Q334" s="25" t="s">
        <v>979</v>
      </c>
      <c r="R334" s="25" t="s">
        <v>964</v>
      </c>
      <c r="S334" s="25" t="s">
        <v>1197</v>
      </c>
      <c r="T334" t="inlineStr">
        <is>
          <t>O</t>
        </is>
      </c>
    </row>
    <row r="335" spans="1:22" ht="13.5" customHeight="1" ns3:dyDescent="0.25">
      <c r="A335" s="25" t="s">
        <v>1505</v>
      </c>
      <c r="B335" s="25" t="str">
        <f t="shared" si="23"/>
      </c>
      <c r="C335" s="25" t="s">
        <v>102</v>
      </c>
      <c r="D335" s="25" t="s">
        <v>17</v>
      </c>
      <c r="E335" s="25" t="s">
        <v>55</v>
      </c>
      <c r="F335" s="25" t="s">
        <v>1298</v>
      </c>
      <c r="G335" s="25" t="s">
        <v>117</v>
      </c>
      <c r="H335" s="25" t="str">
        <f>IFERROR(VLOOKUP(#REF!335,'정보화기기 명부'!A$2:B$187,2,FALSE),"")</f>
        <v/>
      </c>
      <c r="I335" s="125"/>
      <c r="J335" s="25"/>
      <c r="K335" s="25">
        <v>2020.07</v>
      </c>
      <c r="L335" s="25">
        <v>20120827</v>
      </c>
      <c r="M335" s="125">
        <v>1120000</v>
      </c>
      <c r="N335" s="25" t="s">
        <v>1186</v>
      </c>
      <c r="O335" s="162">
        <v>575</v>
      </c>
      <c r="P335" s="25" t="s">
        <v>1508</v>
      </c>
      <c r="Q335" s="25" t="s">
        <v>979</v>
      </c>
      <c r="R335" s="25" t="s">
        <v>964</v>
      </c>
      <c r="S335" s="25" t="s">
        <v>1197</v>
      </c>
      <c r="T335" t="inlineStr">
        <is>
          <t>O</t>
        </is>
      </c>
    </row>
    <row r="336" spans="1:22" ht="13.5" customHeight="1" ns3:dyDescent="0.25">
      <c r="A336" s="25" t="s">
        <v>1007</v>
      </c>
      <c r="B336" s="25" t="str">
        <f t="shared" si="23"/>
      </c>
      <c r="C336" s="25" t="s">
        <v>102</v>
      </c>
      <c r="D336" s="25" t="s">
        <v>17</v>
      </c>
      <c r="E336" s="25" t="s">
        <v>120</v>
      </c>
      <c r="F336" s="25" t="s">
        <v>1298</v>
      </c>
      <c r="G336" s="25" t="s">
        <v>117</v>
      </c>
      <c r="H336" s="25" t="str">
        <f>IFERROR(VLOOKUP(#REF!336,'정보화기기 명부'!A$2:B$187,2,FALSE),"")</f>
        <v/>
      </c>
      <c r="I336" s="125"/>
      <c r="J336" s="25"/>
      <c r="K336" s="25">
        <v>2020.07</v>
      </c>
      <c r="L336" s="25">
        <v>20120827</v>
      </c>
      <c r="M336" s="125">
        <v>1120000</v>
      </c>
      <c r="N336" s="25" t="s">
        <v>1186</v>
      </c>
      <c r="O336" s="162">
        <v>574</v>
      </c>
      <c r="P336" s="25" t="s">
        <v>1508</v>
      </c>
      <c r="Q336" s="25" t="s">
        <v>979</v>
      </c>
      <c r="R336" s="25" t="s">
        <v>964</v>
      </c>
      <c r="S336" s="25" t="s">
        <v>1197</v>
      </c>
      <c r="T336" t="inlineStr">
        <is>
          <t>O</t>
        </is>
      </c>
    </row>
    <row r="337" spans="1:22" s="14" customFormat="1" ht="13.5" customHeight="1" ns3:dyDescent="0.25">
      <c r="A337" s="13" t="s">
        <v>1006</v>
      </c>
      <c r="B337" s="25" t="str">
        <f t="shared" si="23"/>
      </c>
      <c r="C337" s="13" t="s">
        <v>102</v>
      </c>
      <c r="D337" s="13" t="s">
        <v>17</v>
      </c>
      <c r="E337" s="13" t="s">
        <v>55</v>
      </c>
      <c r="F337" s="13" t="s">
        <v>1298</v>
      </c>
      <c r="G337" s="13" t="s">
        <v>117</v>
      </c>
      <c r="H337" s="13" t="str">
        <f>IFERROR(VLOOKUP(#REF!337,'정보화기기 명부'!A$2:B$187,2,FALSE),"")</f>
        <v/>
      </c>
      <c r="I337" s="22"/>
      <c r="J337" s="13" t="s">
        <v>938</v>
      </c>
      <c r="K337" s="13"/>
      <c r="L337" s="13">
        <v>20120827</v>
      </c>
      <c r="M337" s="22">
        <v>1120000</v>
      </c>
      <c r="N337" s="13" t="s">
        <v>1186</v>
      </c>
      <c r="O337" s="208">
        <v>572</v>
      </c>
      <c r="P337" s="13" t="s">
        <v>1508</v>
      </c>
      <c r="Q337" s="13" t="s">
        <v>979</v>
      </c>
      <c r="R337" s="13" t="s">
        <v>1005</v>
      </c>
      <c r="S337" s="13" t="s">
        <v>194</v>
      </c>
    </row>
    <row r="338" spans="1:22" ht="15" hidden="1" customHeight="1" ns3:dyDescent="0.25">
      <c r="A338" s="25" t="s">
        <v>985</v>
      </c>
      <c r="B338" s="25" t="str">
        <f t="shared" si="23"/>
      </c>
      <c r="C338" s="25" t="s">
        <v>1147</v>
      </c>
      <c r="D338" s="25" t="s">
        <v>17</v>
      </c>
      <c r="E338" s="25" t="s">
        <v>120</v>
      </c>
      <c r="F338" s="25" t="s">
        <v>1255</v>
      </c>
      <c r="G338" s="25" t="s">
        <v>117</v>
      </c>
      <c r="H338" s="25" t="str">
        <f>IFERROR(VLOOKUP(#REF!338,'정보화기기 명부'!A$2:B$187,2,FALSE),"")</f>
        <v/>
      </c>
      <c r="I338" s="125"/>
      <c r="J338" s="25"/>
      <c r="K338" s="25" t="s">
        <v>1532</v>
      </c>
      <c r="L338" s="128">
        <v>20120524</v>
      </c>
      <c r="M338" s="125">
        <v>611100</v>
      </c>
      <c r="N338" s="25" t="s">
        <v>1191</v>
      </c>
      <c r="O338" s="162">
        <v>653</v>
      </c>
      <c r="P338" s="25" t="s">
        <v>1535</v>
      </c>
      <c r="Q338" s="25" t="s">
        <v>972</v>
      </c>
      <c r="R338" s="25" t="s">
        <v>970</v>
      </c>
      <c r="S338" s="25" t="s">
        <v>910</v>
      </c>
    </row>
    <row r="339" spans="1:22" ht="15" hidden="1" customHeight="1" ns3:dyDescent="0.25">
      <c r="A339" s="25" t="s">
        <v>1016</v>
      </c>
      <c r="B339" s="25" t="str">
        <f t="shared" si="23"/>
      </c>
      <c r="C339" s="25" t="s">
        <v>1147</v>
      </c>
      <c r="D339" s="25" t="s">
        <v>17</v>
      </c>
      <c r="E339" s="25" t="s">
        <v>120</v>
      </c>
      <c r="F339" s="25" t="s">
        <v>1255</v>
      </c>
      <c r="G339" s="25" t="s">
        <v>117</v>
      </c>
      <c r="H339" s="25" t="str">
        <f>IFERROR(VLOOKUP(#REF!339,'정보화기기 명부'!A$2:B$187,2,FALSE),"")</f>
        <v/>
      </c>
      <c r="I339" s="125"/>
      <c r="J339" s="25"/>
      <c r="K339" s="25" t="s">
        <v>1532</v>
      </c>
      <c r="L339" s="128">
        <v>20120524</v>
      </c>
      <c r="M339" s="125">
        <v>611100</v>
      </c>
      <c r="N339" s="25" t="s">
        <v>1191</v>
      </c>
      <c r="O339" s="162">
        <v>652</v>
      </c>
      <c r="P339" s="25" t="s">
        <v>1535</v>
      </c>
      <c r="Q339" s="25" t="s">
        <v>972</v>
      </c>
      <c r="R339" s="25" t="s">
        <v>970</v>
      </c>
      <c r="S339" s="25" t="s">
        <v>910</v>
      </c>
    </row>
    <row r="340" spans="1:22" ht="15" hidden="1" customHeight="1" ns3:dyDescent="0.25">
      <c r="A340" s="25" t="s">
        <v>1531</v>
      </c>
      <c r="B340" s="25" t="str">
        <f t="shared" si="23"/>
      </c>
      <c r="C340" s="25" t="s">
        <v>1147</v>
      </c>
      <c r="D340" s="25" t="s">
        <v>17</v>
      </c>
      <c r="E340" s="25" t="s">
        <v>120</v>
      </c>
      <c r="F340" s="25" t="s">
        <v>1255</v>
      </c>
      <c r="G340" s="25" t="s">
        <v>117</v>
      </c>
      <c r="H340" s="25" t="str">
        <f>IFERROR(VLOOKUP(#REF!340,'정보화기기 명부'!A$2:B$187,2,FALSE),"")</f>
        <v/>
      </c>
      <c r="I340" s="125"/>
      <c r="J340" s="25"/>
      <c r="K340" s="25" t="s">
        <v>1532</v>
      </c>
      <c r="L340" s="128">
        <v>20120524</v>
      </c>
      <c r="M340" s="125">
        <v>611100</v>
      </c>
      <c r="N340" s="25" t="s">
        <v>1191</v>
      </c>
      <c r="O340" s="162">
        <v>651</v>
      </c>
      <c r="P340" s="25" t="s">
        <v>1535</v>
      </c>
      <c r="Q340" s="25" t="s">
        <v>972</v>
      </c>
      <c r="R340" s="25" t="s">
        <v>970</v>
      </c>
      <c r="S340" s="25" t="s">
        <v>910</v>
      </c>
    </row>
    <row r="341" spans="1:22" ht="15" hidden="1" customHeight="1" ns3:dyDescent="0.25">
      <c r="A341" s="25" t="s">
        <v>458</v>
      </c>
      <c r="B341" s="25" t="str">
        <f t="shared" si="23"/>
      </c>
      <c r="C341" s="25" t="s">
        <v>1147</v>
      </c>
      <c r="D341" s="25" t="s">
        <v>17</v>
      </c>
      <c r="E341" s="25" t="s">
        <v>120</v>
      </c>
      <c r="F341" s="25" t="s">
        <v>1255</v>
      </c>
      <c r="G341" s="25" t="s">
        <v>117</v>
      </c>
      <c r="H341" s="25" t="str">
        <f>IFERROR(VLOOKUP(#REF!341,'정보화기기 명부'!A$2:B$187,2,FALSE),"")</f>
        <v/>
      </c>
      <c r="I341" s="125"/>
      <c r="J341" s="25"/>
      <c r="K341" s="25" t="s">
        <v>1532</v>
      </c>
      <c r="L341" s="128">
        <v>20120524</v>
      </c>
      <c r="M341" s="125">
        <v>611100</v>
      </c>
      <c r="N341" s="25" t="s">
        <v>1191</v>
      </c>
      <c r="O341" s="162">
        <v>650</v>
      </c>
      <c r="P341" s="25" t="s">
        <v>1535</v>
      </c>
      <c r="Q341" s="25" t="s">
        <v>972</v>
      </c>
      <c r="R341" s="25" t="s">
        <v>970</v>
      </c>
      <c r="S341" s="25" t="s">
        <v>910</v>
      </c>
    </row>
    <row r="342" spans="1:22" ht="13.5" hidden="1" customHeight="1" ns3:dyDescent="0.25">
      <c r="A342" s="25" t="s">
        <v>1526</v>
      </c>
      <c r="B342" s="25" t="str">
        <f t="shared" si="23"/>
      </c>
      <c r="C342" s="25" t="s">
        <v>1147</v>
      </c>
      <c r="D342" s="25" t="s">
        <v>17</v>
      </c>
      <c r="E342" s="25" t="s">
        <v>120</v>
      </c>
      <c r="F342" s="25" t="s">
        <v>1255</v>
      </c>
      <c r="G342" s="25" t="s">
        <v>117</v>
      </c>
      <c r="H342" s="25" t="str">
        <f>IFERROR(VLOOKUP(#REF!342,'정보화기기 명부'!A$2:B$187,2,FALSE),"")</f>
        <v/>
      </c>
      <c r="I342" s="125"/>
      <c r="J342" s="25"/>
      <c r="K342" s="25" t="s">
        <v>1523</v>
      </c>
      <c r="L342" s="25">
        <v>20120524</v>
      </c>
      <c r="M342" s="125">
        <v>611100</v>
      </c>
      <c r="N342" s="25" t="s">
        <v>1191</v>
      </c>
      <c r="O342" s="162">
        <v>649</v>
      </c>
      <c r="P342" s="25" t="s">
        <v>1508</v>
      </c>
      <c r="Q342" s="25" t="s">
        <v>972</v>
      </c>
      <c r="R342" s="25" t="s">
        <v>970</v>
      </c>
      <c r="S342" s="25" t="s">
        <v>910</v>
      </c>
      <c r="T342" t="inlineStr">
        <is>
          <t>O</t>
        </is>
      </c>
    </row>
    <row r="343" spans="1:22" ht="15" hidden="1" customHeight="1" ns3:dyDescent="0.25">
      <c r="A343" s="25" t="s">
        <v>955</v>
      </c>
      <c r="B343" s="25" t="str">
        <f t="shared" si="23"/>
      </c>
      <c r="C343" s="25" t="s">
        <v>1147</v>
      </c>
      <c r="D343" s="25" t="s">
        <v>17</v>
      </c>
      <c r="E343" s="25" t="s">
        <v>104</v>
      </c>
      <c r="F343" s="25" t="s">
        <v>1012</v>
      </c>
      <c r="G343" s="25" t="s">
        <v>117</v>
      </c>
      <c r="H343" s="25" t="str">
        <f>IFERROR(VLOOKUP(#REF!343,'정보화기기 명부'!A$2:B$187,2,FALSE),"")</f>
        <v>정보교육부</v>
      </c>
      <c r="I343" s="125"/>
      <c r="J343" s="25"/>
      <c r="K343" s="25">
        <v>2020.11</v>
      </c>
      <c r="L343" s="128">
        <v>20120522</v>
      </c>
      <c r="M343" s="125">
        <v>611100</v>
      </c>
      <c r="N343" s="25" t="s">
        <v>1191</v>
      </c>
      <c r="O343" s="162">
        <v>648</v>
      </c>
      <c r="P343" s="25" t="s">
        <v>1535</v>
      </c>
      <c r="Q343" s="25" t="s">
        <v>907</v>
      </c>
      <c r="R343" s="25" t="s">
        <v>1022</v>
      </c>
      <c r="S343" s="25" t="s">
        <v>957</v>
      </c>
    </row>
    <row r="344" spans="1:22" ht="13.5" hidden="1" customHeight="1" ns3:dyDescent="0.25">
      <c r="A344" s="25" t="s">
        <v>1207</v>
      </c>
      <c r="B344" s="25" t="str">
        <f t="shared" si="23"/>
      </c>
      <c r="C344" s="25" t="s">
        <v>1147</v>
      </c>
      <c r="D344" s="25" t="s">
        <v>17</v>
      </c>
      <c r="E344" s="25" t="s">
        <v>8</v>
      </c>
      <c r="F344" s="25" t="s">
        <v>1638</v>
      </c>
      <c r="G344" s="25" t="s">
        <v>10</v>
      </c>
      <c r="H344" s="25" t="str">
        <f>IFERROR(VLOOKUP(#REF!344,'정보화기기 명부'!A$2:B$187,2,FALSE),"")</f>
        <v>소강당</v>
      </c>
      <c r="I344" s="125"/>
      <c r="J344" s="25"/>
      <c r="K344" s="25"/>
      <c r="L344" s="25">
        <v>20120113</v>
      </c>
      <c r="M344" s="125">
        <v>954617</v>
      </c>
      <c r="N344" s="25" t="s">
        <v>1193</v>
      </c>
      <c r="O344" s="162">
        <v>627</v>
      </c>
      <c r="P344" s="25" t="s">
        <v>1508</v>
      </c>
      <c r="Q344" s="25" t="s">
        <v>907</v>
      </c>
      <c r="R344" s="25" t="s">
        <v>1005</v>
      </c>
      <c r="S344" s="25" t="s">
        <v>152</v>
      </c>
    </row>
    <row r="345" spans="1:22" ht="13.5" hidden="1" customHeight="1" ns3:dyDescent="0.25">
      <c r="A345" s="25" t="s">
        <v>971</v>
      </c>
      <c r="B345" s="25" t="str">
        <f t="shared" si="23"/>
      </c>
      <c r="C345" s="25" t="s">
        <v>1147</v>
      </c>
      <c r="D345" s="25" t="s">
        <v>17</v>
      </c>
      <c r="E345" s="25" t="s">
        <v>8</v>
      </c>
      <c r="F345" s="25" t="s">
        <v>1638</v>
      </c>
      <c r="G345" s="25" t="s">
        <v>10</v>
      </c>
      <c r="H345" s="25" t="str">
        <f>IFERROR(VLOOKUP(#REF!345,'정보화기기 명부'!A$2:B$187,2,FALSE),"")</f>
        <v/>
      </c>
      <c r="I345" s="125"/>
      <c r="J345" s="25"/>
      <c r="K345" s="25">
        <v>2020.07</v>
      </c>
      <c r="L345" s="25">
        <v>20120113</v>
      </c>
      <c r="M345" s="125">
        <v>954617</v>
      </c>
      <c r="N345" s="25" t="s">
        <v>1193</v>
      </c>
      <c r="O345" s="162">
        <v>626</v>
      </c>
      <c r="P345" s="25" t="s">
        <v>1508</v>
      </c>
      <c r="Q345" s="25" t="s">
        <v>907</v>
      </c>
      <c r="R345" s="25" t="s">
        <v>964</v>
      </c>
      <c r="S345" s="25" t="s">
        <v>1015</v>
      </c>
    </row>
    <row r="346" spans="1:22" ht="13.5" hidden="1" customHeight="1" ns3:dyDescent="0.25">
      <c r="A346" s="25" t="s">
        <v>975</v>
      </c>
      <c r="B346" s="25" t="str">
        <f t="shared" si="23"/>
      </c>
      <c r="C346" s="25" t="s">
        <v>1147</v>
      </c>
      <c r="D346" s="25" t="s">
        <v>17</v>
      </c>
      <c r="E346" s="25" t="s">
        <v>55</v>
      </c>
      <c r="F346" s="25" t="s">
        <v>1638</v>
      </c>
      <c r="G346" s="25" t="s">
        <v>10</v>
      </c>
      <c r="H346" s="25" t="str">
        <f>IFERROR(VLOOKUP(#REF!346,'정보화기기 명부'!A$2:B$187,2,FALSE),"")</f>
        <v/>
      </c>
      <c r="I346" s="125"/>
      <c r="J346" s="25" t="s">
        <v>938</v>
      </c>
      <c r="K346" s="25"/>
      <c r="L346" s="25">
        <v>20120113</v>
      </c>
      <c r="M346" s="125">
        <v>954617</v>
      </c>
      <c r="N346" s="25" t="s">
        <v>1193</v>
      </c>
      <c r="O346" s="162">
        <v>625</v>
      </c>
      <c r="P346" s="90" t="s">
        <v>104</v>
      </c>
      <c r="Q346" s="25" t="s">
        <v>907</v>
      </c>
      <c r="R346" s="25" t="s">
        <v>964</v>
      </c>
      <c r="S346" s="25" t="s">
        <v>1015</v>
      </c>
    </row>
    <row r="347" spans="1:22" ht="13.5" hidden="1" customHeight="1" ns3:dyDescent="0.25">
      <c r="A347" s="25" t="s">
        <v>1027</v>
      </c>
      <c r="B347" s="25" t="str">
        <f t="shared" si="23"/>
      </c>
      <c r="C347" s="25" t="s">
        <v>1147</v>
      </c>
      <c r="D347" s="25" t="s">
        <v>17</v>
      </c>
      <c r="E347" s="25" t="s">
        <v>55</v>
      </c>
      <c r="F347" s="25" t="s">
        <v>1638</v>
      </c>
      <c r="G347" s="25" t="s">
        <v>10</v>
      </c>
      <c r="H347" s="25" t="str">
        <f>IFERROR(VLOOKUP(#REF!347,'정보화기기 명부'!A$2:B$187,2,FALSE),"")</f>
        <v/>
      </c>
      <c r="I347" s="125"/>
      <c r="J347" s="25" t="s">
        <v>938</v>
      </c>
      <c r="K347" s="25"/>
      <c r="L347" s="25">
        <v>20120113</v>
      </c>
      <c r="M347" s="125">
        <v>954617</v>
      </c>
      <c r="N347" s="25" t="s">
        <v>1193</v>
      </c>
      <c r="O347" s="162">
        <v>624</v>
      </c>
      <c r="P347" s="25" t="s">
        <v>1508</v>
      </c>
      <c r="Q347" s="25" t="s">
        <v>907</v>
      </c>
      <c r="R347" s="25" t="s">
        <v>964</v>
      </c>
      <c r="S347" s="25" t="s">
        <v>1015</v>
      </c>
    </row>
    <row r="348" spans="1:22" ht="13.5" hidden="1" customHeight="1" ns3:dyDescent="0.25">
      <c r="A348" s="25" t="s">
        <v>996</v>
      </c>
      <c r="B348" s="25" t="str">
        <f t="shared" si="23"/>
      </c>
      <c r="C348" s="25" t="s">
        <v>1147</v>
      </c>
      <c r="D348" s="25" t="s">
        <v>17</v>
      </c>
      <c r="E348" s="25" t="s">
        <v>55</v>
      </c>
      <c r="F348" s="25" t="s">
        <v>1638</v>
      </c>
      <c r="G348" s="25" t="s">
        <v>10</v>
      </c>
      <c r="H348" s="25" t="str">
        <f>IFERROR(VLOOKUP(#REF!348,'정보화기기 명부'!A$2:B$187,2,FALSE),"")</f>
        <v/>
      </c>
      <c r="I348" s="125"/>
      <c r="J348" s="25" t="s">
        <v>938</v>
      </c>
      <c r="K348" s="25"/>
      <c r="L348" s="25">
        <v>20120113</v>
      </c>
      <c r="M348" s="125">
        <v>954617</v>
      </c>
      <c r="N348" s="25" t="s">
        <v>1193</v>
      </c>
      <c r="O348" s="162">
        <v>623</v>
      </c>
      <c r="P348" s="25" t="s">
        <v>1508</v>
      </c>
      <c r="Q348" s="25" t="s">
        <v>907</v>
      </c>
      <c r="R348" s="25" t="s">
        <v>964</v>
      </c>
      <c r="S348" s="25" t="s">
        <v>1015</v>
      </c>
    </row>
    <row r="349" spans="1:22" ht="13.5" hidden="1" customHeight="1" ns3:dyDescent="0.25">
      <c r="A349" s="25" t="s">
        <v>1530</v>
      </c>
      <c r="B349" s="25" t="str">
        <f t="shared" si="23"/>
      </c>
      <c r="C349" s="25" t="s">
        <v>1147</v>
      </c>
      <c r="D349" s="25" t="s">
        <v>17</v>
      </c>
      <c r="E349" s="25" t="s">
        <v>8</v>
      </c>
      <c r="F349" s="25" t="s">
        <v>1638</v>
      </c>
      <c r="G349" s="25" t="s">
        <v>10</v>
      </c>
      <c r="H349" s="25" t="str">
        <f>IFERROR(VLOOKUP(#REF!349,'정보화기기 명부'!A$2:B$187,2,FALSE),"")</f>
        <v/>
      </c>
      <c r="I349" s="125"/>
      <c r="J349" s="25"/>
      <c r="K349" s="25">
        <v>2020.07</v>
      </c>
      <c r="L349" s="25">
        <v>20120113</v>
      </c>
      <c r="M349" s="125">
        <v>954617</v>
      </c>
      <c r="N349" s="25" t="s">
        <v>1186</v>
      </c>
      <c r="O349" s="162">
        <v>622</v>
      </c>
      <c r="P349" s="25" t="s">
        <v>1508</v>
      </c>
      <c r="Q349" s="25" t="s">
        <v>907</v>
      </c>
      <c r="R349" s="25" t="s">
        <v>964</v>
      </c>
      <c r="S349" s="25" t="s">
        <v>1015</v>
      </c>
      <c r="T349" t="inlineStr">
        <is>
          <t>O</t>
        </is>
      </c>
    </row>
    <row r="350" spans="1:22" ht="13.5" hidden="1" customHeight="1" ns3:dyDescent="0.25">
      <c r="A350" s="25" t="s">
        <v>988</v>
      </c>
      <c r="B350" s="25" t="str">
        <f t="shared" si="23"/>
      </c>
      <c r="C350" s="25" t="s">
        <v>1147</v>
      </c>
      <c r="D350" s="25" t="s">
        <v>17</v>
      </c>
      <c r="E350" s="25" t="s">
        <v>55</v>
      </c>
      <c r="F350" s="25" t="s">
        <v>1638</v>
      </c>
      <c r="G350" s="25" t="s">
        <v>10</v>
      </c>
      <c r="H350" s="25" t="str">
        <f>IFERROR(VLOOKUP(#REF!350,'정보화기기 명부'!A$2:B$187,2,FALSE),"")</f>
        <v/>
      </c>
      <c r="I350" s="125"/>
      <c r="J350" s="25" t="s">
        <v>938</v>
      </c>
      <c r="K350" s="25"/>
      <c r="L350" s="25">
        <v>20120113</v>
      </c>
      <c r="M350" s="125">
        <v>954617</v>
      </c>
      <c r="N350" s="25" t="s">
        <v>1193</v>
      </c>
      <c r="O350" s="162">
        <v>621</v>
      </c>
      <c r="P350" s="25" t="s">
        <v>1508</v>
      </c>
      <c r="Q350" s="25" t="s">
        <v>907</v>
      </c>
      <c r="R350" s="25" t="s">
        <v>964</v>
      </c>
      <c r="S350" s="25" t="s">
        <v>1015</v>
      </c>
    </row>
    <row r="351" spans="1:22" ht="13.5" hidden="1" customHeight="1" ns3:dyDescent="0.25">
      <c r="A351" s="25" t="s">
        <v>997</v>
      </c>
      <c r="B351" s="25" t="str">
        <f t="shared" si="23"/>
      </c>
      <c r="C351" s="25" t="s">
        <v>1147</v>
      </c>
      <c r="D351" s="25" t="s">
        <v>17</v>
      </c>
      <c r="E351" s="25" t="s">
        <v>55</v>
      </c>
      <c r="F351" s="25" t="s">
        <v>1638</v>
      </c>
      <c r="G351" s="25" t="s">
        <v>10</v>
      </c>
      <c r="H351" s="25" t="str">
        <f>IFERROR(VLOOKUP(#REF!351,'정보화기기 명부'!A$2:B$187,2,FALSE),"")</f>
        <v/>
      </c>
      <c r="I351" s="125"/>
      <c r="J351" s="25" t="s">
        <v>938</v>
      </c>
      <c r="K351" s="25"/>
      <c r="L351" s="25">
        <v>20120113</v>
      </c>
      <c r="M351" s="125">
        <v>954617</v>
      </c>
      <c r="N351" s="25" t="s">
        <v>1193</v>
      </c>
      <c r="O351" s="162">
        <v>620</v>
      </c>
      <c r="P351" s="25" t="s">
        <v>1508</v>
      </c>
      <c r="Q351" s="25" t="s">
        <v>907</v>
      </c>
      <c r="R351" s="25" t="s">
        <v>964</v>
      </c>
      <c r="S351" s="25" t="s">
        <v>1015</v>
      </c>
    </row>
    <row r="352" spans="1:22" ht="13.5" hidden="1" customHeight="1" ns3:dyDescent="0.25">
      <c r="A352" s="25" t="s">
        <v>995</v>
      </c>
      <c r="B352" s="25" t="str">
        <f t="shared" si="23"/>
      </c>
      <c r="C352" s="25" t="s">
        <v>1147</v>
      </c>
      <c r="D352" s="25" t="s">
        <v>17</v>
      </c>
      <c r="E352" s="25" t="s">
        <v>55</v>
      </c>
      <c r="F352" s="25" t="s">
        <v>1638</v>
      </c>
      <c r="G352" s="25" t="s">
        <v>10</v>
      </c>
      <c r="H352" s="25" t="str">
        <f>IFERROR(VLOOKUP(#REF!352,'정보화기기 명부'!A$2:B$187,2,FALSE),"")</f>
        <v/>
      </c>
      <c r="I352" s="125"/>
      <c r="J352" s="25" t="s">
        <v>938</v>
      </c>
      <c r="K352" s="25"/>
      <c r="L352" s="25">
        <v>20120113</v>
      </c>
      <c r="M352" s="125">
        <v>954617</v>
      </c>
      <c r="N352" s="25" t="s">
        <v>1193</v>
      </c>
      <c r="O352" s="162">
        <v>619</v>
      </c>
      <c r="P352" s="25" t="s">
        <v>1508</v>
      </c>
      <c r="Q352" s="25" t="s">
        <v>907</v>
      </c>
      <c r="R352" s="25" t="s">
        <v>964</v>
      </c>
      <c r="S352" s="25" t="s">
        <v>1015</v>
      </c>
    </row>
    <row r="353" spans="1:22" ht="13.5" hidden="1" customHeight="1" ns3:dyDescent="0.25">
      <c r="A353" s="25" t="s">
        <v>999</v>
      </c>
      <c r="B353" s="25" t="str">
        <f t="shared" si="23"/>
      </c>
      <c r="C353" s="25" t="s">
        <v>1147</v>
      </c>
      <c r="D353" s="25" t="s">
        <v>17</v>
      </c>
      <c r="E353" s="25" t="s">
        <v>120</v>
      </c>
      <c r="F353" s="25" t="s">
        <v>1638</v>
      </c>
      <c r="G353" s="25" t="s">
        <v>10</v>
      </c>
      <c r="H353" s="25" t="str">
        <f>IFERROR(VLOOKUP(#REF!353,'정보화기기 명부'!A$2:B$187,2,FALSE),"")</f>
        <v/>
      </c>
      <c r="I353" s="125"/>
      <c r="J353" s="25"/>
      <c r="K353" s="25"/>
      <c r="L353" s="25">
        <v>20120113</v>
      </c>
      <c r="M353" s="125">
        <v>954617</v>
      </c>
      <c r="N353" s="25" t="s">
        <v>1193</v>
      </c>
      <c r="O353" s="162">
        <v>618</v>
      </c>
      <c r="P353" s="25" t="s">
        <v>1508</v>
      </c>
      <c r="Q353" s="25" t="s">
        <v>907</v>
      </c>
      <c r="R353" s="25" t="s">
        <v>964</v>
      </c>
      <c r="S353" s="25" t="s">
        <v>1015</v>
      </c>
    </row>
    <row r="354" spans="1:22" s="14" customFormat="1" ht="13.5" hidden="1" customHeight="1" ns3:dyDescent="0.25">
      <c r="A354" s="13" t="s">
        <v>1520</v>
      </c>
      <c r="B354" s="25" t="str">
        <f t="shared" si="23"/>
      </c>
      <c r="C354" s="13" t="s">
        <v>1147</v>
      </c>
      <c r="D354" s="144" t="s">
        <v>17</v>
      </c>
      <c r="E354" s="13" t="s">
        <v>55</v>
      </c>
      <c r="F354" s="13" t="s">
        <v>1638</v>
      </c>
      <c r="G354" s="13" t="s">
        <v>10</v>
      </c>
      <c r="H354" s="13" t="str">
        <f>IFERROR(VLOOKUP(#REF!354,'정보화기기 명부'!A$2:B$187,2,FALSE),"")</f>
        <v/>
      </c>
      <c r="I354" s="22"/>
      <c r="J354" s="13" t="s">
        <v>738</v>
      </c>
      <c r="K354" s="25" t="s">
        <v>461</v>
      </c>
      <c r="L354" s="137">
        <v>20120113</v>
      </c>
      <c r="M354" s="22">
        <v>954617</v>
      </c>
      <c r="N354" s="13" t="s">
        <v>1193</v>
      </c>
      <c r="O354" s="208">
        <v>617</v>
      </c>
      <c r="P354" s="13" t="s">
        <v>104</v>
      </c>
      <c r="Q354" s="13" t="s">
        <v>907</v>
      </c>
      <c r="R354" s="13" t="s">
        <v>964</v>
      </c>
      <c r="S354" s="13" t="s">
        <v>1015</v>
      </c>
    </row>
    <row r="355" spans="1:22" s="14" customFormat="1" ht="13.5" hidden="1" customHeight="1" ns3:dyDescent="0.25">
      <c r="A355" s="13" t="s">
        <v>463</v>
      </c>
      <c r="B355" s="25" t="str">
        <f t="shared" si="23"/>
      </c>
      <c r="C355" s="13" t="s">
        <v>1147</v>
      </c>
      <c r="D355" s="144" t="s">
        <v>17</v>
      </c>
      <c r="E355" s="13" t="s">
        <v>55</v>
      </c>
      <c r="F355" s="13" t="s">
        <v>1638</v>
      </c>
      <c r="G355" s="13" t="s">
        <v>10</v>
      </c>
      <c r="H355" s="13" t="str">
        <f>IFERROR(VLOOKUP(#REF!355,'정보화기기 명부'!A$2:B$187,2,FALSE),"")</f>
        <v/>
      </c>
      <c r="I355" s="22"/>
      <c r="J355" s="13" t="s">
        <v>738</v>
      </c>
      <c r="K355" s="25" t="s">
        <v>461</v>
      </c>
      <c r="L355" s="137">
        <v>20120113</v>
      </c>
      <c r="M355" s="22">
        <v>954617</v>
      </c>
      <c r="N355" s="13" t="s">
        <v>1193</v>
      </c>
      <c r="O355" s="208">
        <v>616</v>
      </c>
      <c r="P355" s="13" t="s">
        <v>104</v>
      </c>
      <c r="Q355" s="13" t="s">
        <v>907</v>
      </c>
      <c r="R355" s="13" t="s">
        <v>964</v>
      </c>
      <c r="S355" s="13" t="s">
        <v>1015</v>
      </c>
    </row>
    <row r="356" spans="1:22" s="14" customFormat="1" ht="13.5" hidden="1" customHeight="1" ns3:dyDescent="0.25">
      <c r="A356" s="13" t="s">
        <v>482</v>
      </c>
      <c r="B356" s="25" t="str">
        <f t="shared" si="23"/>
      </c>
      <c r="C356" s="13" t="s">
        <v>1147</v>
      </c>
      <c r="D356" s="144" t="s">
        <v>17</v>
      </c>
      <c r="E356" s="13" t="s">
        <v>55</v>
      </c>
      <c r="F356" s="13" t="s">
        <v>1638</v>
      </c>
      <c r="G356" s="18" t="s">
        <v>10</v>
      </c>
      <c r="H356" s="13" t="str">
        <f>IFERROR(VLOOKUP(#REF!356,'정보화기기 명부'!A$2:B$187,2,FALSE),"")</f>
        <v/>
      </c>
      <c r="I356" s="22"/>
      <c r="J356" s="17" t="s">
        <v>738</v>
      </c>
      <c r="K356" s="25" t="s">
        <v>461</v>
      </c>
      <c r="L356" s="137">
        <v>20120113</v>
      </c>
      <c r="M356" s="22">
        <v>954617</v>
      </c>
      <c r="N356" s="13" t="s">
        <v>1193</v>
      </c>
      <c r="O356" s="208">
        <v>614</v>
      </c>
      <c r="P356" s="13" t="s">
        <v>104</v>
      </c>
      <c r="Q356" s="13" t="s">
        <v>907</v>
      </c>
      <c r="R356" s="13" t="s">
        <v>964</v>
      </c>
      <c r="S356" s="13" t="s">
        <v>1015</v>
      </c>
    </row>
    <row r="357" spans="1:22" s="14" customFormat="1" ht="13.5" hidden="1" customHeight="1" ns3:dyDescent="0.25">
      <c r="A357" s="13" t="s">
        <v>460</v>
      </c>
      <c r="B357" s="25" t="str">
        <f t="shared" si="23"/>
      </c>
      <c r="C357" s="13" t="s">
        <v>1147</v>
      </c>
      <c r="D357" s="144" t="s">
        <v>17</v>
      </c>
      <c r="E357" s="13" t="s">
        <v>55</v>
      </c>
      <c r="F357" s="13" t="s">
        <v>1638</v>
      </c>
      <c r="G357" s="13" t="s">
        <v>10</v>
      </c>
      <c r="H357" s="13" t="str">
        <f>IFERROR(VLOOKUP(#REF!357,'정보화기기 명부'!A$2:B$187,2,FALSE),"")</f>
        <v/>
      </c>
      <c r="I357" s="22"/>
      <c r="J357" s="13" t="s">
        <v>738</v>
      </c>
      <c r="K357" s="25" t="s">
        <v>461</v>
      </c>
      <c r="L357" s="137">
        <v>20120113</v>
      </c>
      <c r="M357" s="22">
        <v>954617</v>
      </c>
      <c r="N357" s="13" t="s">
        <v>1193</v>
      </c>
      <c r="O357" s="208">
        <v>613</v>
      </c>
      <c r="P357" s="13" t="s">
        <v>104</v>
      </c>
      <c r="Q357" s="13" t="s">
        <v>907</v>
      </c>
      <c r="R357" s="13" t="s">
        <v>964</v>
      </c>
      <c r="S357" s="13" t="s">
        <v>1015</v>
      </c>
    </row>
    <row r="358" spans="1:22" s="14" customFormat="1" ht="13.5" hidden="1" customHeight="1" ns3:dyDescent="0.25">
      <c r="A358" s="13" t="s">
        <v>1516</v>
      </c>
      <c r="B358" s="25" t="str">
        <f t="shared" si="23"/>
      </c>
      <c r="C358" s="13" t="s">
        <v>1147</v>
      </c>
      <c r="D358" s="144" t="s">
        <v>17</v>
      </c>
      <c r="E358" s="13" t="s">
        <v>55</v>
      </c>
      <c r="F358" s="13" t="s">
        <v>1638</v>
      </c>
      <c r="G358" s="13" t="s">
        <v>10</v>
      </c>
      <c r="H358" s="13" t="str">
        <f>IFERROR(VLOOKUP(#REF!358,'정보화기기 명부'!A$2:B$187,2,FALSE),"")</f>
        <v/>
      </c>
      <c r="I358" s="22"/>
      <c r="J358" s="13" t="s">
        <v>738</v>
      </c>
      <c r="K358" s="25" t="s">
        <v>461</v>
      </c>
      <c r="L358" s="137">
        <v>20120113</v>
      </c>
      <c r="M358" s="22">
        <v>954617</v>
      </c>
      <c r="N358" s="13" t="s">
        <v>1193</v>
      </c>
      <c r="O358" s="208">
        <v>612</v>
      </c>
      <c r="P358" s="13" t="s">
        <v>104</v>
      </c>
      <c r="Q358" s="13" t="s">
        <v>907</v>
      </c>
      <c r="R358" s="13" t="s">
        <v>964</v>
      </c>
      <c r="S358" s="13" t="s">
        <v>1015</v>
      </c>
    </row>
    <row r="359" spans="1:22" s="14" customFormat="1" ht="13.5" hidden="1" customHeight="1" ns3:dyDescent="0.25">
      <c r="A359" s="13" t="s">
        <v>464</v>
      </c>
      <c r="B359" s="25" t="str">
        <f t="shared" si="23"/>
      </c>
      <c r="C359" s="13" t="s">
        <v>1147</v>
      </c>
      <c r="D359" s="144" t="s">
        <v>17</v>
      </c>
      <c r="E359" s="13" t="s">
        <v>55</v>
      </c>
      <c r="F359" s="13" t="s">
        <v>1638</v>
      </c>
      <c r="G359" s="13" t="s">
        <v>10</v>
      </c>
      <c r="H359" s="13" t="str">
        <f>IFERROR(VLOOKUP(#REF!359,'정보화기기 명부'!A$2:B$187,2,FALSE),"")</f>
        <v/>
      </c>
      <c r="I359" s="22"/>
      <c r="J359" s="13" t="s">
        <v>738</v>
      </c>
      <c r="K359" s="25" t="s">
        <v>461</v>
      </c>
      <c r="L359" s="137">
        <v>20120113</v>
      </c>
      <c r="M359" s="22">
        <v>954617</v>
      </c>
      <c r="N359" s="13" t="s">
        <v>1193</v>
      </c>
      <c r="O359" s="208">
        <v>611</v>
      </c>
      <c r="P359" s="13" t="s">
        <v>104</v>
      </c>
      <c r="Q359" s="13" t="s">
        <v>907</v>
      </c>
      <c r="R359" s="13" t="s">
        <v>964</v>
      </c>
      <c r="S359" s="13" t="s">
        <v>1015</v>
      </c>
    </row>
    <row r="360" spans="1:22" s="14" customFormat="1" ht="13.5" hidden="1" customHeight="1" ns3:dyDescent="0.25">
      <c r="A360" s="13" t="s">
        <v>474</v>
      </c>
      <c r="B360" s="25" t="str">
        <f t="shared" si="23"/>
      </c>
      <c r="C360" s="13" t="s">
        <v>1147</v>
      </c>
      <c r="D360" s="144" t="s">
        <v>17</v>
      </c>
      <c r="E360" s="13" t="s">
        <v>55</v>
      </c>
      <c r="F360" s="13" t="s">
        <v>1638</v>
      </c>
      <c r="G360" s="13" t="s">
        <v>10</v>
      </c>
      <c r="H360" s="13" t="str">
        <f>IFERROR(VLOOKUP(#REF!360,'정보화기기 명부'!A$2:B$187,2,FALSE),"")</f>
        <v/>
      </c>
      <c r="I360" s="22"/>
      <c r="J360" s="13" t="s">
        <v>738</v>
      </c>
      <c r="K360" s="25" t="s">
        <v>461</v>
      </c>
      <c r="L360" s="137">
        <v>20120113</v>
      </c>
      <c r="M360" s="22">
        <v>954617</v>
      </c>
      <c r="N360" s="13" t="s">
        <v>1193</v>
      </c>
      <c r="O360" s="208">
        <v>610</v>
      </c>
      <c r="P360" s="13" t="s">
        <v>104</v>
      </c>
      <c r="Q360" s="13" t="s">
        <v>907</v>
      </c>
      <c r="R360" s="13" t="s">
        <v>964</v>
      </c>
      <c r="S360" s="13" t="s">
        <v>1015</v>
      </c>
    </row>
    <row r="361" spans="1:22" s="14" customFormat="1" ht="13.5" hidden="1" customHeight="1" ns3:dyDescent="0.25">
      <c r="A361" s="13" t="s">
        <v>473</v>
      </c>
      <c r="B361" s="25" t="str">
        <f t="shared" si="23"/>
      </c>
      <c r="C361" s="13" t="s">
        <v>1147</v>
      </c>
      <c r="D361" s="144" t="s">
        <v>17</v>
      </c>
      <c r="E361" s="13" t="s">
        <v>55</v>
      </c>
      <c r="F361" s="13" t="s">
        <v>1638</v>
      </c>
      <c r="G361" s="13" t="s">
        <v>10</v>
      </c>
      <c r="H361" s="13" t="str">
        <f>IFERROR(VLOOKUP(#REF!361,'정보화기기 명부'!A$2:B$187,2,FALSE),"")</f>
        <v/>
      </c>
      <c r="I361" s="22"/>
      <c r="J361" s="13" t="s">
        <v>738</v>
      </c>
      <c r="K361" s="25" t="s">
        <v>461</v>
      </c>
      <c r="L361" s="137">
        <v>20120113</v>
      </c>
      <c r="M361" s="22">
        <v>954617</v>
      </c>
      <c r="N361" s="13" t="s">
        <v>1193</v>
      </c>
      <c r="O361" s="208">
        <v>609</v>
      </c>
      <c r="P361" s="13" t="s">
        <v>104</v>
      </c>
      <c r="Q361" s="13" t="s">
        <v>907</v>
      </c>
      <c r="R361" s="13" t="s">
        <v>964</v>
      </c>
      <c r="S361" s="13" t="s">
        <v>1015</v>
      </c>
    </row>
    <row r="362" spans="1:22" s="14" customFormat="1" ht="13.5" hidden="1" customHeight="1" ns3:dyDescent="0.25">
      <c r="A362" s="13" t="s">
        <v>480</v>
      </c>
      <c r="B362" s="25" t="str">
        <f t="shared" si="23"/>
      </c>
      <c r="C362" s="13" t="s">
        <v>1147</v>
      </c>
      <c r="D362" s="144" t="s">
        <v>17</v>
      </c>
      <c r="E362" s="13" t="s">
        <v>55</v>
      </c>
      <c r="F362" s="13" t="s">
        <v>1638</v>
      </c>
      <c r="G362" s="13" t="s">
        <v>10</v>
      </c>
      <c r="H362" s="13" t="str">
        <f>IFERROR(VLOOKUP(#REF!362,'정보화기기 명부'!A$2:B$187,2,FALSE),"")</f>
        <v/>
      </c>
      <c r="I362" s="22"/>
      <c r="J362" s="13" t="s">
        <v>738</v>
      </c>
      <c r="K362" s="25" t="s">
        <v>461</v>
      </c>
      <c r="L362" s="137">
        <v>20120113</v>
      </c>
      <c r="M362" s="22">
        <v>954617</v>
      </c>
      <c r="N362" s="13" t="s">
        <v>1193</v>
      </c>
      <c r="O362" s="208">
        <v>608</v>
      </c>
      <c r="P362" s="13" t="s">
        <v>104</v>
      </c>
      <c r="Q362" s="13" t="s">
        <v>907</v>
      </c>
      <c r="R362" s="13" t="s">
        <v>964</v>
      </c>
      <c r="S362" s="13" t="s">
        <v>1015</v>
      </c>
    </row>
    <row r="363" spans="1:22" s="14" customFormat="1" ht="13.5" hidden="1" customHeight="1" ns3:dyDescent="0.25">
      <c r="A363" s="13" t="s">
        <v>455</v>
      </c>
      <c r="B363" s="25" t="str">
        <f t="shared" si="23"/>
      </c>
      <c r="C363" s="13" t="s">
        <v>1147</v>
      </c>
      <c r="D363" s="144" t="s">
        <v>17</v>
      </c>
      <c r="E363" s="13" t="s">
        <v>55</v>
      </c>
      <c r="F363" s="13" t="s">
        <v>1638</v>
      </c>
      <c r="G363" s="13" t="s">
        <v>10</v>
      </c>
      <c r="H363" s="13" t="str">
        <f>IFERROR(VLOOKUP(#REF!363,'정보화기기 명부'!A$2:B$187,2,FALSE),"")</f>
        <v/>
      </c>
      <c r="I363" s="22"/>
      <c r="J363" s="13" t="s">
        <v>738</v>
      </c>
      <c r="K363" s="25" t="s">
        <v>461</v>
      </c>
      <c r="L363" s="137">
        <v>20120113</v>
      </c>
      <c r="M363" s="22">
        <v>954617</v>
      </c>
      <c r="N363" s="13" t="s">
        <v>1193</v>
      </c>
      <c r="O363" s="208">
        <v>607</v>
      </c>
      <c r="P363" s="13" t="s">
        <v>104</v>
      </c>
      <c r="Q363" s="13" t="s">
        <v>907</v>
      </c>
      <c r="R363" s="13" t="s">
        <v>964</v>
      </c>
      <c r="S363" s="13" t="s">
        <v>1015</v>
      </c>
    </row>
    <row r="364" spans="1:22" s="14" customFormat="1" ht="13.5" hidden="1" customHeight="1" ns3:dyDescent="0.25">
      <c r="A364" s="13" t="s">
        <v>451</v>
      </c>
      <c r="B364" s="25" t="str">
        <f t="shared" si="23"/>
      </c>
      <c r="C364" s="13" t="s">
        <v>1147</v>
      </c>
      <c r="D364" s="144" t="s">
        <v>17</v>
      </c>
      <c r="E364" s="13" t="s">
        <v>55</v>
      </c>
      <c r="F364" s="13" t="s">
        <v>1638</v>
      </c>
      <c r="G364" s="13" t="s">
        <v>10</v>
      </c>
      <c r="H364" s="13" t="str">
        <f>IFERROR(VLOOKUP(#REF!364,'정보화기기 명부'!A$2:B$187,2,FALSE),"")</f>
        <v/>
      </c>
      <c r="I364" s="22"/>
      <c r="J364" s="13" t="s">
        <v>738</v>
      </c>
      <c r="K364" s="25" t="s">
        <v>461</v>
      </c>
      <c r="L364" s="137">
        <v>20120113</v>
      </c>
      <c r="M364" s="22">
        <v>954617</v>
      </c>
      <c r="N364" s="13" t="s">
        <v>1193</v>
      </c>
      <c r="O364" s="208">
        <v>606</v>
      </c>
      <c r="P364" s="13" t="s">
        <v>104</v>
      </c>
      <c r="Q364" s="13" t="s">
        <v>907</v>
      </c>
      <c r="R364" s="13" t="s">
        <v>964</v>
      </c>
      <c r="S364" s="13" t="s">
        <v>1015</v>
      </c>
    </row>
    <row r="365" spans="1:22" s="14" customFormat="1" ht="13.5" hidden="1" customHeight="1" ns3:dyDescent="0.25">
      <c r="A365" s="13" t="s">
        <v>471</v>
      </c>
      <c r="B365" s="25" t="str">
        <f t="shared" si="23"/>
      </c>
      <c r="C365" s="13" t="s">
        <v>1147</v>
      </c>
      <c r="D365" s="144" t="s">
        <v>17</v>
      </c>
      <c r="E365" s="13" t="s">
        <v>55</v>
      </c>
      <c r="F365" s="13" t="s">
        <v>1638</v>
      </c>
      <c r="G365" s="13" t="s">
        <v>10</v>
      </c>
      <c r="H365" s="13" t="str">
        <f>IFERROR(VLOOKUP(#REF!365,'정보화기기 명부'!A$2:B$187,2,FALSE),"")</f>
        <v/>
      </c>
      <c r="I365" s="22"/>
      <c r="J365" s="13" t="s">
        <v>738</v>
      </c>
      <c r="K365" s="25" t="s">
        <v>461</v>
      </c>
      <c r="L365" s="137">
        <v>20120113</v>
      </c>
      <c r="M365" s="22">
        <v>954617</v>
      </c>
      <c r="N365" s="13" t="s">
        <v>1193</v>
      </c>
      <c r="O365" s="208">
        <v>605</v>
      </c>
      <c r="P365" s="13" t="s">
        <v>104</v>
      </c>
      <c r="Q365" s="13" t="s">
        <v>907</v>
      </c>
      <c r="R365" s="13" t="s">
        <v>964</v>
      </c>
      <c r="S365" s="13" t="s">
        <v>1015</v>
      </c>
    </row>
    <row r="366" spans="1:22" s="14" customFormat="1" ht="13.5" hidden="1" customHeight="1" ns3:dyDescent="0.25">
      <c r="A366" s="13" t="s">
        <v>475</v>
      </c>
      <c r="B366" s="25" t="str">
        <f t="shared" si="23"/>
      </c>
      <c r="C366" s="13" t="s">
        <v>1147</v>
      </c>
      <c r="D366" s="144" t="s">
        <v>17</v>
      </c>
      <c r="E366" s="13" t="s">
        <v>55</v>
      </c>
      <c r="F366" s="13" t="s">
        <v>1638</v>
      </c>
      <c r="G366" s="13" t="s">
        <v>10</v>
      </c>
      <c r="H366" s="13" t="str">
        <f>IFERROR(VLOOKUP(#REF!366,'정보화기기 명부'!A$2:B$187,2,FALSE),"")</f>
        <v/>
      </c>
      <c r="I366" s="22"/>
      <c r="J366" s="13" t="s">
        <v>738</v>
      </c>
      <c r="K366" s="25" t="s">
        <v>461</v>
      </c>
      <c r="L366" s="137">
        <v>20120113</v>
      </c>
      <c r="M366" s="22">
        <v>954617</v>
      </c>
      <c r="N366" s="13" t="s">
        <v>1193</v>
      </c>
      <c r="O366" s="208">
        <v>604</v>
      </c>
      <c r="P366" s="13" t="s">
        <v>104</v>
      </c>
      <c r="Q366" s="13" t="s">
        <v>907</v>
      </c>
      <c r="R366" s="13" t="s">
        <v>964</v>
      </c>
      <c r="S366" s="13" t="s">
        <v>1015</v>
      </c>
    </row>
    <row r="367" spans="1:22" s="14" customFormat="1" ht="13.5" hidden="1" customHeight="1" ns3:dyDescent="0.25">
      <c r="A367" s="13" t="s">
        <v>457</v>
      </c>
      <c r="B367" s="25" t="str">
        <f t="shared" si="23"/>
      </c>
      <c r="C367" s="13" t="s">
        <v>1147</v>
      </c>
      <c r="D367" s="144" t="s">
        <v>17</v>
      </c>
      <c r="E367" s="13" t="s">
        <v>55</v>
      </c>
      <c r="F367" s="13" t="s">
        <v>1638</v>
      </c>
      <c r="G367" s="13" t="s">
        <v>10</v>
      </c>
      <c r="H367" s="13" t="str">
        <f>IFERROR(VLOOKUP(#REF!367,'정보화기기 명부'!A$2:B$187,2,FALSE),"")</f>
        <v/>
      </c>
      <c r="I367" s="22"/>
      <c r="J367" s="13" t="s">
        <v>738</v>
      </c>
      <c r="K367" s="25" t="s">
        <v>461</v>
      </c>
      <c r="L367" s="137">
        <v>20120113</v>
      </c>
      <c r="M367" s="22">
        <v>954617</v>
      </c>
      <c r="N367" s="13" t="s">
        <v>1193</v>
      </c>
      <c r="O367" s="208">
        <v>603</v>
      </c>
      <c r="P367" s="13" t="s">
        <v>104</v>
      </c>
      <c r="Q367" s="13" t="s">
        <v>907</v>
      </c>
      <c r="R367" s="13" t="s">
        <v>964</v>
      </c>
      <c r="S367" s="13" t="s">
        <v>1015</v>
      </c>
    </row>
    <row r="368" spans="1:22" s="14" customFormat="1" ht="13.5" hidden="1" customHeight="1" ns3:dyDescent="0.25">
      <c r="A368" s="13" t="s">
        <v>476</v>
      </c>
      <c r="B368" s="25" t="str">
        <f t="shared" si="23"/>
      </c>
      <c r="C368" s="13" t="s">
        <v>1147</v>
      </c>
      <c r="D368" s="144" t="s">
        <v>17</v>
      </c>
      <c r="E368" s="13" t="s">
        <v>55</v>
      </c>
      <c r="F368" s="13" t="s">
        <v>1638</v>
      </c>
      <c r="G368" s="13" t="s">
        <v>10</v>
      </c>
      <c r="H368" s="13" t="str">
        <f>IFERROR(VLOOKUP(#REF!368,'정보화기기 명부'!A$2:B$187,2,FALSE),"")</f>
        <v/>
      </c>
      <c r="I368" s="22"/>
      <c r="J368" s="13" t="s">
        <v>738</v>
      </c>
      <c r="K368" s="25" t="s">
        <v>461</v>
      </c>
      <c r="L368" s="137">
        <v>20120113</v>
      </c>
      <c r="M368" s="22">
        <v>954617</v>
      </c>
      <c r="N368" s="13" t="s">
        <v>1193</v>
      </c>
      <c r="O368" s="208">
        <v>602</v>
      </c>
      <c r="P368" s="13" t="s">
        <v>104</v>
      </c>
      <c r="Q368" s="13" t="s">
        <v>907</v>
      </c>
      <c r="R368" s="13" t="s">
        <v>964</v>
      </c>
      <c r="S368" s="13" t="s">
        <v>1015</v>
      </c>
    </row>
    <row r="369" spans="1:22" s="14" customFormat="1" ht="13.5" hidden="1" customHeight="1" ns3:dyDescent="0.25">
      <c r="A369" s="13" t="s">
        <v>453</v>
      </c>
      <c r="B369" s="25" t="str">
        <f t="shared" si="23"/>
      </c>
      <c r="C369" s="13" t="s">
        <v>1147</v>
      </c>
      <c r="D369" s="144" t="s">
        <v>17</v>
      </c>
      <c r="E369" s="13" t="s">
        <v>55</v>
      </c>
      <c r="F369" s="13" t="s">
        <v>1638</v>
      </c>
      <c r="G369" s="13" t="s">
        <v>10</v>
      </c>
      <c r="H369" s="13" t="str">
        <f>IFERROR(VLOOKUP(#REF!369,'정보화기기 명부'!A$2:B$187,2,FALSE),"")</f>
        <v/>
      </c>
      <c r="I369" s="22"/>
      <c r="J369" s="13" t="s">
        <v>738</v>
      </c>
      <c r="K369" s="25" t="s">
        <v>461</v>
      </c>
      <c r="L369" s="137">
        <v>20120113</v>
      </c>
      <c r="M369" s="22">
        <v>954617</v>
      </c>
      <c r="N369" s="13" t="s">
        <v>1193</v>
      </c>
      <c r="O369" s="208">
        <v>601</v>
      </c>
      <c r="P369" s="13" t="s">
        <v>104</v>
      </c>
      <c r="Q369" s="13" t="s">
        <v>907</v>
      </c>
      <c r="R369" s="13" t="s">
        <v>964</v>
      </c>
      <c r="S369" s="13" t="s">
        <v>1015</v>
      </c>
    </row>
    <row r="370" spans="1:22" s="14" customFormat="1" ht="13.5" hidden="1" customHeight="1" ns3:dyDescent="0.25">
      <c r="A370" s="13" t="s">
        <v>456</v>
      </c>
      <c r="B370" s="25" t="str">
        <f t="shared" ref="B370:B433" si="26">LEFT(L370,6)&amp;"-"&amp;TEXT(O370,"0000")</f>
      </c>
      <c r="C370" s="13" t="s">
        <v>1147</v>
      </c>
      <c r="D370" s="144" t="s">
        <v>17</v>
      </c>
      <c r="E370" s="13" t="s">
        <v>55</v>
      </c>
      <c r="F370" s="13" t="s">
        <v>1638</v>
      </c>
      <c r="G370" s="13" t="s">
        <v>10</v>
      </c>
      <c r="H370" s="13" t="str">
        <f>IFERROR(VLOOKUP(#REF!370,'정보화기기 명부'!A$2:B$187,2,FALSE),"")</f>
        <v/>
      </c>
      <c r="I370" s="22"/>
      <c r="J370" s="13" t="s">
        <v>738</v>
      </c>
      <c r="K370" s="25" t="s">
        <v>461</v>
      </c>
      <c r="L370" s="137">
        <v>20120113</v>
      </c>
      <c r="M370" s="22">
        <v>954617</v>
      </c>
      <c r="N370" s="13" t="s">
        <v>1193</v>
      </c>
      <c r="O370" s="208">
        <v>600</v>
      </c>
      <c r="P370" s="13" t="s">
        <v>104</v>
      </c>
      <c r="Q370" s="13" t="s">
        <v>907</v>
      </c>
      <c r="R370" s="13" t="s">
        <v>964</v>
      </c>
      <c r="S370" s="13" t="s">
        <v>1015</v>
      </c>
    </row>
    <row r="371" spans="1:22" s="14" customFormat="1" ht="13.5" hidden="1" customHeight="1" ns3:dyDescent="0.25">
      <c r="A371" s="13" t="s">
        <v>469</v>
      </c>
      <c r="B371" s="25" t="str">
        <f t="shared" si="26"/>
      </c>
      <c r="C371" s="13" t="s">
        <v>1147</v>
      </c>
      <c r="D371" s="144" t="s">
        <v>17</v>
      </c>
      <c r="E371" s="13" t="s">
        <v>55</v>
      </c>
      <c r="F371" s="13" t="s">
        <v>1638</v>
      </c>
      <c r="G371" s="13" t="s">
        <v>10</v>
      </c>
      <c r="H371" s="13" t="str">
        <f>IFERROR(VLOOKUP(#REF!371,'정보화기기 명부'!A$2:B$187,2,FALSE),"")</f>
        <v/>
      </c>
      <c r="I371" s="22"/>
      <c r="J371" s="13" t="s">
        <v>738</v>
      </c>
      <c r="K371" s="25" t="s">
        <v>461</v>
      </c>
      <c r="L371" s="137">
        <v>20120113</v>
      </c>
      <c r="M371" s="22">
        <v>954617</v>
      </c>
      <c r="N371" s="13" t="s">
        <v>1193</v>
      </c>
      <c r="O371" s="208">
        <v>599</v>
      </c>
      <c r="P371" s="13" t="s">
        <v>104</v>
      </c>
      <c r="Q371" s="13" t="s">
        <v>907</v>
      </c>
      <c r="R371" s="13" t="s">
        <v>964</v>
      </c>
      <c r="S371" s="13" t="s">
        <v>1015</v>
      </c>
    </row>
    <row r="372" spans="1:22" s="14" customFormat="1" ht="13.5" hidden="1" customHeight="1" ns3:dyDescent="0.25">
      <c r="A372" s="13" t="s">
        <v>454</v>
      </c>
      <c r="B372" s="25" t="str">
        <f t="shared" si="26"/>
      </c>
      <c r="C372" s="13" t="s">
        <v>1147</v>
      </c>
      <c r="D372" s="144" t="s">
        <v>17</v>
      </c>
      <c r="E372" s="13" t="s">
        <v>55</v>
      </c>
      <c r="F372" s="13" t="s">
        <v>1638</v>
      </c>
      <c r="G372" s="13" t="s">
        <v>10</v>
      </c>
      <c r="H372" s="13" t="str">
        <f>IFERROR(VLOOKUP(#REF!372,'정보화기기 명부'!A$2:B$187,2,FALSE),"")</f>
        <v/>
      </c>
      <c r="I372" s="22"/>
      <c r="J372" s="13" t="s">
        <v>738</v>
      </c>
      <c r="K372" s="25" t="s">
        <v>461</v>
      </c>
      <c r="L372" s="137">
        <v>20120113</v>
      </c>
      <c r="M372" s="22">
        <v>954617</v>
      </c>
      <c r="N372" s="13" t="s">
        <v>1193</v>
      </c>
      <c r="O372" s="208">
        <v>598</v>
      </c>
      <c r="P372" s="13" t="s">
        <v>104</v>
      </c>
      <c r="Q372" s="13" t="s">
        <v>907</v>
      </c>
      <c r="R372" s="13" t="s">
        <v>964</v>
      </c>
      <c r="S372" s="13" t="s">
        <v>1015</v>
      </c>
    </row>
    <row r="373" spans="1:22" s="14" customFormat="1" ht="13.5" hidden="1" customHeight="1" ns3:dyDescent="0.25">
      <c r="A373" s="13" t="s">
        <v>1024</v>
      </c>
      <c r="B373" s="25" t="str">
        <f t="shared" si="26"/>
      </c>
      <c r="C373" s="13" t="s">
        <v>1147</v>
      </c>
      <c r="D373" s="144" t="s">
        <v>17</v>
      </c>
      <c r="E373" s="13" t="s">
        <v>55</v>
      </c>
      <c r="F373" s="13" t="s">
        <v>1638</v>
      </c>
      <c r="G373" s="13" t="s">
        <v>10</v>
      </c>
      <c r="H373" s="13" t="str">
        <f>IFERROR(VLOOKUP(#REF!373,'정보화기기 명부'!A$2:B$187,2,FALSE),"")</f>
        <v/>
      </c>
      <c r="I373" s="22"/>
      <c r="J373" s="13" t="s">
        <v>738</v>
      </c>
      <c r="K373" s="25" t="s">
        <v>461</v>
      </c>
      <c r="L373" s="137">
        <v>20120113</v>
      </c>
      <c r="M373" s="22">
        <v>954617</v>
      </c>
      <c r="N373" s="13" t="s">
        <v>1193</v>
      </c>
      <c r="O373" s="208">
        <v>597</v>
      </c>
      <c r="P373" s="13" t="s">
        <v>104</v>
      </c>
      <c r="Q373" s="13" t="s">
        <v>907</v>
      </c>
      <c r="R373" s="13" t="s">
        <v>964</v>
      </c>
      <c r="S373" s="13" t="s">
        <v>1015</v>
      </c>
    </row>
    <row r="374" spans="1:22" s="14" customFormat="1" ht="13.5" hidden="1" customHeight="1" ns3:dyDescent="0.25">
      <c r="A374" s="13" t="s">
        <v>1276</v>
      </c>
      <c r="B374" s="25" t="str">
        <f t="shared" si="26"/>
      </c>
      <c r="C374" s="13" t="s">
        <v>1147</v>
      </c>
      <c r="D374" s="25" t="s">
        <v>17</v>
      </c>
      <c r="E374" s="13" t="s">
        <v>55</v>
      </c>
      <c r="F374" s="13" t="s">
        <v>1638</v>
      </c>
      <c r="G374" s="13" t="s">
        <v>10</v>
      </c>
      <c r="H374" s="13" t="str">
        <f>IFERROR(VLOOKUP(#REF!374,'정보화기기 명부'!A$2:B$187,2,FALSE),"")</f>
        <v/>
      </c>
      <c r="I374" s="22"/>
      <c r="J374" s="13" t="s">
        <v>738</v>
      </c>
      <c r="K374" s="25" t="s">
        <v>470</v>
      </c>
      <c r="L374" s="137">
        <v>20120113</v>
      </c>
      <c r="M374" s="22">
        <v>954617</v>
      </c>
      <c r="N374" s="13" t="s">
        <v>1193</v>
      </c>
      <c r="O374" s="208">
        <v>596</v>
      </c>
      <c r="P374" s="25" t="s">
        <v>1535</v>
      </c>
      <c r="Q374" s="13" t="s">
        <v>907</v>
      </c>
      <c r="R374" s="13" t="s">
        <v>964</v>
      </c>
      <c r="S374" s="13" t="s">
        <v>1015</v>
      </c>
    </row>
    <row r="375" spans="1:22" s="14" customFormat="1" ht="15" hidden="1" customHeight="1" ns3:dyDescent="0.25">
      <c r="A375" s="13" t="s">
        <v>1257</v>
      </c>
      <c r="B375" s="25" t="str">
        <f t="shared" si="26"/>
      </c>
      <c r="C375" s="13" t="s">
        <v>1147</v>
      </c>
      <c r="D375" s="25" t="s">
        <v>17</v>
      </c>
      <c r="E375" s="13" t="s">
        <v>55</v>
      </c>
      <c r="F375" s="13" t="s">
        <v>1638</v>
      </c>
      <c r="G375" s="13" t="s">
        <v>10</v>
      </c>
      <c r="H375" s="13" t="str">
        <f>IFERROR(VLOOKUP(#REF!375,'정보화기기 명부'!A$2:B$187,2,FALSE),"")</f>
        <v/>
      </c>
      <c r="I375" s="22"/>
      <c r="J375" s="13" t="s">
        <v>738</v>
      </c>
      <c r="K375" s="25" t="s">
        <v>470</v>
      </c>
      <c r="L375" s="137">
        <v>20120113</v>
      </c>
      <c r="M375" s="22">
        <v>954617</v>
      </c>
      <c r="N375" s="13" t="s">
        <v>1193</v>
      </c>
      <c r="O375" s="208">
        <v>595</v>
      </c>
      <c r="P375" s="25" t="s">
        <v>1535</v>
      </c>
      <c r="Q375" s="13" t="s">
        <v>907</v>
      </c>
      <c r="R375" s="13" t="s">
        <v>964</v>
      </c>
      <c r="S375" s="13" t="s">
        <v>1015</v>
      </c>
    </row>
    <row r="376" spans="1:22" s="14" customFormat="1" ht="15" hidden="1" customHeight="1" ns3:dyDescent="0.25">
      <c r="A376" s="13" t="s">
        <v>1300</v>
      </c>
      <c r="B376" s="25" t="str">
        <f t="shared" si="26"/>
      </c>
      <c r="C376" s="13" t="s">
        <v>1147</v>
      </c>
      <c r="D376" s="25" t="s">
        <v>17</v>
      </c>
      <c r="E376" s="13" t="s">
        <v>55</v>
      </c>
      <c r="F376" s="13" t="s">
        <v>1638</v>
      </c>
      <c r="G376" s="18" t="s">
        <v>10</v>
      </c>
      <c r="H376" s="13" t="str">
        <f>IFERROR(VLOOKUP(#REF!376,'정보화기기 명부'!A$2:B$187,2,FALSE),"")</f>
        <v/>
      </c>
      <c r="I376" s="22"/>
      <c r="J376" s="17" t="s">
        <v>738</v>
      </c>
      <c r="K376" s="25" t="s">
        <v>470</v>
      </c>
      <c r="L376" s="137">
        <v>20120113</v>
      </c>
      <c r="M376" s="22">
        <v>954617</v>
      </c>
      <c r="N376" s="13" t="s">
        <v>1193</v>
      </c>
      <c r="O376" s="208">
        <v>594</v>
      </c>
      <c r="P376" s="25" t="s">
        <v>1535</v>
      </c>
      <c r="Q376" s="13" t="s">
        <v>907</v>
      </c>
      <c r="R376" s="13" t="s">
        <v>964</v>
      </c>
      <c r="S376" s="13" t="s">
        <v>1015</v>
      </c>
    </row>
    <row r="377" spans="1:22" s="14" customFormat="1" ht="15" hidden="1" customHeight="1" ns3:dyDescent="0.25">
      <c r="A377" s="13" t="s">
        <v>1282</v>
      </c>
      <c r="B377" s="25" t="str">
        <f t="shared" si="26"/>
      </c>
      <c r="C377" s="13" t="s">
        <v>1147</v>
      </c>
      <c r="D377" s="25" t="s">
        <v>17</v>
      </c>
      <c r="E377" s="13" t="s">
        <v>55</v>
      </c>
      <c r="F377" s="13" t="s">
        <v>1638</v>
      </c>
      <c r="G377" s="13" t="s">
        <v>10</v>
      </c>
      <c r="H377" s="13" t="str">
        <f>IFERROR(VLOOKUP(#REF!377,'정보화기기 명부'!A$2:B$187,2,FALSE),"")</f>
        <v/>
      </c>
      <c r="I377" s="22"/>
      <c r="J377" s="13" t="s">
        <v>738</v>
      </c>
      <c r="K377" s="25" t="s">
        <v>470</v>
      </c>
      <c r="L377" s="137">
        <v>20120113</v>
      </c>
      <c r="M377" s="22">
        <v>954617</v>
      </c>
      <c r="N377" s="13" t="s">
        <v>1193</v>
      </c>
      <c r="O377" s="208">
        <v>593</v>
      </c>
      <c r="P377" s="25" t="s">
        <v>1535</v>
      </c>
      <c r="Q377" s="13" t="s">
        <v>907</v>
      </c>
      <c r="R377" s="13" t="s">
        <v>964</v>
      </c>
      <c r="S377" s="13" t="s">
        <v>1015</v>
      </c>
    </row>
    <row r="378" spans="1:22" s="14" customFormat="1" ht="15" hidden="1" customHeight="1" ns3:dyDescent="0.25">
      <c r="A378" s="13" t="s">
        <v>1273</v>
      </c>
      <c r="B378" s="25" t="str">
        <f t="shared" si="26"/>
      </c>
      <c r="C378" s="13" t="s">
        <v>1147</v>
      </c>
      <c r="D378" s="25" t="s">
        <v>17</v>
      </c>
      <c r="E378" s="13" t="s">
        <v>55</v>
      </c>
      <c r="F378" s="13" t="s">
        <v>1638</v>
      </c>
      <c r="G378" s="18" t="s">
        <v>10</v>
      </c>
      <c r="H378" s="13" t="str">
        <f>IFERROR(VLOOKUP(#REF!378,'정보화기기 명부'!A$2:B$187,2,FALSE),"")</f>
        <v/>
      </c>
      <c r="I378" s="22"/>
      <c r="J378" s="17" t="s">
        <v>738</v>
      </c>
      <c r="K378" s="25" t="s">
        <v>470</v>
      </c>
      <c r="L378" s="137">
        <v>20120113</v>
      </c>
      <c r="M378" s="22">
        <v>954617</v>
      </c>
      <c r="N378" s="13" t="s">
        <v>1193</v>
      </c>
      <c r="O378" s="208">
        <v>592</v>
      </c>
      <c r="P378" s="25" t="s">
        <v>1535</v>
      </c>
      <c r="Q378" s="13" t="s">
        <v>907</v>
      </c>
      <c r="R378" s="13" t="s">
        <v>964</v>
      </c>
      <c r="S378" s="13" t="s">
        <v>1015</v>
      </c>
    </row>
    <row r="379" spans="1:22" s="14" customFormat="1" ht="15" hidden="1" customHeight="1" ns3:dyDescent="0.25">
      <c r="A379" s="13" t="s">
        <v>1268</v>
      </c>
      <c r="B379" s="25" t="str">
        <f t="shared" si="26"/>
      </c>
      <c r="C379" s="13" t="s">
        <v>1147</v>
      </c>
      <c r="D379" s="25" t="s">
        <v>17</v>
      </c>
      <c r="E379" s="13" t="s">
        <v>55</v>
      </c>
      <c r="F379" s="13" t="s">
        <v>1638</v>
      </c>
      <c r="G379" s="18" t="s">
        <v>10</v>
      </c>
      <c r="H379" s="13" t="str">
        <f>IFERROR(VLOOKUP(#REF!379,'정보화기기 명부'!A$2:B$187,2,FALSE),"")</f>
        <v/>
      </c>
      <c r="I379" s="22"/>
      <c r="J379" s="17" t="s">
        <v>738</v>
      </c>
      <c r="K379" s="25" t="s">
        <v>470</v>
      </c>
      <c r="L379" s="137">
        <v>20120113</v>
      </c>
      <c r="M379" s="22">
        <v>954617</v>
      </c>
      <c r="N379" s="13" t="s">
        <v>1193</v>
      </c>
      <c r="O379" s="208">
        <v>591</v>
      </c>
      <c r="P379" s="25" t="s">
        <v>1535</v>
      </c>
      <c r="Q379" s="13" t="s">
        <v>907</v>
      </c>
      <c r="R379" s="13" t="s">
        <v>964</v>
      </c>
      <c r="S379" s="13" t="s">
        <v>1015</v>
      </c>
    </row>
    <row r="380" spans="1:22" s="14" customFormat="1" ht="15" hidden="1" customHeight="1" ns3:dyDescent="0.25">
      <c r="A380" s="13" t="s">
        <v>1269</v>
      </c>
      <c r="B380" s="25" t="str">
        <f t="shared" si="26"/>
      </c>
      <c r="C380" s="13" t="s">
        <v>1147</v>
      </c>
      <c r="D380" s="25" t="s">
        <v>17</v>
      </c>
      <c r="E380" s="13" t="s">
        <v>55</v>
      </c>
      <c r="F380" s="13" t="s">
        <v>1638</v>
      </c>
      <c r="G380" s="18" t="s">
        <v>10</v>
      </c>
      <c r="H380" s="13" t="str">
        <f>IFERROR(VLOOKUP(#REF!380,'정보화기기 명부'!A$2:B$187,2,FALSE),"")</f>
        <v/>
      </c>
      <c r="I380" s="22"/>
      <c r="J380" s="17" t="s">
        <v>738</v>
      </c>
      <c r="K380" s="25" t="s">
        <v>470</v>
      </c>
      <c r="L380" s="137">
        <v>20120113</v>
      </c>
      <c r="M380" s="22">
        <v>954617</v>
      </c>
      <c r="N380" s="13" t="s">
        <v>1193</v>
      </c>
      <c r="O380" s="208">
        <v>590</v>
      </c>
      <c r="P380" s="25" t="s">
        <v>1535</v>
      </c>
      <c r="Q380" s="13" t="s">
        <v>907</v>
      </c>
      <c r="R380" s="13" t="s">
        <v>964</v>
      </c>
      <c r="S380" s="13" t="s">
        <v>1015</v>
      </c>
    </row>
    <row r="381" spans="1:22" s="14" customFormat="1" ht="15" hidden="1" customHeight="1" ns3:dyDescent="0.25">
      <c r="A381" s="13" t="s">
        <v>1289</v>
      </c>
      <c r="B381" s="25" t="str">
        <f t="shared" si="26"/>
      </c>
      <c r="C381" s="13" t="s">
        <v>1147</v>
      </c>
      <c r="D381" s="25" t="s">
        <v>17</v>
      </c>
      <c r="E381" s="13" t="s">
        <v>55</v>
      </c>
      <c r="F381" s="13" t="s">
        <v>1638</v>
      </c>
      <c r="G381" s="18" t="s">
        <v>10</v>
      </c>
      <c r="H381" s="13" t="str">
        <f>IFERROR(VLOOKUP(#REF!381,'정보화기기 명부'!A$2:B$187,2,FALSE),"")</f>
        <v/>
      </c>
      <c r="I381" s="22"/>
      <c r="J381" s="17" t="s">
        <v>738</v>
      </c>
      <c r="K381" s="25" t="s">
        <v>470</v>
      </c>
      <c r="L381" s="137">
        <v>20120113</v>
      </c>
      <c r="M381" s="22">
        <v>954617</v>
      </c>
      <c r="N381" s="13" t="s">
        <v>1193</v>
      </c>
      <c r="O381" s="208">
        <v>589</v>
      </c>
      <c r="P381" s="25" t="s">
        <v>1535</v>
      </c>
      <c r="Q381" s="13" t="s">
        <v>907</v>
      </c>
      <c r="R381" s="13" t="s">
        <v>964</v>
      </c>
      <c r="S381" s="13" t="s">
        <v>1015</v>
      </c>
    </row>
    <row r="382" spans="1:22" s="14" customFormat="1" ht="15" hidden="1" customHeight="1" ns3:dyDescent="0.25">
      <c r="A382" s="25" t="s">
        <v>481</v>
      </c>
      <c r="B382" s="25" t="str">
        <f t="shared" si="26"/>
      </c>
      <c r="C382" s="25" t="s">
        <v>1147</v>
      </c>
      <c r="D382" s="25" t="s">
        <v>17</v>
      </c>
      <c r="E382" s="25" t="s">
        <v>55</v>
      </c>
      <c r="F382" s="25" t="s">
        <v>1638</v>
      </c>
      <c r="G382" s="93" t="s">
        <v>10</v>
      </c>
      <c r="H382" s="25" t="str">
        <f>IFERROR(VLOOKUP(#REF!382,'정보화기기 명부'!A$2:B$187,2,FALSE),"")</f>
        <v/>
      </c>
      <c r="I382" s="125"/>
      <c r="J382" s="88" t="s">
        <v>938</v>
      </c>
      <c r="K382" s="25"/>
      <c r="L382" s="25">
        <v>20120113</v>
      </c>
      <c r="M382" s="125">
        <v>954617</v>
      </c>
      <c r="N382" s="25" t="s">
        <v>1193</v>
      </c>
      <c r="O382" s="162">
        <v>588</v>
      </c>
      <c r="P382" s="25" t="s">
        <v>1508</v>
      </c>
      <c r="Q382" s="25" t="s">
        <v>907</v>
      </c>
      <c r="R382" s="25" t="s">
        <v>964</v>
      </c>
      <c r="S382" s="25" t="s">
        <v>1015</v>
      </c>
    </row>
    <row r="383" spans="1:22" ht="13.5" hidden="1" customHeight="1" ns3:dyDescent="0.25">
      <c r="A383" s="25" t="s">
        <v>477</v>
      </c>
      <c r="B383" s="25" t="str">
        <f t="shared" si="26"/>
      </c>
      <c r="C383" s="25" t="s">
        <v>1147</v>
      </c>
      <c r="D383" s="25" t="s">
        <v>17</v>
      </c>
      <c r="E383" s="25" t="s">
        <v>55</v>
      </c>
      <c r="F383" s="25" t="s">
        <v>1638</v>
      </c>
      <c r="G383" s="93" t="s">
        <v>10</v>
      </c>
      <c r="H383" s="25" t="str">
        <f>IFERROR(VLOOKUP(#REF!383,'정보화기기 명부'!A$2:B$187,2,FALSE),"")</f>
        <v/>
      </c>
      <c r="I383" s="125"/>
      <c r="J383" s="88" t="s">
        <v>938</v>
      </c>
      <c r="K383" s="88" t="s">
        <v>472</v>
      </c>
      <c r="L383" s="138">
        <v>20120113</v>
      </c>
      <c r="M383" s="125">
        <v>954617</v>
      </c>
      <c r="N383" s="25" t="s">
        <v>1193</v>
      </c>
      <c r="O383" s="162">
        <v>587</v>
      </c>
      <c r="P383" s="25" t="s">
        <v>1401</v>
      </c>
      <c r="Q383" s="25" t="s">
        <v>907</v>
      </c>
      <c r="R383" s="25" t="s">
        <v>964</v>
      </c>
      <c r="S383" s="25" t="s">
        <v>1015</v>
      </c>
    </row>
    <row r="384" spans="1:22" ht="15" hidden="1" customHeight="1" ns3:dyDescent="0.25">
      <c r="A384" s="25" t="s">
        <v>493</v>
      </c>
      <c r="B384" s="25" t="str">
        <f t="shared" si="26"/>
      </c>
      <c r="C384" s="25" t="s">
        <v>1147</v>
      </c>
      <c r="D384" s="25" t="s">
        <v>17</v>
      </c>
      <c r="E384" s="25" t="s">
        <v>55</v>
      </c>
      <c r="F384" s="25" t="s">
        <v>1638</v>
      </c>
      <c r="G384" s="93" t="s">
        <v>10</v>
      </c>
      <c r="H384" s="25" t="str">
        <f>IFERROR(VLOOKUP(#REF!384,'정보화기기 명부'!A$2:B$187,2,FALSE),"")</f>
        <v/>
      </c>
      <c r="I384" s="125"/>
      <c r="J384" s="88" t="s">
        <v>938</v>
      </c>
      <c r="K384" s="25" t="s">
        <v>472</v>
      </c>
      <c r="L384" s="138">
        <v>20120113</v>
      </c>
      <c r="M384" s="125">
        <v>954617</v>
      </c>
      <c r="N384" s="25" t="s">
        <v>1193</v>
      </c>
      <c r="O384" s="162">
        <v>586</v>
      </c>
      <c r="P384" s="25" t="s">
        <v>1401</v>
      </c>
      <c r="Q384" s="25" t="s">
        <v>907</v>
      </c>
      <c r="R384" s="25" t="s">
        <v>964</v>
      </c>
      <c r="S384" s="25" t="s">
        <v>1015</v>
      </c>
    </row>
    <row r="385" spans="1:22" ht="15" hidden="1" customHeight="1" ns3:dyDescent="0.25">
      <c r="A385" s="25" t="s">
        <v>478</v>
      </c>
      <c r="B385" s="25" t="str">
        <f t="shared" si="26"/>
      </c>
      <c r="C385" s="25" t="s">
        <v>1147</v>
      </c>
      <c r="D385" s="25" t="s">
        <v>17</v>
      </c>
      <c r="E385" s="25" t="s">
        <v>55</v>
      </c>
      <c r="F385" s="25" t="s">
        <v>1638</v>
      </c>
      <c r="G385" s="93" t="s">
        <v>10</v>
      </c>
      <c r="H385" s="25" t="str">
        <f>IFERROR(VLOOKUP(#REF!385,'정보화기기 명부'!A$2:B$187,2,FALSE),"")</f>
        <v/>
      </c>
      <c r="I385" s="125"/>
      <c r="J385" s="88" t="s">
        <v>938</v>
      </c>
      <c r="K385" s="25" t="s">
        <v>472</v>
      </c>
      <c r="L385" s="138">
        <v>20120113</v>
      </c>
      <c r="M385" s="125">
        <v>954617</v>
      </c>
      <c r="N385" s="25" t="s">
        <v>1193</v>
      </c>
      <c r="O385" s="162">
        <v>585</v>
      </c>
      <c r="P385" s="25" t="s">
        <v>1401</v>
      </c>
      <c r="Q385" s="25" t="s">
        <v>907</v>
      </c>
      <c r="R385" s="25" t="s">
        <v>964</v>
      </c>
      <c r="S385" s="25" t="s">
        <v>1015</v>
      </c>
    </row>
    <row r="386" spans="1:22" ht="15" hidden="1" customHeight="1" ns3:dyDescent="0.25">
      <c r="A386" s="25" t="s">
        <v>479</v>
      </c>
      <c r="B386" s="25" t="str">
        <f t="shared" si="26"/>
      </c>
      <c r="C386" s="25" t="s">
        <v>1147</v>
      </c>
      <c r="D386" s="25" t="s">
        <v>17</v>
      </c>
      <c r="E386" s="25" t="s">
        <v>55</v>
      </c>
      <c r="F386" s="25" t="s">
        <v>1638</v>
      </c>
      <c r="G386" s="93" t="s">
        <v>10</v>
      </c>
      <c r="H386" s="25" t="str">
        <f>IFERROR(VLOOKUP(#REF!386,'정보화기기 명부'!A$2:B$187,2,FALSE),"")</f>
        <v/>
      </c>
      <c r="I386" s="125"/>
      <c r="J386" s="88" t="s">
        <v>938</v>
      </c>
      <c r="K386" s="25" t="s">
        <v>472</v>
      </c>
      <c r="L386" s="138">
        <v>20120113</v>
      </c>
      <c r="M386" s="125">
        <v>954617</v>
      </c>
      <c r="N386" s="25" t="s">
        <v>1193</v>
      </c>
      <c r="O386" s="162">
        <v>584</v>
      </c>
      <c r="P386" s="25" t="s">
        <v>1401</v>
      </c>
      <c r="Q386" s="25" t="s">
        <v>907</v>
      </c>
      <c r="R386" s="25" t="s">
        <v>964</v>
      </c>
      <c r="S386" s="25" t="s">
        <v>1015</v>
      </c>
    </row>
    <row r="387" spans="1:22" ht="15" hidden="1" customHeight="1" ns3:dyDescent="0.25">
      <c r="A387" s="25" t="s">
        <v>485</v>
      </c>
      <c r="B387" s="25" t="str">
        <f t="shared" si="26"/>
      </c>
      <c r="C387" s="25" t="s">
        <v>1147</v>
      </c>
      <c r="D387" s="25" t="s">
        <v>17</v>
      </c>
      <c r="E387" s="25" t="s">
        <v>55</v>
      </c>
      <c r="F387" s="25" t="s">
        <v>1638</v>
      </c>
      <c r="G387" s="25" t="s">
        <v>10</v>
      </c>
      <c r="H387" s="25" t="str">
        <f>IFERROR(VLOOKUP(#REF!387,'정보화기기 명부'!A$2:B$187,2,FALSE),"")</f>
        <v/>
      </c>
      <c r="I387" s="125"/>
      <c r="J387" s="25" t="s">
        <v>938</v>
      </c>
      <c r="K387" s="25" t="s">
        <v>472</v>
      </c>
      <c r="L387" s="138">
        <v>20120113</v>
      </c>
      <c r="M387" s="125">
        <v>954617</v>
      </c>
      <c r="N387" s="25" t="s">
        <v>1193</v>
      </c>
      <c r="O387" s="162">
        <v>583</v>
      </c>
      <c r="P387" s="25" t="s">
        <v>1401</v>
      </c>
      <c r="Q387" s="25" t="s">
        <v>907</v>
      </c>
      <c r="R387" s="25" t="s">
        <v>964</v>
      </c>
      <c r="S387" s="25" t="s">
        <v>1015</v>
      </c>
    </row>
    <row r="388" spans="1:22" ht="15" hidden="1" customHeight="1" ns3:dyDescent="0.25">
      <c r="A388" s="25" t="s">
        <v>485</v>
      </c>
      <c r="B388" s="25" t="str">
        <f t="shared" si="26"/>
      </c>
      <c r="C388" s="25" t="s">
        <v>1147</v>
      </c>
      <c r="D388" s="25" t="s">
        <v>17</v>
      </c>
      <c r="E388" s="25" t="s">
        <v>55</v>
      </c>
      <c r="F388" s="25" t="s">
        <v>1638</v>
      </c>
      <c r="G388" s="25" t="s">
        <v>10</v>
      </c>
      <c r="H388" s="25" t="str">
        <f>IFERROR(VLOOKUP(#REF!388,'정보화기기 명부'!A$2:B$187,2,FALSE),"")</f>
        <v/>
      </c>
      <c r="I388" s="125"/>
      <c r="J388" s="25" t="s">
        <v>938</v>
      </c>
      <c r="K388" s="25"/>
      <c r="L388" s="25">
        <v>20120113</v>
      </c>
      <c r="M388" s="125">
        <v>954617</v>
      </c>
      <c r="N388" s="25" t="s">
        <v>1193</v>
      </c>
      <c r="O388" s="162">
        <v>582</v>
      </c>
      <c r="P388" s="25" t="s">
        <v>1508</v>
      </c>
      <c r="Q388" s="25" t="s">
        <v>907</v>
      </c>
      <c r="R388" s="25" t="s">
        <v>964</v>
      </c>
      <c r="S388" s="25" t="s">
        <v>1015</v>
      </c>
    </row>
    <row r="389" spans="1:22" ht="13.5" hidden="1" customHeight="1" ns3:dyDescent="0.25">
      <c r="A389" s="25" t="s">
        <v>498</v>
      </c>
      <c r="B389" s="25" t="str">
        <f t="shared" si="26"/>
      </c>
      <c r="C389" s="25" t="s">
        <v>1147</v>
      </c>
      <c r="D389" s="25" t="s">
        <v>17</v>
      </c>
      <c r="E389" s="25" t="s">
        <v>55</v>
      </c>
      <c r="F389" s="25" t="s">
        <v>1638</v>
      </c>
      <c r="G389" s="93" t="s">
        <v>10</v>
      </c>
      <c r="H389" s="25" t="str">
        <f>IFERROR(VLOOKUP(#REF!389,'정보화기기 명부'!A$2:B$187,2,FALSE),"")</f>
        <v/>
      </c>
      <c r="I389" s="125"/>
      <c r="J389" s="88" t="s">
        <v>938</v>
      </c>
      <c r="K389" s="88"/>
      <c r="L389" s="25">
        <v>20120113</v>
      </c>
      <c r="M389" s="125">
        <v>954617</v>
      </c>
      <c r="N389" s="25" t="s">
        <v>1193</v>
      </c>
      <c r="O389" s="162">
        <v>581</v>
      </c>
      <c r="P389" s="25" t="s">
        <v>1508</v>
      </c>
      <c r="Q389" s="25" t="s">
        <v>907</v>
      </c>
      <c r="R389" s="25" t="s">
        <v>964</v>
      </c>
      <c r="S389" s="25" t="s">
        <v>1015</v>
      </c>
    </row>
    <row r="390" spans="1:22" ht="13.5" hidden="1" customHeight="1" ns3:dyDescent="0.25">
      <c r="A390" s="25" t="s">
        <v>467</v>
      </c>
      <c r="B390" s="25" t="str">
        <f t="shared" si="26"/>
      </c>
      <c r="C390" s="25" t="s">
        <v>1147</v>
      </c>
      <c r="D390" s="25" t="s">
        <v>17</v>
      </c>
      <c r="E390" s="25" t="s">
        <v>55</v>
      </c>
      <c r="F390" s="94" t="s">
        <v>1638</v>
      </c>
      <c r="G390" s="25" t="s">
        <v>10</v>
      </c>
      <c r="H390" s="25" t="str">
        <f>IFERROR(VLOOKUP(#REF!390,'정보화기기 명부'!A$2:B$187,2,FALSE),"")</f>
        <v/>
      </c>
      <c r="I390" s="125"/>
      <c r="J390" s="25" t="s">
        <v>938</v>
      </c>
      <c r="K390" s="25"/>
      <c r="L390" s="25">
        <v>20120113</v>
      </c>
      <c r="M390" s="125">
        <v>954617</v>
      </c>
      <c r="N390" s="25" t="s">
        <v>1193</v>
      </c>
      <c r="O390" s="162">
        <v>580</v>
      </c>
      <c r="P390" s="25" t="s">
        <v>1508</v>
      </c>
      <c r="Q390" s="25" t="s">
        <v>907</v>
      </c>
      <c r="R390" s="25" t="s">
        <v>964</v>
      </c>
      <c r="S390" s="25" t="s">
        <v>1015</v>
      </c>
    </row>
    <row r="391" spans="1:22" ht="13.5" hidden="1" customHeight="1" ns3:dyDescent="0.25">
      <c r="A391" s="25" t="s">
        <v>489</v>
      </c>
      <c r="B391" s="25" t="str">
        <f t="shared" si="26"/>
      </c>
      <c r="C391" s="25" t="s">
        <v>1147</v>
      </c>
      <c r="D391" s="25" t="s">
        <v>17</v>
      </c>
      <c r="E391" s="25" t="s">
        <v>55</v>
      </c>
      <c r="F391" s="25" t="s">
        <v>1638</v>
      </c>
      <c r="G391" s="25" t="s">
        <v>10</v>
      </c>
      <c r="H391" s="25" t="str">
        <f>IFERROR(VLOOKUP(#REF!391,'정보화기기 명부'!A$2:B$187,2,FALSE),"")</f>
        <v/>
      </c>
      <c r="I391" s="125"/>
      <c r="J391" s="25" t="s">
        <v>938</v>
      </c>
      <c r="K391" s="25"/>
      <c r="L391" s="25">
        <v>20120113</v>
      </c>
      <c r="M391" s="125">
        <v>954617</v>
      </c>
      <c r="N391" s="25" t="s">
        <v>1193</v>
      </c>
      <c r="O391" s="162">
        <v>579</v>
      </c>
      <c r="P391" s="25" t="s">
        <v>1508</v>
      </c>
      <c r="Q391" s="25" t="s">
        <v>907</v>
      </c>
      <c r="R391" s="25" t="s">
        <v>964</v>
      </c>
      <c r="S391" s="25" t="s">
        <v>1015</v>
      </c>
    </row>
    <row r="392" spans="1:22" ht="13.5" hidden="1" customHeight="1" ns3:dyDescent="0.25">
      <c r="A392" s="25" t="s">
        <v>1023</v>
      </c>
      <c r="B392" s="25" t="str">
        <f t="shared" si="26"/>
      </c>
      <c r="C392" s="25" t="s">
        <v>1147</v>
      </c>
      <c r="D392" s="25" t="s">
        <v>17</v>
      </c>
      <c r="E392" s="25" t="s">
        <v>8</v>
      </c>
      <c r="F392" s="25" t="s">
        <v>1638</v>
      </c>
      <c r="G392" s="25" t="s">
        <v>10</v>
      </c>
      <c r="H392" s="25" t="str">
        <f>IFERROR(VLOOKUP(#REF!392,'정보화기기 명부'!A$2:B$187,2,FALSE),"")</f>
        <v/>
      </c>
      <c r="I392" s="125"/>
      <c r="J392" s="25"/>
      <c r="K392" s="25"/>
      <c r="L392" s="25">
        <v>20120113</v>
      </c>
      <c r="M392" s="125">
        <v>954617</v>
      </c>
      <c r="N392" s="25" t="s">
        <v>1193</v>
      </c>
      <c r="O392" s="162">
        <v>571</v>
      </c>
      <c r="P392" s="25" t="s">
        <v>1508</v>
      </c>
      <c r="Q392" s="25" t="s">
        <v>907</v>
      </c>
      <c r="R392" s="25" t="s">
        <v>964</v>
      </c>
      <c r="S392" s="25" t="s">
        <v>1015</v>
      </c>
    </row>
    <row r="393" spans="1:22" ht="13.5" hidden="1" customHeight="1" ns3:dyDescent="0.25">
      <c r="A393" s="25" t="s">
        <v>1011</v>
      </c>
      <c r="B393" s="25" t="str">
        <f t="shared" si="26"/>
      </c>
      <c r="C393" s="25" t="s">
        <v>1147</v>
      </c>
      <c r="D393" s="25" t="s">
        <v>17</v>
      </c>
      <c r="E393" s="25" t="s">
        <v>8</v>
      </c>
      <c r="F393" s="25" t="s">
        <v>1638</v>
      </c>
      <c r="G393" s="25" t="s">
        <v>10</v>
      </c>
      <c r="H393" s="25" t="str">
        <f>IFERROR(VLOOKUP(#REF!393,'정보화기기 명부'!A$2:B$187,2,FALSE),"")</f>
        <v/>
      </c>
      <c r="I393" s="125"/>
      <c r="J393" s="25"/>
      <c r="K393" s="25"/>
      <c r="L393" s="25">
        <v>20120113</v>
      </c>
      <c r="M393" s="125">
        <v>954616</v>
      </c>
      <c r="N393" s="25" t="s">
        <v>1193</v>
      </c>
      <c r="O393" s="162">
        <v>570</v>
      </c>
      <c r="P393" s="25" t="s">
        <v>1508</v>
      </c>
      <c r="Q393" s="25" t="s">
        <v>907</v>
      </c>
      <c r="R393" s="25" t="s">
        <v>964</v>
      </c>
      <c r="S393" s="25" t="s">
        <v>1015</v>
      </c>
    </row>
    <row r="394" spans="1:22" ht="13.5" hidden="1" customHeight="1" ns3:dyDescent="0.25">
      <c r="A394" s="25" t="s">
        <v>1029</v>
      </c>
      <c r="B394" s="25" t="str">
        <f t="shared" si="26"/>
      </c>
      <c r="C394" s="25" t="s">
        <v>1147</v>
      </c>
      <c r="D394" s="25" t="s">
        <v>17</v>
      </c>
      <c r="E394" s="25" t="s">
        <v>55</v>
      </c>
      <c r="F394" s="25" t="s">
        <v>1638</v>
      </c>
      <c r="G394" s="25" t="s">
        <v>10</v>
      </c>
      <c r="H394" s="25" t="str">
        <f>IFERROR(VLOOKUP(#REF!394,'정보화기기 명부'!A$2:B$187,2,FALSE),"")</f>
        <v/>
      </c>
      <c r="I394" s="125"/>
      <c r="J394" s="25" t="s">
        <v>938</v>
      </c>
      <c r="K394" s="25">
        <v>2020.07</v>
      </c>
      <c r="L394" s="25">
        <v>20120113</v>
      </c>
      <c r="M394" s="125">
        <v>954617</v>
      </c>
      <c r="N394" s="25" t="s">
        <v>1193</v>
      </c>
      <c r="O394" s="162">
        <v>569</v>
      </c>
      <c r="P394" s="25" t="s">
        <v>1508</v>
      </c>
      <c r="Q394" s="25" t="s">
        <v>907</v>
      </c>
      <c r="R394" s="25" t="s">
        <v>964</v>
      </c>
      <c r="S394" s="25" t="s">
        <v>1015</v>
      </c>
      <c r="T394" t="inlineStr">
        <is>
          <t>O</t>
        </is>
      </c>
    </row>
    <row r="395" spans="1:22" ht="13.5" hidden="1" customHeight="1" ns3:dyDescent="0.25">
      <c r="A395" s="13" t="s">
        <v>1028</v>
      </c>
      <c r="B395" s="25" t="str">
        <f t="shared" si="26"/>
      </c>
      <c r="C395" s="13" t="s">
        <v>1147</v>
      </c>
      <c r="D395" s="15" t="s">
        <v>17</v>
      </c>
      <c r="E395" s="13" t="s">
        <v>120</v>
      </c>
      <c r="F395" s="19" t="s">
        <v>1638</v>
      </c>
      <c r="G395" s="13" t="s">
        <v>10</v>
      </c>
      <c r="H395" s="13" t="str">
        <f>IFERROR(VLOOKUP(#REF!395,'정보화기기 명부'!A$2:B$187,2,FALSE),"")</f>
        <v/>
      </c>
      <c r="I395" s="22"/>
      <c r="J395" s="13" t="s">
        <v>738</v>
      </c>
      <c r="K395" s="25" t="s">
        <v>461</v>
      </c>
      <c r="L395" s="137">
        <v>20120113</v>
      </c>
      <c r="M395" s="22">
        <v>954617</v>
      </c>
      <c r="N395" s="13" t="s">
        <v>1193</v>
      </c>
      <c r="O395" s="208">
        <v>568</v>
      </c>
      <c r="P395" s="13" t="s">
        <v>104</v>
      </c>
      <c r="Q395" s="13" t="s">
        <v>907</v>
      </c>
      <c r="R395" s="13" t="s">
        <v>964</v>
      </c>
      <c r="S395" s="13" t="s">
        <v>1015</v>
      </c>
    </row>
    <row r="396" spans="1:22" s="14" customFormat="1" ht="13.5" hidden="1" customHeight="1" ns3:dyDescent="0.25">
      <c r="A396" s="13" t="s">
        <v>468</v>
      </c>
      <c r="B396" s="25" t="str">
        <f t="shared" si="26"/>
      </c>
      <c r="C396" s="13" t="s">
        <v>1147</v>
      </c>
      <c r="D396" s="144" t="s">
        <v>17</v>
      </c>
      <c r="E396" s="13" t="s">
        <v>55</v>
      </c>
      <c r="F396" s="13" t="s">
        <v>1638</v>
      </c>
      <c r="G396" s="18" t="s">
        <v>10</v>
      </c>
      <c r="H396" s="13" t="str">
        <f>IFERROR(VLOOKUP(#REF!396,'정보화기기 명부'!A$2:B$187,2,FALSE),"")</f>
        <v/>
      </c>
      <c r="I396" s="22"/>
      <c r="J396" s="17" t="s">
        <v>738</v>
      </c>
      <c r="K396" s="25" t="s">
        <v>461</v>
      </c>
      <c r="L396" s="137">
        <v>20120101</v>
      </c>
      <c r="M396" s="22">
        <v>954617</v>
      </c>
      <c r="N396" s="13" t="s">
        <v>1193</v>
      </c>
      <c r="O396" s="208">
        <v>615</v>
      </c>
      <c r="P396" s="13" t="s">
        <v>104</v>
      </c>
      <c r="Q396" s="13" t="s">
        <v>907</v>
      </c>
      <c r="R396" s="13" t="s">
        <v>964</v>
      </c>
      <c r="S396" s="13" t="s">
        <v>1015</v>
      </c>
    </row>
    <row r="397" spans="1:22" s="14" customFormat="1" ht="13.5" customHeight="1" ns3:dyDescent="0.25">
      <c r="A397" s="13" t="s">
        <v>1014</v>
      </c>
      <c r="B397" s="25" t="str">
        <f t="shared" si="26"/>
      </c>
      <c r="C397" s="13" t="s">
        <v>102</v>
      </c>
      <c r="D397" s="13" t="s">
        <v>17</v>
      </c>
      <c r="E397" s="13" t="s">
        <v>55</v>
      </c>
      <c r="F397" s="13" t="s">
        <v>1298</v>
      </c>
      <c r="G397" s="18" t="s">
        <v>117</v>
      </c>
      <c r="H397" s="13" t="str">
        <f>IFERROR(VLOOKUP(#REF!397,'정보화기기 명부'!A$2:B$187,2,FALSE),"")</f>
        <v/>
      </c>
      <c r="I397" s="22"/>
      <c r="J397" s="17" t="s">
        <v>938</v>
      </c>
      <c r="K397" s="17"/>
      <c r="L397" s="13">
        <v>20120101</v>
      </c>
      <c r="M397" s="22">
        <v>1120000</v>
      </c>
      <c r="N397" s="13" t="s">
        <v>1186</v>
      </c>
      <c r="O397" s="208">
        <v>573</v>
      </c>
      <c r="P397" s="13" t="s">
        <v>104</v>
      </c>
      <c r="Q397" s="13" t="s">
        <v>979</v>
      </c>
      <c r="R397" s="13" t="s">
        <v>964</v>
      </c>
      <c r="S397" s="13" t="s">
        <v>1197</v>
      </c>
    </row>
    <row r="398" spans="1:22" ht="13.5" hidden="1" customHeight="1" ns3:dyDescent="0.25">
      <c r="A398" s="25" t="s">
        <v>974</v>
      </c>
      <c r="B398" s="25" t="str">
        <f t="shared" si="26"/>
      </c>
      <c r="C398" s="25" t="s">
        <v>1147</v>
      </c>
      <c r="D398" s="25" t="s">
        <v>17</v>
      </c>
      <c r="E398" s="25" t="s">
        <v>8</v>
      </c>
      <c r="F398" s="25" t="s">
        <v>1674</v>
      </c>
      <c r="G398" s="93" t="s">
        <v>10</v>
      </c>
      <c r="H398" s="25" t="str">
        <f>IFERROR(VLOOKUP(#REF!398,'정보화기기 명부'!A$2:B$187,2,FALSE),"")</f>
        <v/>
      </c>
      <c r="I398" s="125"/>
      <c r="J398" s="88"/>
      <c r="K398" s="88"/>
      <c r="L398" s="25">
        <v>20111006</v>
      </c>
      <c r="M398" s="125">
        <v>1036290</v>
      </c>
      <c r="N398" s="25" t="s">
        <v>1191</v>
      </c>
      <c r="O398" s="162">
        <v>566</v>
      </c>
      <c r="P398" s="25" t="s">
        <v>1020</v>
      </c>
      <c r="Q398" s="25" t="s">
        <v>972</v>
      </c>
      <c r="R398" s="25" t="s">
        <v>725</v>
      </c>
      <c r="S398" s="25" t="s">
        <v>734</v>
      </c>
    </row>
    <row r="399" spans="1:22" s="14" customFormat="1" ht="13.5" hidden="1" customHeight="1" ns3:dyDescent="0.25">
      <c r="A399" s="13" t="s">
        <v>135</v>
      </c>
      <c r="B399" s="25" t="str">
        <f t="shared" si="26"/>
      </c>
      <c r="C399" s="13" t="s">
        <v>1147</v>
      </c>
      <c r="D399" s="13" t="s">
        <v>17</v>
      </c>
      <c r="E399" s="13" t="s">
        <v>8</v>
      </c>
      <c r="F399" s="13" t="s">
        <v>1667</v>
      </c>
      <c r="G399" s="13" t="s">
        <v>10</v>
      </c>
      <c r="H399" s="13" t="str">
        <f>IFERROR(VLOOKUP(#REF!399,'정보화기기 명부'!A$2:B$187,2,FALSE),"")</f>
        <v/>
      </c>
      <c r="I399" s="22"/>
      <c r="J399" s="13"/>
      <c r="K399" s="13"/>
      <c r="L399" s="13">
        <v>20110927</v>
      </c>
      <c r="M399" s="22">
        <v>1377940</v>
      </c>
      <c r="N399" s="13" t="s">
        <v>1191</v>
      </c>
      <c r="O399" s="208">
        <v>567</v>
      </c>
      <c r="P399" s="13" t="s">
        <v>1020</v>
      </c>
      <c r="Q399" s="13" t="s">
        <v>905</v>
      </c>
      <c r="R399" s="13" t="s">
        <v>725</v>
      </c>
      <c r="S399" s="13" t="s">
        <v>734</v>
      </c>
    </row>
    <row r="400" spans="1:22" ht="13.5" hidden="1" customHeight="1" ns3:dyDescent="0.25">
      <c r="A400" s="25" t="s">
        <v>913</v>
      </c>
      <c r="B400" s="25" t="str">
        <f t="shared" si="26"/>
      </c>
      <c r="C400" s="25" t="s">
        <v>1147</v>
      </c>
      <c r="D400" s="25" t="s">
        <v>17</v>
      </c>
      <c r="E400" s="25" t="s">
        <v>8</v>
      </c>
      <c r="F400" s="25" t="s">
        <v>1667</v>
      </c>
      <c r="G400" s="93" t="s">
        <v>10</v>
      </c>
      <c r="H400" s="25" t="str">
        <f>IFERROR(VLOOKUP(#REF!400,'정보화기기 명부'!A$2:B$187,2,FALSE),"")</f>
        <v>정보교육부</v>
      </c>
      <c r="I400" s="125"/>
      <c r="J400" s="88"/>
      <c r="K400" s="25">
        <v>2020.07</v>
      </c>
      <c r="L400" s="25">
        <v>20110905</v>
      </c>
      <c r="M400" s="125">
        <v>1376650</v>
      </c>
      <c r="N400" s="25" t="s">
        <v>1191</v>
      </c>
      <c r="O400" s="162">
        <v>565</v>
      </c>
      <c r="P400" s="25" t="s">
        <v>1270</v>
      </c>
      <c r="Q400" s="25" t="s">
        <v>905</v>
      </c>
      <c r="R400" s="25" t="s">
        <v>725</v>
      </c>
      <c r="S400" s="25" t="s">
        <v>734</v>
      </c>
    </row>
    <row r="401" spans="1:22" s="14" customFormat="1" ht="13.5" customHeight="1" ns3:dyDescent="0.25">
      <c r="A401" s="13" t="s">
        <v>150</v>
      </c>
      <c r="B401" s="25" t="str">
        <f t="shared" si="26"/>
      </c>
      <c r="C401" s="13" t="s">
        <v>102</v>
      </c>
      <c r="D401" s="13" t="s">
        <v>17</v>
      </c>
      <c r="E401" s="13" t="s">
        <v>120</v>
      </c>
      <c r="F401" s="13" t="s">
        <v>1643</v>
      </c>
      <c r="G401" s="18" t="s">
        <v>10</v>
      </c>
      <c r="H401" s="13" t="str">
        <f>IFERROR(VLOOKUP(#REF!401,'정보화기기 명부'!A$2:B$187,2,FALSE),"")</f>
        <v/>
      </c>
      <c r="I401" s="22"/>
      <c r="J401" s="17"/>
      <c r="K401" s="17"/>
      <c r="L401" s="13">
        <v>20110905</v>
      </c>
      <c r="M401" s="22">
        <v>1256070</v>
      </c>
      <c r="N401" s="13" t="s">
        <v>1191</v>
      </c>
      <c r="O401" s="208">
        <v>564</v>
      </c>
      <c r="P401" s="13" t="s">
        <v>1020</v>
      </c>
      <c r="Q401" s="13" t="s">
        <v>950</v>
      </c>
      <c r="R401" s="13" t="s">
        <v>725</v>
      </c>
      <c r="S401" s="13" t="s">
        <v>1197</v>
      </c>
    </row>
    <row r="402" spans="1:22" ht="13.5" hidden="1" customHeight="1" ns3:dyDescent="0.25">
      <c r="A402" s="25" t="s">
        <v>494</v>
      </c>
      <c r="B402" s="25" t="str">
        <f t="shared" si="26"/>
      </c>
      <c r="C402" s="25" t="s">
        <v>1147</v>
      </c>
      <c r="D402" s="25" t="s">
        <v>17</v>
      </c>
      <c r="E402" s="25" t="s">
        <v>55</v>
      </c>
      <c r="F402" s="94" t="s">
        <v>1647</v>
      </c>
      <c r="G402" s="25" t="s">
        <v>10</v>
      </c>
      <c r="H402" s="25" t="str">
        <f>IFERROR(VLOOKUP(#REF!402,'정보화기기 명부'!A$2:B$187,2,FALSE),"")</f>
        <v/>
      </c>
      <c r="I402" s="125"/>
      <c r="J402" s="25" t="s">
        <v>938</v>
      </c>
      <c r="K402" s="88"/>
      <c r="L402" s="25">
        <v>20110627</v>
      </c>
      <c r="M402" s="125">
        <v>1498940</v>
      </c>
      <c r="N402" s="25" t="s">
        <v>1191</v>
      </c>
      <c r="O402" s="162">
        <v>561</v>
      </c>
      <c r="P402" s="25" t="s">
        <v>1508</v>
      </c>
      <c r="Q402" s="25" t="s">
        <v>905</v>
      </c>
      <c r="R402" s="25" t="s">
        <v>725</v>
      </c>
      <c r="S402" s="25" t="s">
        <v>1215</v>
      </c>
    </row>
    <row r="403" spans="1:22" s="14" customFormat="1" ht="13.5" customHeight="1" ns3:dyDescent="0.25">
      <c r="A403" s="13" t="s">
        <v>136</v>
      </c>
      <c r="B403" s="25" t="str">
        <f t="shared" si="26"/>
      </c>
      <c r="C403" s="13" t="s">
        <v>102</v>
      </c>
      <c r="D403" s="13" t="s">
        <v>17</v>
      </c>
      <c r="E403" s="13" t="s">
        <v>55</v>
      </c>
      <c r="F403" s="13" t="s">
        <v>1658</v>
      </c>
      <c r="G403" s="13" t="s">
        <v>10</v>
      </c>
      <c r="H403" s="13" t="str">
        <f>IFERROR(VLOOKUP(#REF!403,'정보화기기 명부'!A$2:B$187,2,FALSE),"")</f>
        <v/>
      </c>
      <c r="I403" s="22"/>
      <c r="J403" s="13" t="s">
        <v>738</v>
      </c>
      <c r="K403" s="13"/>
      <c r="L403" s="13">
        <v>20110530</v>
      </c>
      <c r="M403" s="22">
        <v>1467095</v>
      </c>
      <c r="N403" s="13" t="s">
        <v>1193</v>
      </c>
      <c r="O403" s="208">
        <v>563</v>
      </c>
      <c r="P403" s="13" t="s">
        <v>1020</v>
      </c>
      <c r="Q403" s="13" t="s">
        <v>950</v>
      </c>
      <c r="R403" s="13" t="s">
        <v>1013</v>
      </c>
      <c r="S403" s="13" t="s">
        <v>1197</v>
      </c>
    </row>
    <row r="404" spans="1:22" s="14" customFormat="1" ht="13.5" customHeight="1" ns3:dyDescent="0.25">
      <c r="A404" s="13" t="s">
        <v>136</v>
      </c>
      <c r="B404" s="25" t="str">
        <f t="shared" si="26"/>
      </c>
      <c r="C404" s="13" t="s">
        <v>102</v>
      </c>
      <c r="D404" s="13" t="s">
        <v>17</v>
      </c>
      <c r="E404" s="13" t="s">
        <v>55</v>
      </c>
      <c r="F404" s="13" t="s">
        <v>1658</v>
      </c>
      <c r="G404" s="13" t="s">
        <v>10</v>
      </c>
      <c r="H404" s="13" t="str">
        <f>IFERROR(VLOOKUP(#REF!404,'정보화기기 명부'!A$2:B$187,2,FALSE),"")</f>
        <v/>
      </c>
      <c r="I404" s="22"/>
      <c r="J404" s="13" t="s">
        <v>738</v>
      </c>
      <c r="K404" s="13"/>
      <c r="L404" s="13">
        <v>20110530</v>
      </c>
      <c r="M404" s="22">
        <v>1467095</v>
      </c>
      <c r="N404" s="13" t="s">
        <v>1193</v>
      </c>
      <c r="O404" s="208">
        <v>562</v>
      </c>
      <c r="P404" s="13" t="s">
        <v>1020</v>
      </c>
      <c r="Q404" s="13" t="s">
        <v>950</v>
      </c>
      <c r="R404" s="13" t="s">
        <v>1013</v>
      </c>
      <c r="S404" s="13" t="s">
        <v>1197</v>
      </c>
    </row>
    <row r="405" spans="1:22" s="14" customFormat="1" ht="13.5" customHeight="1" ns3:dyDescent="0.25">
      <c r="A405" s="13" t="s">
        <v>140</v>
      </c>
      <c r="B405" s="25" t="str">
        <f t="shared" si="26"/>
      </c>
      <c r="C405" s="13" t="s">
        <v>102</v>
      </c>
      <c r="D405" s="13" t="s">
        <v>17</v>
      </c>
      <c r="E405" s="13" t="s">
        <v>120</v>
      </c>
      <c r="F405" s="13" t="s">
        <v>1256</v>
      </c>
      <c r="G405" s="13" t="s">
        <v>138</v>
      </c>
      <c r="H405" s="13" t="str">
        <f>IFERROR(VLOOKUP(#REF!405,'정보화기기 명부'!A$2:B$187,2,FALSE),"")</f>
        <v/>
      </c>
      <c r="I405" s="22"/>
      <c r="J405" s="13"/>
      <c r="K405" s="13"/>
      <c r="L405" s="13">
        <v>20110304</v>
      </c>
      <c r="M405" s="22">
        <v>1125440</v>
      </c>
      <c r="N405" s="13" t="s">
        <v>1193</v>
      </c>
      <c r="O405" s="208">
        <v>559</v>
      </c>
      <c r="P405" s="13" t="s">
        <v>1508</v>
      </c>
      <c r="Q405" s="13" t="s">
        <v>1204</v>
      </c>
      <c r="R405" s="13" t="s">
        <v>1013</v>
      </c>
      <c r="S405" s="13" t="s">
        <v>743</v>
      </c>
    </row>
    <row r="406" spans="1:22" s="14" customFormat="1" ht="13.5" customHeight="1" ns3:dyDescent="0.25">
      <c r="A406" s="13" t="s">
        <v>1003</v>
      </c>
      <c r="B406" s="25" t="str">
        <f t="shared" si="26"/>
      </c>
      <c r="C406" s="13" t="s">
        <v>102</v>
      </c>
      <c r="D406" s="13" t="s">
        <v>17</v>
      </c>
      <c r="E406" s="13" t="s">
        <v>8</v>
      </c>
      <c r="F406" s="13" t="s">
        <v>1258</v>
      </c>
      <c r="G406" s="13" t="s">
        <v>138</v>
      </c>
      <c r="H406" s="13" t="str">
        <f>IFERROR(VLOOKUP(#REF!406,'정보화기기 명부'!A$2:B$187,2,FALSE),"")</f>
        <v/>
      </c>
      <c r="I406" s="22"/>
      <c r="J406" s="13"/>
      <c r="K406" s="13"/>
      <c r="L406" s="13">
        <v>20110216</v>
      </c>
      <c r="M406" s="22">
        <v>1316360</v>
      </c>
      <c r="N406" s="13" t="s">
        <v>1193</v>
      </c>
      <c r="O406" s="208">
        <v>558</v>
      </c>
      <c r="P406" s="13" t="s">
        <v>1020</v>
      </c>
      <c r="Q406" s="13" t="s">
        <v>1026</v>
      </c>
      <c r="R406" s="13" t="s">
        <v>1000</v>
      </c>
      <c r="S406" s="13" t="s">
        <v>743</v>
      </c>
    </row>
    <row r="407" spans="1:22" s="14" customFormat="1" ht="13.5" hidden="1" customHeight="1" ns3:dyDescent="0.25">
      <c r="A407" s="13" t="s">
        <v>142</v>
      </c>
      <c r="B407" s="25" t="str">
        <f t="shared" si="26"/>
      </c>
      <c r="C407" s="13" t="s">
        <v>1147</v>
      </c>
      <c r="D407" s="13" t="s">
        <v>17</v>
      </c>
      <c r="E407" s="13" t="s">
        <v>8</v>
      </c>
      <c r="F407" s="25" t="s">
        <v>1545</v>
      </c>
      <c r="G407" s="13" t="s">
        <v>138</v>
      </c>
      <c r="H407" s="13" t="str">
        <f>IFERROR(VLOOKUP(#REF!407,'정보화기기 명부'!A$2:B$187,2,FALSE),"")</f>
        <v/>
      </c>
      <c r="I407" s="22"/>
      <c r="J407" s="13"/>
      <c r="K407" s="13"/>
      <c r="L407" s="13">
        <v>20110216</v>
      </c>
      <c r="M407" s="22">
        <v>1296260</v>
      </c>
      <c r="N407" s="13" t="s">
        <v>1191</v>
      </c>
      <c r="O407" s="208">
        <v>557</v>
      </c>
      <c r="P407" s="13" t="s">
        <v>495</v>
      </c>
      <c r="Q407" s="13" t="s">
        <v>729</v>
      </c>
      <c r="R407" s="13" t="s">
        <v>725</v>
      </c>
      <c r="S407" s="13" t="s">
        <v>1197</v>
      </c>
    </row>
    <row r="408" spans="1:22" s="14" customFormat="1" ht="13.5" customHeight="1" ns3:dyDescent="0.25">
      <c r="A408" s="13" t="s">
        <v>753</v>
      </c>
      <c r="B408" s="25" t="str">
        <f t="shared" si="26"/>
      </c>
      <c r="C408" s="13" t="s">
        <v>102</v>
      </c>
      <c r="D408" s="13" t="s">
        <v>17</v>
      </c>
      <c r="E408" s="13" t="s">
        <v>8</v>
      </c>
      <c r="F408" s="13" t="s">
        <v>1700</v>
      </c>
      <c r="G408" s="13" t="s">
        <v>10</v>
      </c>
      <c r="H408" s="13" t="str">
        <f>IFERROR(VLOOKUP(#REF!408,'정보화기기 명부'!A$2:B$187,2,FALSE),"")</f>
        <v/>
      </c>
      <c r="I408" s="22"/>
      <c r="J408" s="13"/>
      <c r="K408" s="13"/>
      <c r="L408" s="13">
        <v>20110103</v>
      </c>
      <c r="M408" s="22">
        <v>1241950</v>
      </c>
      <c r="N408" s="13" t="s">
        <v>1191</v>
      </c>
      <c r="O408" s="208">
        <v>556</v>
      </c>
      <c r="P408" s="13" t="s">
        <v>1020</v>
      </c>
      <c r="Q408" s="13" t="s">
        <v>979</v>
      </c>
      <c r="R408" s="13" t="s">
        <v>1000</v>
      </c>
      <c r="S408" s="13" t="s">
        <v>743</v>
      </c>
    </row>
    <row r="409" spans="1:22" s="14" customFormat="1" ht="13.5" customHeight="1" ns3:dyDescent="0.25">
      <c r="A409" s="13" t="s">
        <v>753</v>
      </c>
      <c r="B409" s="25" t="str">
        <f t="shared" si="26"/>
      </c>
      <c r="C409" s="13" t="s">
        <v>102</v>
      </c>
      <c r="D409" s="13" t="s">
        <v>17</v>
      </c>
      <c r="E409" s="13" t="s">
        <v>8</v>
      </c>
      <c r="F409" s="19" t="s">
        <v>1700</v>
      </c>
      <c r="G409" s="13" t="s">
        <v>10</v>
      </c>
      <c r="H409" s="13" t="str">
        <f>IFERROR(VLOOKUP(#REF!409,'정보화기기 명부'!A$2:B$187,2,FALSE),"")</f>
        <v/>
      </c>
      <c r="I409" s="22"/>
      <c r="J409" s="13"/>
      <c r="K409" s="13"/>
      <c r="L409" s="13">
        <v>20110103</v>
      </c>
      <c r="M409" s="22">
        <v>1230000</v>
      </c>
      <c r="N409" s="13" t="s">
        <v>1191</v>
      </c>
      <c r="O409" s="208">
        <v>555</v>
      </c>
      <c r="P409" s="13" t="s">
        <v>1020</v>
      </c>
      <c r="Q409" s="13" t="s">
        <v>979</v>
      </c>
      <c r="R409" s="13" t="s">
        <v>1000</v>
      </c>
      <c r="S409" s="13" t="s">
        <v>743</v>
      </c>
    </row>
    <row r="410" spans="1:22" s="14" customFormat="1" ht="13.5" hidden="1" customHeight="1" ns3:dyDescent="0.25">
      <c r="A410" s="13" t="s">
        <v>157</v>
      </c>
      <c r="B410" s="25" t="str">
        <f t="shared" si="26"/>
      </c>
      <c r="C410" s="13" t="s">
        <v>1147</v>
      </c>
      <c r="D410" s="13" t="s">
        <v>17</v>
      </c>
      <c r="E410" s="13" t="s">
        <v>8</v>
      </c>
      <c r="F410" s="13" t="s">
        <v>1662</v>
      </c>
      <c r="G410" s="18" t="s">
        <v>10</v>
      </c>
      <c r="H410" s="13" t="str">
        <f>IFERROR(VLOOKUP(#REF!410,'정보화기기 명부'!A$2:B$187,2,FALSE),"")</f>
        <v/>
      </c>
      <c r="I410" s="22"/>
      <c r="J410" s="17"/>
      <c r="K410" s="17"/>
      <c r="L410" s="13">
        <v>20100726</v>
      </c>
      <c r="M410" s="22">
        <v>980000</v>
      </c>
      <c r="N410" s="13" t="s">
        <v>1191</v>
      </c>
      <c r="O410" s="208">
        <v>552</v>
      </c>
      <c r="P410" s="13" t="s">
        <v>495</v>
      </c>
      <c r="Q410" s="13" t="s">
        <v>1018</v>
      </c>
      <c r="R410" s="13" t="s">
        <v>1000</v>
      </c>
      <c r="S410" s="13" t="s">
        <v>1197</v>
      </c>
    </row>
    <row r="411" spans="1:22" s="14" customFormat="1" ht="13.5" hidden="1" customHeight="1" ns3:dyDescent="0.25">
      <c r="A411" s="13" t="s">
        <v>157</v>
      </c>
      <c r="B411" s="25" t="str">
        <f t="shared" si="26"/>
      </c>
      <c r="C411" s="13" t="s">
        <v>1147</v>
      </c>
      <c r="D411" s="13" t="s">
        <v>17</v>
      </c>
      <c r="E411" s="13" t="s">
        <v>8</v>
      </c>
      <c r="F411" s="13" t="s">
        <v>1662</v>
      </c>
      <c r="G411" s="18" t="s">
        <v>10</v>
      </c>
      <c r="H411" s="13" t="str">
        <f>IFERROR(VLOOKUP(#REF!411,'정보화기기 명부'!A$2:B$187,2,FALSE),"")</f>
        <v/>
      </c>
      <c r="I411" s="22"/>
      <c r="J411" s="17"/>
      <c r="K411" s="17"/>
      <c r="L411" s="13">
        <v>20100726</v>
      </c>
      <c r="M411" s="22">
        <v>980000</v>
      </c>
      <c r="N411" s="13" t="s">
        <v>1191</v>
      </c>
      <c r="O411" s="208">
        <v>551</v>
      </c>
      <c r="P411" s="13" t="s">
        <v>1020</v>
      </c>
      <c r="Q411" s="13" t="s">
        <v>1018</v>
      </c>
      <c r="R411" s="13" t="s">
        <v>1000</v>
      </c>
      <c r="S411" s="13" t="s">
        <v>1197</v>
      </c>
    </row>
    <row r="412" spans="1:22" s="14" customFormat="1" ht="13.5" hidden="1" customHeight="1" ns3:dyDescent="0.25">
      <c r="A412" s="13" t="s">
        <v>1002</v>
      </c>
      <c r="B412" s="25" t="str">
        <f t="shared" si="26"/>
      </c>
      <c r="C412" s="13" t="s">
        <v>1147</v>
      </c>
      <c r="D412" s="21" t="s">
        <v>17</v>
      </c>
      <c r="E412" s="13" t="s">
        <v>8</v>
      </c>
      <c r="F412" s="13" t="s">
        <v>1662</v>
      </c>
      <c r="G412" s="18" t="s">
        <v>10</v>
      </c>
      <c r="H412" s="13" t="str">
        <f>IFERROR(VLOOKUP(#REF!412,'정보화기기 명부'!A$2:B$187,2,FALSE),"")</f>
        <v/>
      </c>
      <c r="I412" s="22"/>
      <c r="J412" s="17"/>
      <c r="K412" s="17"/>
      <c r="L412" s="13">
        <v>20100726</v>
      </c>
      <c r="M412" s="22">
        <v>980000</v>
      </c>
      <c r="N412" s="13" t="s">
        <v>1191</v>
      </c>
      <c r="O412" s="208">
        <v>550</v>
      </c>
      <c r="P412" s="13" t="s">
        <v>1020</v>
      </c>
      <c r="Q412" s="13" t="s">
        <v>1018</v>
      </c>
      <c r="R412" s="13" t="s">
        <v>1000</v>
      </c>
      <c r="S412" s="13" t="s">
        <v>1197</v>
      </c>
    </row>
    <row r="413" spans="1:22" ht="13.5" hidden="1" customHeight="1" ns3:dyDescent="0.25">
      <c r="A413" s="25" t="s">
        <v>1025</v>
      </c>
      <c r="B413" s="25" t="str">
        <f t="shared" si="26"/>
      </c>
      <c r="C413" s="25" t="s">
        <v>1147</v>
      </c>
      <c r="D413" s="25" t="s">
        <v>17</v>
      </c>
      <c r="E413" s="25" t="s">
        <v>8</v>
      </c>
      <c r="F413" s="25" t="s">
        <v>1272</v>
      </c>
      <c r="G413" s="93" t="s">
        <v>117</v>
      </c>
      <c r="H413" s="25" t="str">
        <f>IFERROR(VLOOKUP(#REF!413,'정보화기기 명부'!A$2:B$187,2,FALSE),"")</f>
        <v/>
      </c>
      <c r="I413" s="125"/>
      <c r="J413" s="88"/>
      <c r="K413" s="25"/>
      <c r="L413" s="25">
        <v>20100726</v>
      </c>
      <c r="M413" s="125">
        <v>1090000</v>
      </c>
      <c r="N413" s="25" t="s">
        <v>1191</v>
      </c>
      <c r="O413" s="162">
        <v>549</v>
      </c>
      <c r="P413" s="25" t="s">
        <v>1508</v>
      </c>
      <c r="Q413" s="25" t="s">
        <v>972</v>
      </c>
      <c r="R413" s="25" t="s">
        <v>1013</v>
      </c>
      <c r="S413" s="25" t="s">
        <v>743</v>
      </c>
      <c r="T413" t="inlineStr">
        <is>
          <t>O</t>
        </is>
      </c>
    </row>
    <row r="414" spans="1:22" s="14" customFormat="1" ht="13.5" customHeight="1" ns3:dyDescent="0.25">
      <c r="A414" s="13" t="s">
        <v>753</v>
      </c>
      <c r="B414" s="25" t="str">
        <f t="shared" si="26"/>
      </c>
      <c r="C414" s="13" t="s">
        <v>102</v>
      </c>
      <c r="D414" s="13" t="s">
        <v>17</v>
      </c>
      <c r="E414" s="13" t="s">
        <v>120</v>
      </c>
      <c r="F414" s="25" t="s">
        <v>1539</v>
      </c>
      <c r="G414" s="18" t="s">
        <v>41</v>
      </c>
      <c r="H414" s="13" t="str">
        <f>IFERROR(VLOOKUP(#REF!414,'정보화기기 명부'!A$2:B$187,2,FALSE),"")</f>
        <v/>
      </c>
      <c r="I414" s="22"/>
      <c r="J414" s="17"/>
      <c r="K414" s="17"/>
      <c r="L414" s="13">
        <v>20100519</v>
      </c>
      <c r="M414" s="22">
        <v>1130000</v>
      </c>
      <c r="N414" s="13" t="s">
        <v>1193</v>
      </c>
      <c r="O414" s="208">
        <v>547</v>
      </c>
      <c r="P414" s="13" t="s">
        <v>1020</v>
      </c>
      <c r="Q414" s="13" t="s">
        <v>727</v>
      </c>
      <c r="R414" s="13" t="s">
        <v>1000</v>
      </c>
      <c r="S414" s="13" t="s">
        <v>910</v>
      </c>
    </row>
    <row r="415" spans="1:22" ht="13.5" hidden="1" customHeight="1" ns3:dyDescent="0.25">
      <c r="A415" s="25" t="s">
        <v>508</v>
      </c>
      <c r="B415" s="25" t="str">
        <f t="shared" si="26"/>
      </c>
      <c r="C415" s="25" t="s">
        <v>1147</v>
      </c>
      <c r="D415" s="25" t="s">
        <v>17</v>
      </c>
      <c r="E415" s="25" t="s">
        <v>55</v>
      </c>
      <c r="F415" s="25" t="s">
        <v>491</v>
      </c>
      <c r="G415" s="93" t="s">
        <v>935</v>
      </c>
      <c r="H415" s="25" t="str">
        <f>IFERROR(VLOOKUP(#REF!415,'정보화기기 명부'!A$2:B$187,2,FALSE),"")</f>
        <v/>
      </c>
      <c r="I415" s="125"/>
      <c r="J415" s="88" t="s">
        <v>938</v>
      </c>
      <c r="K415" s="25">
        <v>2020.07</v>
      </c>
      <c r="L415" s="25">
        <v>20100226</v>
      </c>
      <c r="M415" s="125">
        <v>880000</v>
      </c>
      <c r="N415" s="25" t="s">
        <v>1193</v>
      </c>
      <c r="O415" s="162">
        <v>544</v>
      </c>
      <c r="P415" s="25" t="s">
        <v>1508</v>
      </c>
      <c r="Q415" s="25" t="s">
        <v>950</v>
      </c>
      <c r="R415" s="25" t="s">
        <v>1000</v>
      </c>
      <c r="S415" s="25" t="s">
        <v>743</v>
      </c>
    </row>
    <row r="416" spans="1:22" ht="13.5" hidden="1" customHeight="1" ns3:dyDescent="0.25">
      <c r="A416" s="25" t="s">
        <v>492</v>
      </c>
      <c r="B416" s="25" t="str">
        <f t="shared" si="26"/>
      </c>
      <c r="C416" s="25" t="s">
        <v>1147</v>
      </c>
      <c r="D416" s="25" t="s">
        <v>17</v>
      </c>
      <c r="E416" s="25" t="s">
        <v>55</v>
      </c>
      <c r="F416" s="25" t="s">
        <v>491</v>
      </c>
      <c r="G416" s="93" t="s">
        <v>935</v>
      </c>
      <c r="H416" s="25" t="str">
        <f>IFERROR(VLOOKUP(#REF!416,'정보화기기 명부'!A$2:B$187,2,FALSE),"")</f>
        <v/>
      </c>
      <c r="I416" s="125"/>
      <c r="J416" s="88" t="s">
        <v>938</v>
      </c>
      <c r="K416" s="25">
        <v>2020.07</v>
      </c>
      <c r="L416" s="25">
        <v>20100226</v>
      </c>
      <c r="M416" s="125">
        <v>880000</v>
      </c>
      <c r="N416" s="25" t="s">
        <v>1193</v>
      </c>
      <c r="O416" s="162">
        <v>543</v>
      </c>
      <c r="P416" s="25" t="s">
        <v>1508</v>
      </c>
      <c r="Q416" s="25" t="s">
        <v>950</v>
      </c>
      <c r="R416" s="25" t="s">
        <v>1000</v>
      </c>
      <c r="S416" s="25" t="s">
        <v>743</v>
      </c>
    </row>
    <row r="417" spans="1:22" ht="13.5" hidden="1" customHeight="1" ns3:dyDescent="0.25">
      <c r="A417" s="25" t="s">
        <v>496</v>
      </c>
      <c r="B417" s="25" t="str">
        <f t="shared" si="26"/>
      </c>
      <c r="C417" s="25" t="s">
        <v>1147</v>
      </c>
      <c r="D417" s="25" t="s">
        <v>17</v>
      </c>
      <c r="E417" s="25" t="s">
        <v>55</v>
      </c>
      <c r="F417" s="25" t="s">
        <v>491</v>
      </c>
      <c r="G417" s="93" t="s">
        <v>935</v>
      </c>
      <c r="H417" s="25" t="str">
        <f>IFERROR(VLOOKUP(#REF!417,'정보화기기 명부'!A$2:B$187,2,FALSE),"")</f>
        <v/>
      </c>
      <c r="I417" s="125"/>
      <c r="J417" s="88" t="s">
        <v>938</v>
      </c>
      <c r="K417" s="25">
        <v>2020.07</v>
      </c>
      <c r="L417" s="25">
        <v>20100226</v>
      </c>
      <c r="M417" s="125">
        <v>880000</v>
      </c>
      <c r="N417" s="25" t="s">
        <v>1193</v>
      </c>
      <c r="O417" s="162">
        <v>542</v>
      </c>
      <c r="P417" s="25" t="s">
        <v>1508</v>
      </c>
      <c r="Q417" s="25" t="s">
        <v>950</v>
      </c>
      <c r="R417" s="25" t="s">
        <v>1000</v>
      </c>
      <c r="S417" s="25" t="s">
        <v>743</v>
      </c>
    </row>
    <row r="418" spans="1:22" ht="13.5" hidden="1" customHeight="1" ns3:dyDescent="0.25">
      <c r="A418" s="25" t="s">
        <v>509</v>
      </c>
      <c r="B418" s="25" t="str">
        <f t="shared" si="26"/>
      </c>
      <c r="C418" s="25" t="s">
        <v>1147</v>
      </c>
      <c r="D418" s="25" t="s">
        <v>17</v>
      </c>
      <c r="E418" s="25" t="s">
        <v>55</v>
      </c>
      <c r="F418" s="25" t="s">
        <v>491</v>
      </c>
      <c r="G418" s="93" t="s">
        <v>935</v>
      </c>
      <c r="H418" s="25" t="str">
        <f>IFERROR(VLOOKUP(#REF!418,'정보화기기 명부'!A$2:B$187,2,FALSE),"")</f>
        <v/>
      </c>
      <c r="I418" s="125"/>
      <c r="J418" s="88" t="s">
        <v>938</v>
      </c>
      <c r="K418" s="88"/>
      <c r="L418" s="25">
        <v>20100226</v>
      </c>
      <c r="M418" s="125">
        <v>880000</v>
      </c>
      <c r="N418" s="25" t="s">
        <v>1193</v>
      </c>
      <c r="O418" s="162">
        <v>541</v>
      </c>
      <c r="P418" s="25" t="s">
        <v>1508</v>
      </c>
      <c r="Q418" s="25" t="s">
        <v>950</v>
      </c>
      <c r="R418" s="25" t="s">
        <v>1000</v>
      </c>
      <c r="S418" s="25" t="s">
        <v>743</v>
      </c>
    </row>
    <row r="419" spans="1:22" ht="13.5" hidden="1" customHeight="1" ns3:dyDescent="0.25">
      <c r="A419" s="25" t="s">
        <v>487</v>
      </c>
      <c r="B419" s="25" t="str">
        <f t="shared" si="26"/>
      </c>
      <c r="C419" s="25" t="s">
        <v>1147</v>
      </c>
      <c r="D419" s="25" t="s">
        <v>17</v>
      </c>
      <c r="E419" s="25" t="s">
        <v>55</v>
      </c>
      <c r="F419" s="25" t="s">
        <v>491</v>
      </c>
      <c r="G419" s="93" t="s">
        <v>935</v>
      </c>
      <c r="H419" s="25" t="str">
        <f>IFERROR(VLOOKUP(#REF!419,'정보화기기 명부'!A$2:B$187,2,FALSE),"")</f>
        <v/>
      </c>
      <c r="I419" s="125"/>
      <c r="J419" s="88" t="s">
        <v>938</v>
      </c>
      <c r="K419" s="25">
        <v>2020.07</v>
      </c>
      <c r="L419" s="25">
        <v>20100226</v>
      </c>
      <c r="M419" s="125">
        <v>880000</v>
      </c>
      <c r="N419" s="25" t="s">
        <v>1193</v>
      </c>
      <c r="O419" s="162">
        <v>540</v>
      </c>
      <c r="P419" s="25" t="s">
        <v>1508</v>
      </c>
      <c r="Q419" s="25" t="s">
        <v>950</v>
      </c>
      <c r="R419" s="25" t="s">
        <v>1000</v>
      </c>
      <c r="S419" s="25" t="s">
        <v>743</v>
      </c>
    </row>
    <row r="420" spans="1:22" ht="13.5" hidden="1" customHeight="1" ns3:dyDescent="0.25">
      <c r="A420" s="25" t="s">
        <v>60</v>
      </c>
      <c r="B420" s="25" t="str">
        <f t="shared" si="26"/>
      </c>
      <c r="C420" s="25" t="s">
        <v>1147</v>
      </c>
      <c r="D420" s="25" t="s">
        <v>17</v>
      </c>
      <c r="E420" s="25" t="s">
        <v>8</v>
      </c>
      <c r="F420" s="25" t="s">
        <v>1671</v>
      </c>
      <c r="G420" s="93" t="s">
        <v>117</v>
      </c>
      <c r="H420" s="25" t="str">
        <f>IFERROR(VLOOKUP(#REF!420,'정보화기기 명부'!A$2:B$187,2,FALSE),"")</f>
        <v/>
      </c>
      <c r="I420" s="25"/>
      <c r="J420" s="88"/>
      <c r="K420" s="88"/>
      <c r="L420" s="25">
        <v>20091230</v>
      </c>
      <c r="M420" s="25" t="s">
        <v>733</v>
      </c>
      <c r="N420" s="25" t="s">
        <v>1191</v>
      </c>
      <c r="O420" s="162">
        <v>545</v>
      </c>
      <c r="P420" s="25" t="s">
        <v>495</v>
      </c>
      <c r="Q420" s="25" t="s">
        <v>1018</v>
      </c>
      <c r="R420" s="25" t="s">
        <v>1000</v>
      </c>
      <c r="S420" s="25" t="s">
        <v>743</v>
      </c>
    </row>
    <row r="421" spans="1:22" s="14" customFormat="1" ht="13.5" hidden="1" customHeight="1" ns3:dyDescent="0.25">
      <c r="A421" s="13" t="s">
        <v>155</v>
      </c>
      <c r="B421" s="25" t="str">
        <f t="shared" si="26"/>
      </c>
      <c r="C421" s="13" t="s">
        <v>1147</v>
      </c>
      <c r="D421" s="21" t="s">
        <v>17</v>
      </c>
      <c r="E421" s="13" t="s">
        <v>8</v>
      </c>
      <c r="F421" s="13" t="s">
        <v>732</v>
      </c>
      <c r="G421" s="18" t="s">
        <v>154</v>
      </c>
      <c r="H421" s="13" t="str">
        <f>IFERROR(VLOOKUP(#REF!421,'정보화기기 명부'!A$2:B$187,2,FALSE),"")</f>
        <v/>
      </c>
      <c r="I421" s="13"/>
      <c r="J421" s="17"/>
      <c r="K421" s="17"/>
      <c r="L421" s="13">
        <v>20091201</v>
      </c>
      <c r="M421" s="13" t="s">
        <v>484</v>
      </c>
      <c r="N421" s="13" t="s">
        <v>1191</v>
      </c>
      <c r="O421" s="208">
        <v>548</v>
      </c>
      <c r="P421" s="13" t="s">
        <v>1020</v>
      </c>
      <c r="Q421" s="13" t="s">
        <v>950</v>
      </c>
      <c r="R421" s="13" t="s">
        <v>725</v>
      </c>
      <c r="S421" s="13" t="s">
        <v>1215</v>
      </c>
    </row>
    <row r="422" spans="1:22" s="14" customFormat="1" ht="13.5" hidden="1" customHeight="1" ns3:dyDescent="0.25">
      <c r="A422" s="13" t="s">
        <v>26</v>
      </c>
      <c r="B422" s="25" t="str">
        <f t="shared" si="26"/>
      </c>
      <c r="C422" s="13" t="s">
        <v>1147</v>
      </c>
      <c r="D422" s="13" t="s">
        <v>17</v>
      </c>
      <c r="E422" s="13" t="s">
        <v>8</v>
      </c>
      <c r="F422" s="13" t="s">
        <v>732</v>
      </c>
      <c r="G422" s="18" t="s">
        <v>145</v>
      </c>
      <c r="H422" s="13" t="str">
        <f>IFERROR(VLOOKUP(#REF!422,'정보화기기 명부'!A$2:B$187,2,FALSE),"")</f>
        <v/>
      </c>
      <c r="I422" s="13"/>
      <c r="J422" s="17"/>
      <c r="K422" s="17"/>
      <c r="L422" s="13">
        <v>20091013</v>
      </c>
      <c r="M422" s="13" t="s">
        <v>502</v>
      </c>
      <c r="N422" s="13" t="s">
        <v>1191</v>
      </c>
      <c r="O422" s="208">
        <v>546</v>
      </c>
      <c r="P422" s="13" t="s">
        <v>495</v>
      </c>
      <c r="Q422" s="13" t="s">
        <v>950</v>
      </c>
      <c r="R422" s="13" t="s">
        <v>725</v>
      </c>
      <c r="S422" s="13" t="s">
        <v>903</v>
      </c>
    </row>
    <row r="423" spans="1:22" s="14" customFormat="1" ht="13.5" hidden="1" customHeight="1" ns3:dyDescent="0.25">
      <c r="A423" s="13" t="s">
        <v>155</v>
      </c>
      <c r="B423" s="25" t="str">
        <f t="shared" si="26"/>
      </c>
      <c r="C423" s="13" t="s">
        <v>1147</v>
      </c>
      <c r="D423" s="13" t="s">
        <v>17</v>
      </c>
      <c r="E423" s="13" t="s">
        <v>55</v>
      </c>
      <c r="F423" s="13" t="s">
        <v>1683</v>
      </c>
      <c r="G423" s="18" t="s">
        <v>10</v>
      </c>
      <c r="H423" s="13" t="str">
        <f>IFERROR(VLOOKUP(#REF!423,'정보화기기 명부'!A$2:B$187,2,FALSE),"")</f>
        <v/>
      </c>
      <c r="I423" s="13"/>
      <c r="J423" s="17" t="s">
        <v>738</v>
      </c>
      <c r="K423" s="17"/>
      <c r="L423" s="13">
        <v>20090515</v>
      </c>
      <c r="M423" s="13" t="s">
        <v>483</v>
      </c>
      <c r="N423" s="13" t="s">
        <v>1186</v>
      </c>
      <c r="O423" s="208">
        <v>534</v>
      </c>
      <c r="P423" s="13" t="s">
        <v>495</v>
      </c>
      <c r="Q423" s="13" t="s">
        <v>1026</v>
      </c>
      <c r="R423" s="13" t="s">
        <v>1000</v>
      </c>
      <c r="S423" s="13" t="s">
        <v>910</v>
      </c>
    </row>
    <row r="424" spans="1:22" s="14" customFormat="1" ht="13.5" hidden="1" customHeight="1" ns3:dyDescent="0.25">
      <c r="A424" s="13" t="s">
        <v>155</v>
      </c>
      <c r="B424" s="25" t="str">
        <f t="shared" si="26"/>
      </c>
      <c r="C424" s="13" t="s">
        <v>1147</v>
      </c>
      <c r="D424" s="13" t="s">
        <v>17</v>
      </c>
      <c r="E424" s="13" t="s">
        <v>55</v>
      </c>
      <c r="F424" s="13" t="s">
        <v>1683</v>
      </c>
      <c r="G424" s="18" t="s">
        <v>10</v>
      </c>
      <c r="H424" s="13" t="str">
        <f>IFERROR(VLOOKUP(#REF!424,'정보화기기 명부'!A$2:B$187,2,FALSE),"")</f>
        <v/>
      </c>
      <c r="I424" s="13"/>
      <c r="J424" s="17" t="s">
        <v>738</v>
      </c>
      <c r="K424" s="17"/>
      <c r="L424" s="13">
        <v>20090515</v>
      </c>
      <c r="M424" s="13" t="s">
        <v>483</v>
      </c>
      <c r="N424" s="13" t="s">
        <v>1186</v>
      </c>
      <c r="O424" s="208">
        <v>533</v>
      </c>
      <c r="P424" s="13" t="s">
        <v>495</v>
      </c>
      <c r="Q424" s="13" t="s">
        <v>1026</v>
      </c>
      <c r="R424" s="13" t="s">
        <v>1000</v>
      </c>
      <c r="S424" s="13" t="s">
        <v>910</v>
      </c>
    </row>
    <row r="425" spans="1:22" s="14" customFormat="1" ht="13.5" hidden="1" customHeight="1" ns3:dyDescent="0.25">
      <c r="A425" s="13" t="s">
        <v>151</v>
      </c>
      <c r="B425" s="25" t="str">
        <f t="shared" si="26"/>
      </c>
      <c r="C425" s="13" t="s">
        <v>1147</v>
      </c>
      <c r="D425" s="13" t="s">
        <v>17</v>
      </c>
      <c r="E425" s="13" t="s">
        <v>8</v>
      </c>
      <c r="F425" s="13" t="s">
        <v>1683</v>
      </c>
      <c r="G425" s="18" t="s">
        <v>10</v>
      </c>
      <c r="H425" s="13" t="str">
        <f>IFERROR(VLOOKUP(#REF!425,'정보화기기 명부'!A$2:B$187,2,FALSE),"")</f>
        <v/>
      </c>
      <c r="I425" s="13"/>
      <c r="J425" s="17"/>
      <c r="K425" s="17"/>
      <c r="L425" s="13">
        <v>20090515</v>
      </c>
      <c r="M425" s="13" t="s">
        <v>483</v>
      </c>
      <c r="N425" s="13" t="s">
        <v>1186</v>
      </c>
      <c r="O425" s="208">
        <v>532</v>
      </c>
      <c r="P425" s="13" t="s">
        <v>495</v>
      </c>
      <c r="Q425" s="13" t="s">
        <v>1026</v>
      </c>
      <c r="R425" s="13" t="s">
        <v>1000</v>
      </c>
      <c r="S425" s="13" t="s">
        <v>910</v>
      </c>
    </row>
    <row r="426" spans="1:22" s="14" customFormat="1" ht="13.5" hidden="1" customHeight="1" ns3:dyDescent="0.25">
      <c r="A426" s="13" t="s">
        <v>155</v>
      </c>
      <c r="B426" s="25" t="str">
        <f t="shared" si="26"/>
      </c>
      <c r="C426" s="13" t="s">
        <v>1147</v>
      </c>
      <c r="D426" s="13" t="s">
        <v>17</v>
      </c>
      <c r="E426" s="13" t="s">
        <v>55</v>
      </c>
      <c r="F426" s="13" t="s">
        <v>1683</v>
      </c>
      <c r="G426" s="18" t="s">
        <v>10</v>
      </c>
      <c r="H426" s="13" t="str">
        <f>IFERROR(VLOOKUP(#REF!426,'정보화기기 명부'!A$2:B$187,2,FALSE),"")</f>
        <v/>
      </c>
      <c r="I426" s="13"/>
      <c r="J426" s="17" t="s">
        <v>738</v>
      </c>
      <c r="K426" s="17"/>
      <c r="L426" s="13">
        <v>20090515</v>
      </c>
      <c r="M426" s="13" t="s">
        <v>483</v>
      </c>
      <c r="N426" s="13" t="s">
        <v>1186</v>
      </c>
      <c r="O426" s="208">
        <v>531</v>
      </c>
      <c r="P426" s="13" t="s">
        <v>495</v>
      </c>
      <c r="Q426" s="13" t="s">
        <v>1026</v>
      </c>
      <c r="R426" s="13" t="s">
        <v>1000</v>
      </c>
      <c r="S426" s="13" t="s">
        <v>910</v>
      </c>
    </row>
    <row r="427" spans="1:22" s="14" customFormat="1" ht="13.5" hidden="1" customHeight="1" ns3:dyDescent="0.25">
      <c r="A427" s="13" t="s">
        <v>148</v>
      </c>
      <c r="B427" s="25" t="str">
        <f t="shared" si="26"/>
      </c>
      <c r="C427" s="13" t="s">
        <v>1147</v>
      </c>
      <c r="D427" s="13" t="s">
        <v>17</v>
      </c>
      <c r="E427" s="13" t="s">
        <v>55</v>
      </c>
      <c r="F427" s="13" t="s">
        <v>1683</v>
      </c>
      <c r="G427" s="18" t="s">
        <v>10</v>
      </c>
      <c r="H427" s="13" t="str">
        <f>IFERROR(VLOOKUP(#REF!427,'정보화기기 명부'!A$2:B$187,2,FALSE),"")</f>
        <v/>
      </c>
      <c r="I427" s="13"/>
      <c r="J427" s="17" t="s">
        <v>738</v>
      </c>
      <c r="K427" s="17"/>
      <c r="L427" s="13">
        <v>20090515</v>
      </c>
      <c r="M427" s="13" t="s">
        <v>483</v>
      </c>
      <c r="N427" s="13" t="s">
        <v>1186</v>
      </c>
      <c r="O427" s="208">
        <v>530</v>
      </c>
      <c r="P427" s="13" t="s">
        <v>495</v>
      </c>
      <c r="Q427" s="13" t="s">
        <v>1026</v>
      </c>
      <c r="R427" s="13" t="s">
        <v>1000</v>
      </c>
      <c r="S427" s="13" t="s">
        <v>910</v>
      </c>
    </row>
    <row r="428" spans="1:22" s="14" customFormat="1" ht="13.5" hidden="1" customHeight="1" ns3:dyDescent="0.25">
      <c r="A428" s="13" t="s">
        <v>155</v>
      </c>
      <c r="B428" s="25" t="str">
        <f t="shared" si="26"/>
      </c>
      <c r="C428" s="13" t="s">
        <v>1147</v>
      </c>
      <c r="D428" s="13" t="s">
        <v>17</v>
      </c>
      <c r="E428" s="13" t="s">
        <v>55</v>
      </c>
      <c r="F428" s="13" t="s">
        <v>1683</v>
      </c>
      <c r="G428" s="18" t="s">
        <v>10</v>
      </c>
      <c r="H428" s="13" t="str">
        <f>IFERROR(VLOOKUP(#REF!428,'정보화기기 명부'!A$2:B$187,2,FALSE),"")</f>
        <v/>
      </c>
      <c r="I428" s="13"/>
      <c r="J428" s="17" t="s">
        <v>738</v>
      </c>
      <c r="K428" s="17"/>
      <c r="L428" s="13">
        <v>20090515</v>
      </c>
      <c r="M428" s="13" t="s">
        <v>483</v>
      </c>
      <c r="N428" s="13" t="s">
        <v>1186</v>
      </c>
      <c r="O428" s="208">
        <v>529</v>
      </c>
      <c r="P428" s="13" t="s">
        <v>495</v>
      </c>
      <c r="Q428" s="13" t="s">
        <v>1026</v>
      </c>
      <c r="R428" s="13" t="s">
        <v>1000</v>
      </c>
      <c r="S428" s="13" t="s">
        <v>910</v>
      </c>
    </row>
    <row r="429" spans="1:22" s="14" customFormat="1" ht="13.5" hidden="1" customHeight="1" ns3:dyDescent="0.25">
      <c r="A429" s="13" t="s">
        <v>155</v>
      </c>
      <c r="B429" s="25" t="str">
        <f t="shared" si="26"/>
      </c>
      <c r="C429" s="13" t="s">
        <v>1147</v>
      </c>
      <c r="D429" s="13" t="s">
        <v>17</v>
      </c>
      <c r="E429" s="13" t="s">
        <v>55</v>
      </c>
      <c r="F429" s="13" t="s">
        <v>1683</v>
      </c>
      <c r="G429" s="18" t="s">
        <v>10</v>
      </c>
      <c r="H429" s="13" t="str">
        <f>IFERROR(VLOOKUP(#REF!429,'정보화기기 명부'!A$2:B$187,2,FALSE),"")</f>
        <v/>
      </c>
      <c r="I429" s="13"/>
      <c r="J429" s="17" t="s">
        <v>738</v>
      </c>
      <c r="K429" s="17"/>
      <c r="L429" s="13">
        <v>20090515</v>
      </c>
      <c r="M429" s="13" t="s">
        <v>483</v>
      </c>
      <c r="N429" s="13" t="s">
        <v>1186</v>
      </c>
      <c r="O429" s="208">
        <v>528</v>
      </c>
      <c r="P429" s="13" t="s">
        <v>495</v>
      </c>
      <c r="Q429" s="13" t="s">
        <v>1026</v>
      </c>
      <c r="R429" s="13" t="s">
        <v>1000</v>
      </c>
      <c r="S429" s="13" t="s">
        <v>910</v>
      </c>
    </row>
    <row r="430" spans="1:22" s="14" customFormat="1" ht="13.5" hidden="1" customHeight="1" ns3:dyDescent="0.25">
      <c r="A430" s="13" t="s">
        <v>155</v>
      </c>
      <c r="B430" s="25" t="str">
        <f t="shared" si="26"/>
      </c>
      <c r="C430" s="13" t="s">
        <v>1147</v>
      </c>
      <c r="D430" s="13" t="s">
        <v>17</v>
      </c>
      <c r="E430" s="13" t="s">
        <v>55</v>
      </c>
      <c r="F430" s="13" t="s">
        <v>1683</v>
      </c>
      <c r="G430" s="18" t="s">
        <v>10</v>
      </c>
      <c r="H430" s="13" t="str">
        <f>IFERROR(VLOOKUP(#REF!430,'정보화기기 명부'!A$2:B$187,2,FALSE),"")</f>
        <v/>
      </c>
      <c r="I430" s="13"/>
      <c r="J430" s="17" t="s">
        <v>738</v>
      </c>
      <c r="K430" s="17"/>
      <c r="L430" s="13">
        <v>20090515</v>
      </c>
      <c r="M430" s="13" t="s">
        <v>483</v>
      </c>
      <c r="N430" s="13" t="s">
        <v>1186</v>
      </c>
      <c r="O430" s="208">
        <v>527</v>
      </c>
      <c r="P430" s="13" t="s">
        <v>495</v>
      </c>
      <c r="Q430" s="13" t="s">
        <v>1026</v>
      </c>
      <c r="R430" s="13" t="s">
        <v>1000</v>
      </c>
      <c r="S430" s="13" t="s">
        <v>910</v>
      </c>
    </row>
    <row r="431" spans="1:22" s="14" customFormat="1" ht="13.5" hidden="1" customHeight="1" ns3:dyDescent="0.25">
      <c r="A431" s="13" t="s">
        <v>155</v>
      </c>
      <c r="B431" s="25" t="str">
        <f t="shared" si="26"/>
      </c>
      <c r="C431" s="13" t="s">
        <v>1147</v>
      </c>
      <c r="D431" s="13" t="s">
        <v>17</v>
      </c>
      <c r="E431" s="13" t="s">
        <v>55</v>
      </c>
      <c r="F431" s="13" t="s">
        <v>1683</v>
      </c>
      <c r="G431" s="18" t="s">
        <v>10</v>
      </c>
      <c r="H431" s="13" t="str">
        <f>IFERROR(VLOOKUP(#REF!431,'정보화기기 명부'!A$2:B$187,2,FALSE),"")</f>
        <v/>
      </c>
      <c r="I431" s="13"/>
      <c r="J431" s="17" t="s">
        <v>738</v>
      </c>
      <c r="K431" s="17"/>
      <c r="L431" s="13">
        <v>20090515</v>
      </c>
      <c r="M431" s="13" t="s">
        <v>483</v>
      </c>
      <c r="N431" s="13" t="s">
        <v>1186</v>
      </c>
      <c r="O431" s="208">
        <v>526</v>
      </c>
      <c r="P431" s="13" t="s">
        <v>495</v>
      </c>
      <c r="Q431" s="13" t="s">
        <v>1026</v>
      </c>
      <c r="R431" s="13" t="s">
        <v>1000</v>
      </c>
      <c r="S431" s="13" t="s">
        <v>910</v>
      </c>
    </row>
    <row r="432" spans="1:22" s="14" customFormat="1" ht="13.5" hidden="1" customHeight="1" ns3:dyDescent="0.25">
      <c r="A432" s="13" t="s">
        <v>155</v>
      </c>
      <c r="B432" s="25" t="str">
        <f t="shared" si="26"/>
      </c>
      <c r="C432" s="13" t="s">
        <v>1147</v>
      </c>
      <c r="D432" s="13" t="s">
        <v>17</v>
      </c>
      <c r="E432" s="13" t="s">
        <v>55</v>
      </c>
      <c r="F432" s="13" t="s">
        <v>1683</v>
      </c>
      <c r="G432" s="18" t="s">
        <v>10</v>
      </c>
      <c r="H432" s="13" t="str">
        <f>IFERROR(VLOOKUP(#REF!432,'정보화기기 명부'!A$2:B$187,2,FALSE),"")</f>
        <v/>
      </c>
      <c r="I432" s="13"/>
      <c r="J432" s="17" t="s">
        <v>738</v>
      </c>
      <c r="K432" s="17"/>
      <c r="L432" s="13">
        <v>20090515</v>
      </c>
      <c r="M432" s="13" t="s">
        <v>483</v>
      </c>
      <c r="N432" s="13" t="s">
        <v>1186</v>
      </c>
      <c r="O432" s="208">
        <v>525</v>
      </c>
      <c r="P432" s="13" t="s">
        <v>495</v>
      </c>
      <c r="Q432" s="13" t="s">
        <v>1026</v>
      </c>
      <c r="R432" s="13" t="s">
        <v>1000</v>
      </c>
      <c r="S432" s="13" t="s">
        <v>910</v>
      </c>
    </row>
    <row r="433" spans="1:22" s="14" customFormat="1" ht="13.5" hidden="1" customHeight="1" ns3:dyDescent="0.25">
      <c r="A433" s="13" t="s">
        <v>149</v>
      </c>
      <c r="B433" s="25" t="str">
        <f t="shared" si="26"/>
      </c>
      <c r="C433" s="13" t="s">
        <v>1147</v>
      </c>
      <c r="D433" s="13" t="s">
        <v>17</v>
      </c>
      <c r="E433" s="13" t="s">
        <v>55</v>
      </c>
      <c r="F433" s="13" t="s">
        <v>1683</v>
      </c>
      <c r="G433" s="18" t="s">
        <v>10</v>
      </c>
      <c r="H433" s="13" t="str">
        <f>IFERROR(VLOOKUP(#REF!433,'정보화기기 명부'!A$2:B$187,2,FALSE),"")</f>
        <v/>
      </c>
      <c r="I433" s="13"/>
      <c r="J433" s="17" t="s">
        <v>738</v>
      </c>
      <c r="K433" s="17"/>
      <c r="L433" s="13">
        <v>20090515</v>
      </c>
      <c r="M433" s="13" t="s">
        <v>483</v>
      </c>
      <c r="N433" s="13" t="s">
        <v>1186</v>
      </c>
      <c r="O433" s="208">
        <v>524</v>
      </c>
      <c r="P433" s="13" t="s">
        <v>495</v>
      </c>
      <c r="Q433" s="13" t="s">
        <v>1026</v>
      </c>
      <c r="R433" s="13" t="s">
        <v>1000</v>
      </c>
      <c r="S433" s="13" t="s">
        <v>910</v>
      </c>
    </row>
    <row r="434" spans="1:22" s="14" customFormat="1" ht="13.5" hidden="1" customHeight="1" ns3:dyDescent="0.25">
      <c r="A434" s="13" t="s">
        <v>155</v>
      </c>
      <c r="B434" s="25" t="str">
        <f t="shared" ref="B434:B497" si="29">LEFT(L434,6)&amp;"-"&amp;TEXT(O434,"0000")</f>
      </c>
      <c r="C434" s="13" t="s">
        <v>1147</v>
      </c>
      <c r="D434" s="13" t="s">
        <v>17</v>
      </c>
      <c r="E434" s="13" t="s">
        <v>55</v>
      </c>
      <c r="F434" s="13" t="s">
        <v>1683</v>
      </c>
      <c r="G434" s="18" t="s">
        <v>10</v>
      </c>
      <c r="H434" s="13" t="str">
        <f>IFERROR(VLOOKUP(#REF!434,'정보화기기 명부'!A$2:B$187,2,FALSE),"")</f>
        <v/>
      </c>
      <c r="I434" s="13"/>
      <c r="J434" s="17" t="s">
        <v>738</v>
      </c>
      <c r="K434" s="17"/>
      <c r="L434" s="13">
        <v>20090515</v>
      </c>
      <c r="M434" s="13" t="s">
        <v>483</v>
      </c>
      <c r="N434" s="13" t="s">
        <v>1186</v>
      </c>
      <c r="O434" s="208">
        <v>523</v>
      </c>
      <c r="P434" s="13" t="s">
        <v>495</v>
      </c>
      <c r="Q434" s="13" t="s">
        <v>1026</v>
      </c>
      <c r="R434" s="13" t="s">
        <v>1000</v>
      </c>
      <c r="S434" s="13" t="s">
        <v>910</v>
      </c>
    </row>
    <row r="435" spans="1:22" s="14" customFormat="1" ht="13.5" hidden="1" customHeight="1" ns3:dyDescent="0.25">
      <c r="A435" s="13" t="s">
        <v>155</v>
      </c>
      <c r="B435" s="25" t="str">
        <f t="shared" si="29"/>
      </c>
      <c r="C435" s="13" t="s">
        <v>1147</v>
      </c>
      <c r="D435" s="13" t="s">
        <v>17</v>
      </c>
      <c r="E435" s="13" t="s">
        <v>55</v>
      </c>
      <c r="F435" s="13" t="s">
        <v>1683</v>
      </c>
      <c r="G435" s="18" t="s">
        <v>10</v>
      </c>
      <c r="H435" s="13" t="str">
        <f>IFERROR(VLOOKUP(#REF!435,'정보화기기 명부'!A$2:B$187,2,FALSE),"")</f>
        <v/>
      </c>
      <c r="I435" s="13"/>
      <c r="J435" s="17" t="s">
        <v>738</v>
      </c>
      <c r="K435" s="17"/>
      <c r="L435" s="13">
        <v>20090515</v>
      </c>
      <c r="M435" s="13" t="s">
        <v>483</v>
      </c>
      <c r="N435" s="13" t="s">
        <v>1186</v>
      </c>
      <c r="O435" s="208">
        <v>522</v>
      </c>
      <c r="P435" s="13" t="s">
        <v>495</v>
      </c>
      <c r="Q435" s="13" t="s">
        <v>1026</v>
      </c>
      <c r="R435" s="13" t="s">
        <v>1000</v>
      </c>
      <c r="S435" s="13" t="s">
        <v>910</v>
      </c>
    </row>
    <row r="436" spans="1:22" s="14" customFormat="1" ht="13.5" customHeight="1" ns3:dyDescent="0.25">
      <c r="A436" s="13" t="s">
        <v>753</v>
      </c>
      <c r="B436" s="25" t="str">
        <f t="shared" si="29"/>
      </c>
      <c r="C436" s="13" t="s">
        <v>102</v>
      </c>
      <c r="D436" s="13" t="s">
        <v>17</v>
      </c>
      <c r="E436" s="13" t="s">
        <v>120</v>
      </c>
      <c r="F436" s="13" t="s">
        <v>1675</v>
      </c>
      <c r="G436" s="18" t="s">
        <v>10</v>
      </c>
      <c r="H436" s="13" t="str">
        <f>IFERROR(VLOOKUP(#REF!436,'정보화기기 명부'!A$2:B$187,2,FALSE),"")</f>
        <v/>
      </c>
      <c r="I436" s="13"/>
      <c r="J436" s="17"/>
      <c r="K436" s="17"/>
      <c r="L436" s="13">
        <v>20090515</v>
      </c>
      <c r="M436" s="13" t="s">
        <v>503</v>
      </c>
      <c r="N436" s="13" t="s">
        <v>1186</v>
      </c>
      <c r="O436" s="208">
        <v>521</v>
      </c>
      <c r="P436" s="13" t="s">
        <v>1508</v>
      </c>
      <c r="Q436" s="13" t="s">
        <v>728</v>
      </c>
      <c r="R436" s="13" t="s">
        <v>1000</v>
      </c>
      <c r="S436" s="13" t="s">
        <v>742</v>
      </c>
    </row>
    <row r="437" spans="1:22" s="14" customFormat="1" ht="13.5" customHeight="1" ns3:dyDescent="0.25">
      <c r="A437" s="13" t="s">
        <v>753</v>
      </c>
      <c r="B437" s="25" t="str">
        <f t="shared" si="29"/>
      </c>
      <c r="C437" s="13" t="s">
        <v>102</v>
      </c>
      <c r="D437" s="13" t="s">
        <v>17</v>
      </c>
      <c r="E437" s="13" t="s">
        <v>120</v>
      </c>
      <c r="F437" s="13" t="s">
        <v>1675</v>
      </c>
      <c r="G437" s="18" t="s">
        <v>10</v>
      </c>
      <c r="H437" s="13" t="str">
        <f>IFERROR(VLOOKUP(#REF!437,'정보화기기 명부'!A$2:B$187,2,FALSE),"")</f>
        <v/>
      </c>
      <c r="I437" s="13"/>
      <c r="J437" s="17"/>
      <c r="K437" s="17"/>
      <c r="L437" s="13">
        <v>20090515</v>
      </c>
      <c r="M437" s="13" t="s">
        <v>503</v>
      </c>
      <c r="N437" s="13" t="s">
        <v>1186</v>
      </c>
      <c r="O437" s="208">
        <v>520</v>
      </c>
      <c r="P437" s="13" t="s">
        <v>1508</v>
      </c>
      <c r="Q437" s="13" t="s">
        <v>728</v>
      </c>
      <c r="R437" s="13" t="s">
        <v>1000</v>
      </c>
      <c r="S437" s="13" t="s">
        <v>742</v>
      </c>
    </row>
    <row r="438" spans="1:22" s="14" customFormat="1" ht="13.5" customHeight="1" ns3:dyDescent="0.25">
      <c r="A438" s="13" t="s">
        <v>753</v>
      </c>
      <c r="B438" s="25" t="str">
        <f t="shared" si="29"/>
      </c>
      <c r="C438" s="13" t="s">
        <v>102</v>
      </c>
      <c r="D438" s="13" t="s">
        <v>17</v>
      </c>
      <c r="E438" s="13" t="s">
        <v>120</v>
      </c>
      <c r="F438" s="20" t="s">
        <v>1675</v>
      </c>
      <c r="G438" s="13" t="s">
        <v>10</v>
      </c>
      <c r="H438" s="13" t="str">
        <f>IFERROR(VLOOKUP(#REF!438,'정보화기기 명부'!A$2:B$187,2,FALSE),"")</f>
        <v/>
      </c>
      <c r="I438" s="13"/>
      <c r="J438" s="13"/>
      <c r="K438" s="13"/>
      <c r="L438" s="13">
        <v>20090515</v>
      </c>
      <c r="M438" s="13" t="s">
        <v>503</v>
      </c>
      <c r="N438" s="13" t="s">
        <v>1186</v>
      </c>
      <c r="O438" s="208">
        <v>519</v>
      </c>
      <c r="P438" s="13" t="s">
        <v>1020</v>
      </c>
      <c r="Q438" s="13" t="s">
        <v>728</v>
      </c>
      <c r="R438" s="13" t="s">
        <v>1000</v>
      </c>
      <c r="S438" s="13" t="s">
        <v>742</v>
      </c>
    </row>
    <row r="439" spans="1:22" s="14" customFormat="1" ht="13.5" customHeight="1" ns3:dyDescent="0.25">
      <c r="A439" s="13" t="s">
        <v>753</v>
      </c>
      <c r="B439" s="25" t="str">
        <f t="shared" si="29"/>
      </c>
      <c r="C439" s="13" t="s">
        <v>102</v>
      </c>
      <c r="D439" s="13" t="s">
        <v>17</v>
      </c>
      <c r="E439" s="13" t="s">
        <v>120</v>
      </c>
      <c r="F439" s="13" t="s">
        <v>1675</v>
      </c>
      <c r="G439" s="13" t="s">
        <v>10</v>
      </c>
      <c r="H439" s="13" t="str">
        <f>IFERROR(VLOOKUP(#REF!439,'정보화기기 명부'!A$2:B$187,2,FALSE),"")</f>
        <v/>
      </c>
      <c r="I439" s="13"/>
      <c r="J439" s="13"/>
      <c r="K439" s="13"/>
      <c r="L439" s="13">
        <v>20090515</v>
      </c>
      <c r="M439" s="13" t="s">
        <v>503</v>
      </c>
      <c r="N439" s="13" t="s">
        <v>1186</v>
      </c>
      <c r="O439" s="208">
        <v>518</v>
      </c>
      <c r="P439" s="13" t="s">
        <v>1020</v>
      </c>
      <c r="Q439" s="13" t="s">
        <v>728</v>
      </c>
      <c r="R439" s="13" t="s">
        <v>1000</v>
      </c>
      <c r="S439" s="13" t="s">
        <v>742</v>
      </c>
    </row>
    <row r="440" spans="1:22" s="14" customFormat="1" ht="13.5" customHeight="1" ns3:dyDescent="0.25">
      <c r="A440" s="13" t="s">
        <v>753</v>
      </c>
      <c r="B440" s="25" t="str">
        <f t="shared" si="29"/>
      </c>
      <c r="C440" s="13" t="s">
        <v>102</v>
      </c>
      <c r="D440" s="13" t="s">
        <v>17</v>
      </c>
      <c r="E440" s="13" t="s">
        <v>120</v>
      </c>
      <c r="F440" s="13" t="s">
        <v>1675</v>
      </c>
      <c r="G440" s="13" t="s">
        <v>10</v>
      </c>
      <c r="H440" s="13" t="str">
        <f>IFERROR(VLOOKUP(#REF!440,'정보화기기 명부'!A$2:B$187,2,FALSE),"")</f>
        <v/>
      </c>
      <c r="I440" s="13"/>
      <c r="J440" s="13"/>
      <c r="K440" s="13"/>
      <c r="L440" s="13">
        <v>20090515</v>
      </c>
      <c r="M440" s="13" t="s">
        <v>503</v>
      </c>
      <c r="N440" s="13" t="s">
        <v>1186</v>
      </c>
      <c r="O440" s="208">
        <v>517</v>
      </c>
      <c r="P440" s="13" t="s">
        <v>1020</v>
      </c>
      <c r="Q440" s="13" t="s">
        <v>728</v>
      </c>
      <c r="R440" s="13" t="s">
        <v>1000</v>
      </c>
      <c r="S440" s="13" t="s">
        <v>742</v>
      </c>
    </row>
    <row r="441" spans="1:22" s="14" customFormat="1" ht="13.5" customHeight="1" ns3:dyDescent="0.25">
      <c r="A441" s="13" t="s">
        <v>753</v>
      </c>
      <c r="B441" s="25" t="str">
        <f t="shared" si="29"/>
      </c>
      <c r="C441" s="13" t="s">
        <v>102</v>
      </c>
      <c r="D441" s="13" t="s">
        <v>17</v>
      </c>
      <c r="E441" s="13" t="s">
        <v>120</v>
      </c>
      <c r="F441" s="19" t="s">
        <v>1675</v>
      </c>
      <c r="G441" s="13" t="s">
        <v>10</v>
      </c>
      <c r="H441" s="13" t="str">
        <f>IFERROR(VLOOKUP(#REF!441,'정보화기기 명부'!A$2:B$187,2,FALSE),"")</f>
        <v/>
      </c>
      <c r="I441" s="13"/>
      <c r="J441" s="13"/>
      <c r="K441" s="13"/>
      <c r="L441" s="13">
        <v>20090515</v>
      </c>
      <c r="M441" s="13" t="s">
        <v>503</v>
      </c>
      <c r="N441" s="13" t="s">
        <v>1186</v>
      </c>
      <c r="O441" s="208">
        <v>516</v>
      </c>
      <c r="P441" s="13" t="s">
        <v>1020</v>
      </c>
      <c r="Q441" s="13" t="s">
        <v>728</v>
      </c>
      <c r="R441" s="13" t="s">
        <v>1000</v>
      </c>
      <c r="S441" s="13" t="s">
        <v>742</v>
      </c>
    </row>
    <row r="442" spans="1:22" s="14" customFormat="1" ht="13.5" customHeight="1" ns3:dyDescent="0.25">
      <c r="A442" s="13" t="s">
        <v>753</v>
      </c>
      <c r="B442" s="25" t="str">
        <f t="shared" si="29"/>
      </c>
      <c r="C442" s="13" t="s">
        <v>102</v>
      </c>
      <c r="D442" s="13" t="s">
        <v>17</v>
      </c>
      <c r="E442" s="13" t="s">
        <v>120</v>
      </c>
      <c r="F442" s="13" t="s">
        <v>1675</v>
      </c>
      <c r="G442" s="18" t="s">
        <v>10</v>
      </c>
      <c r="H442" s="13" t="str">
        <f>IFERROR(VLOOKUP(#REF!442,'정보화기기 명부'!A$2:B$187,2,FALSE),"")</f>
        <v/>
      </c>
      <c r="I442" s="13"/>
      <c r="J442" s="17"/>
      <c r="K442" s="17"/>
      <c r="L442" s="13">
        <v>20090515</v>
      </c>
      <c r="M442" s="13" t="s">
        <v>503</v>
      </c>
      <c r="N442" s="13" t="s">
        <v>1186</v>
      </c>
      <c r="O442" s="208">
        <v>515</v>
      </c>
      <c r="P442" s="13" t="s">
        <v>1020</v>
      </c>
      <c r="Q442" s="13" t="s">
        <v>728</v>
      </c>
      <c r="R442" s="13" t="s">
        <v>1000</v>
      </c>
      <c r="S442" s="13" t="s">
        <v>742</v>
      </c>
    </row>
    <row r="443" spans="1:22" s="14" customFormat="1" ht="13.5" customHeight="1" ns3:dyDescent="0.25">
      <c r="A443" s="13" t="s">
        <v>753</v>
      </c>
      <c r="B443" s="25" t="str">
        <f t="shared" si="29"/>
      </c>
      <c r="C443" s="13" t="s">
        <v>102</v>
      </c>
      <c r="D443" s="13" t="s">
        <v>17</v>
      </c>
      <c r="E443" s="13" t="s">
        <v>120</v>
      </c>
      <c r="F443" s="13" t="s">
        <v>1675</v>
      </c>
      <c r="G443" s="18" t="s">
        <v>10</v>
      </c>
      <c r="H443" s="13" t="str">
        <f>IFERROR(VLOOKUP(#REF!443,'정보화기기 명부'!A$2:B$187,2,FALSE),"")</f>
        <v/>
      </c>
      <c r="I443" s="13"/>
      <c r="J443" s="17"/>
      <c r="K443" s="17"/>
      <c r="L443" s="13">
        <v>20090515</v>
      </c>
      <c r="M443" s="13" t="s">
        <v>503</v>
      </c>
      <c r="N443" s="13" t="s">
        <v>1186</v>
      </c>
      <c r="O443" s="208">
        <v>514</v>
      </c>
      <c r="P443" s="13" t="s">
        <v>1020</v>
      </c>
      <c r="Q443" s="13" t="s">
        <v>728</v>
      </c>
      <c r="R443" s="13" t="s">
        <v>1000</v>
      </c>
      <c r="S443" s="13" t="s">
        <v>742</v>
      </c>
    </row>
    <row r="444" spans="1:22" s="14" customFormat="1" ht="13.5" customHeight="1" ns3:dyDescent="0.25">
      <c r="A444" s="13" t="s">
        <v>753</v>
      </c>
      <c r="B444" s="25" t="str">
        <f t="shared" si="29"/>
      </c>
      <c r="C444" s="13" t="s">
        <v>102</v>
      </c>
      <c r="D444" s="13" t="s">
        <v>17</v>
      </c>
      <c r="E444" s="13" t="s">
        <v>120</v>
      </c>
      <c r="F444" s="13" t="s">
        <v>1675</v>
      </c>
      <c r="G444" s="18" t="s">
        <v>10</v>
      </c>
      <c r="H444" s="13" t="str">
        <f>IFERROR(VLOOKUP(#REF!444,'정보화기기 명부'!A$2:B$187,2,FALSE),"")</f>
        <v/>
      </c>
      <c r="I444" s="13"/>
      <c r="J444" s="17"/>
      <c r="K444" s="17"/>
      <c r="L444" s="13">
        <v>20090515</v>
      </c>
      <c r="M444" s="13" t="s">
        <v>503</v>
      </c>
      <c r="N444" s="13" t="s">
        <v>1186</v>
      </c>
      <c r="O444" s="208">
        <v>513</v>
      </c>
      <c r="P444" s="13" t="s">
        <v>1020</v>
      </c>
      <c r="Q444" s="13" t="s">
        <v>728</v>
      </c>
      <c r="R444" s="13" t="s">
        <v>1000</v>
      </c>
      <c r="S444" s="13" t="s">
        <v>742</v>
      </c>
    </row>
    <row r="445" spans="1:22" s="14" customFormat="1" ht="13.5" customHeight="1" ns3:dyDescent="0.25">
      <c r="A445" s="13" t="s">
        <v>753</v>
      </c>
      <c r="B445" s="25" t="str">
        <f t="shared" si="29"/>
      </c>
      <c r="C445" s="13" t="s">
        <v>102</v>
      </c>
      <c r="D445" s="13" t="s">
        <v>17</v>
      </c>
      <c r="E445" s="13" t="s">
        <v>120</v>
      </c>
      <c r="F445" s="20" t="s">
        <v>1675</v>
      </c>
      <c r="G445" s="13" t="s">
        <v>10</v>
      </c>
      <c r="H445" s="13" t="str">
        <f>IFERROR(VLOOKUP(#REF!445,'정보화기기 명부'!A$2:B$187,2,FALSE),"")</f>
        <v/>
      </c>
      <c r="I445" s="13"/>
      <c r="J445" s="13"/>
      <c r="K445" s="13"/>
      <c r="L445" s="13">
        <v>20090515</v>
      </c>
      <c r="M445" s="13" t="s">
        <v>503</v>
      </c>
      <c r="N445" s="13" t="s">
        <v>1186</v>
      </c>
      <c r="O445" s="208">
        <v>512</v>
      </c>
      <c r="P445" s="13" t="s">
        <v>1508</v>
      </c>
      <c r="Q445" s="13" t="s">
        <v>728</v>
      </c>
      <c r="R445" s="13" t="s">
        <v>1000</v>
      </c>
      <c r="S445" s="13" t="s">
        <v>742</v>
      </c>
    </row>
    <row r="446" spans="1:22" s="14" customFormat="1" ht="13.5" customHeight="1" ns3:dyDescent="0.25">
      <c r="A446" s="13" t="s">
        <v>753</v>
      </c>
      <c r="B446" s="25" t="str">
        <f t="shared" si="29"/>
      </c>
      <c r="C446" s="13" t="s">
        <v>102</v>
      </c>
      <c r="D446" s="13" t="s">
        <v>17</v>
      </c>
      <c r="E446" s="13" t="s">
        <v>120</v>
      </c>
      <c r="F446" s="13" t="s">
        <v>1675</v>
      </c>
      <c r="G446" s="13" t="s">
        <v>10</v>
      </c>
      <c r="H446" s="13" t="str">
        <f>IFERROR(VLOOKUP(#REF!446,'정보화기기 명부'!A$2:B$187,2,FALSE),"")</f>
        <v/>
      </c>
      <c r="I446" s="13"/>
      <c r="J446" s="13"/>
      <c r="K446" s="13"/>
      <c r="L446" s="13">
        <v>20090515</v>
      </c>
      <c r="M446" s="13" t="s">
        <v>503</v>
      </c>
      <c r="N446" s="13" t="s">
        <v>1186</v>
      </c>
      <c r="O446" s="208">
        <v>511</v>
      </c>
      <c r="P446" s="13" t="s">
        <v>1020</v>
      </c>
      <c r="Q446" s="13" t="s">
        <v>728</v>
      </c>
      <c r="R446" s="13" t="s">
        <v>1000</v>
      </c>
      <c r="S446" s="13" t="s">
        <v>742</v>
      </c>
    </row>
    <row r="447" spans="1:22" s="14" customFormat="1" ht="13.5" customHeight="1" ns3:dyDescent="0.25">
      <c r="A447" s="13" t="s">
        <v>753</v>
      </c>
      <c r="B447" s="25" t="str">
        <f t="shared" si="29"/>
      </c>
      <c r="C447" s="13" t="s">
        <v>102</v>
      </c>
      <c r="D447" s="13" t="s">
        <v>17</v>
      </c>
      <c r="E447" s="13" t="s">
        <v>120</v>
      </c>
      <c r="F447" s="13" t="s">
        <v>1675</v>
      </c>
      <c r="G447" s="13" t="s">
        <v>10</v>
      </c>
      <c r="H447" s="13" t="str">
        <f>IFERROR(VLOOKUP(#REF!447,'정보화기기 명부'!A$2:B$187,2,FALSE),"")</f>
        <v/>
      </c>
      <c r="I447" s="13"/>
      <c r="J447" s="13"/>
      <c r="K447" s="13"/>
      <c r="L447" s="13">
        <v>20090515</v>
      </c>
      <c r="M447" s="13" t="s">
        <v>503</v>
      </c>
      <c r="N447" s="13" t="s">
        <v>1186</v>
      </c>
      <c r="O447" s="208">
        <v>510</v>
      </c>
      <c r="P447" s="13" t="s">
        <v>1020</v>
      </c>
      <c r="Q447" s="13" t="s">
        <v>728</v>
      </c>
      <c r="R447" s="13" t="s">
        <v>1000</v>
      </c>
      <c r="S447" s="13" t="s">
        <v>742</v>
      </c>
    </row>
    <row r="448" spans="1:22" s="14" customFormat="1" ht="13.5" customHeight="1" ns3:dyDescent="0.25">
      <c r="A448" s="13" t="s">
        <v>753</v>
      </c>
      <c r="B448" s="25" t="str">
        <f t="shared" si="29"/>
      </c>
      <c r="C448" s="13" t="s">
        <v>102</v>
      </c>
      <c r="D448" s="13" t="s">
        <v>17</v>
      </c>
      <c r="E448" s="13" t="s">
        <v>120</v>
      </c>
      <c r="F448" s="13" t="s">
        <v>1675</v>
      </c>
      <c r="G448" s="13" t="s">
        <v>10</v>
      </c>
      <c r="H448" s="13" t="str">
        <f>IFERROR(VLOOKUP(#REF!448,'정보화기기 명부'!A$2:B$187,2,FALSE),"")</f>
        <v/>
      </c>
      <c r="I448" s="13"/>
      <c r="J448" s="13"/>
      <c r="K448" s="13"/>
      <c r="L448" s="13">
        <v>20090515</v>
      </c>
      <c r="M448" s="13" t="s">
        <v>503</v>
      </c>
      <c r="N448" s="13" t="s">
        <v>1186</v>
      </c>
      <c r="O448" s="208">
        <v>509</v>
      </c>
      <c r="P448" s="13" t="s">
        <v>1020</v>
      </c>
      <c r="Q448" s="13" t="s">
        <v>728</v>
      </c>
      <c r="R448" s="13" t="s">
        <v>1000</v>
      </c>
      <c r="S448" s="13" t="s">
        <v>742</v>
      </c>
    </row>
    <row r="449" spans="1:22" s="14" customFormat="1" ht="13.5" customHeight="1" ns3:dyDescent="0.25">
      <c r="A449" s="13" t="s">
        <v>753</v>
      </c>
      <c r="B449" s="25" t="str">
        <f t="shared" si="29"/>
      </c>
      <c r="C449" s="13" t="s">
        <v>102</v>
      </c>
      <c r="D449" s="13" t="s">
        <v>17</v>
      </c>
      <c r="E449" s="13" t="s">
        <v>120</v>
      </c>
      <c r="F449" s="13" t="s">
        <v>1675</v>
      </c>
      <c r="G449" s="13" t="s">
        <v>10</v>
      </c>
      <c r="H449" s="13" t="str">
        <f>IFERROR(VLOOKUP(#REF!449,'정보화기기 명부'!A$2:B$187,2,FALSE),"")</f>
        <v/>
      </c>
      <c r="I449" s="13"/>
      <c r="J449" s="13"/>
      <c r="K449" s="13"/>
      <c r="L449" s="13">
        <v>20090515</v>
      </c>
      <c r="M449" s="13" t="s">
        <v>503</v>
      </c>
      <c r="N449" s="13" t="s">
        <v>1186</v>
      </c>
      <c r="O449" s="208">
        <v>508</v>
      </c>
      <c r="P449" s="13" t="s">
        <v>1020</v>
      </c>
      <c r="Q449" s="13" t="s">
        <v>728</v>
      </c>
      <c r="R449" s="13" t="s">
        <v>1000</v>
      </c>
      <c r="S449" s="13" t="s">
        <v>742</v>
      </c>
    </row>
    <row r="450" spans="1:22" s="14" customFormat="1" ht="13.5" customHeight="1" ns3:dyDescent="0.25">
      <c r="A450" s="13" t="s">
        <v>753</v>
      </c>
      <c r="B450" s="25" t="str">
        <f t="shared" si="29"/>
      </c>
      <c r="C450" s="13" t="s">
        <v>102</v>
      </c>
      <c r="D450" s="21" t="s">
        <v>17</v>
      </c>
      <c r="E450" s="13" t="s">
        <v>120</v>
      </c>
      <c r="F450" s="13" t="s">
        <v>1675</v>
      </c>
      <c r="G450" s="13" t="s">
        <v>10</v>
      </c>
      <c r="H450" s="13" t="str">
        <f>IFERROR(VLOOKUP(#REF!450,'정보화기기 명부'!A$2:B$187,2,FALSE),"")</f>
        <v/>
      </c>
      <c r="I450" s="13"/>
      <c r="J450" s="13"/>
      <c r="K450" s="13"/>
      <c r="L450" s="13">
        <v>20090515</v>
      </c>
      <c r="M450" s="13" t="s">
        <v>503</v>
      </c>
      <c r="N450" s="13" t="s">
        <v>1186</v>
      </c>
      <c r="O450" s="208">
        <v>507</v>
      </c>
      <c r="P450" s="13" t="s">
        <v>1508</v>
      </c>
      <c r="Q450" s="13" t="s">
        <v>728</v>
      </c>
      <c r="R450" s="13" t="s">
        <v>1000</v>
      </c>
      <c r="S450" s="13" t="s">
        <v>742</v>
      </c>
    </row>
    <row r="451" spans="1:22" s="14" customFormat="1" ht="13.5" customHeight="1" ns3:dyDescent="0.25">
      <c r="A451" s="13" t="s">
        <v>753</v>
      </c>
      <c r="B451" s="25" t="str">
        <f t="shared" si="29"/>
      </c>
      <c r="C451" s="13" t="s">
        <v>102</v>
      </c>
      <c r="D451" s="13" t="s">
        <v>17</v>
      </c>
      <c r="E451" s="13" t="s">
        <v>120</v>
      </c>
      <c r="F451" s="13" t="s">
        <v>1675</v>
      </c>
      <c r="G451" s="13" t="s">
        <v>10</v>
      </c>
      <c r="H451" s="13" t="str">
        <f>IFERROR(VLOOKUP(#REF!451,'정보화기기 명부'!A$2:B$187,2,FALSE),"")</f>
        <v/>
      </c>
      <c r="I451" s="13"/>
      <c r="J451" s="13"/>
      <c r="K451" s="13"/>
      <c r="L451" s="13">
        <v>20090515</v>
      </c>
      <c r="M451" s="13" t="s">
        <v>503</v>
      </c>
      <c r="N451" s="13" t="s">
        <v>1186</v>
      </c>
      <c r="O451" s="208">
        <v>506</v>
      </c>
      <c r="P451" s="13" t="s">
        <v>1020</v>
      </c>
      <c r="Q451" s="13" t="s">
        <v>728</v>
      </c>
      <c r="R451" s="13" t="s">
        <v>1000</v>
      </c>
      <c r="S451" s="13" t="s">
        <v>742</v>
      </c>
    </row>
    <row r="452" spans="1:22" s="14" customFormat="1" ht="13.5" customHeight="1" ns3:dyDescent="0.25">
      <c r="A452" s="13" t="s">
        <v>753</v>
      </c>
      <c r="B452" s="25" t="str">
        <f t="shared" si="29"/>
      </c>
      <c r="C452" s="13" t="s">
        <v>102</v>
      </c>
      <c r="D452" s="13" t="s">
        <v>17</v>
      </c>
      <c r="E452" s="13" t="s">
        <v>120</v>
      </c>
      <c r="F452" s="13" t="s">
        <v>1675</v>
      </c>
      <c r="G452" s="13" t="s">
        <v>10</v>
      </c>
      <c r="H452" s="13" t="str">
        <f>IFERROR(VLOOKUP(#REF!452,'정보화기기 명부'!A$2:B$187,2,FALSE),"")</f>
        <v/>
      </c>
      <c r="I452" s="13"/>
      <c r="J452" s="13"/>
      <c r="K452" s="13"/>
      <c r="L452" s="13">
        <v>20090515</v>
      </c>
      <c r="M452" s="13" t="s">
        <v>503</v>
      </c>
      <c r="N452" s="13" t="s">
        <v>1186</v>
      </c>
      <c r="O452" s="208">
        <v>505</v>
      </c>
      <c r="P452" s="13" t="s">
        <v>1020</v>
      </c>
      <c r="Q452" s="13" t="s">
        <v>728</v>
      </c>
      <c r="R452" s="13" t="s">
        <v>1000</v>
      </c>
      <c r="S452" s="13" t="s">
        <v>742</v>
      </c>
    </row>
    <row r="453" spans="1:22" s="14" customFormat="1" ht="13.5" customHeight="1" ns3:dyDescent="0.25">
      <c r="A453" s="13" t="s">
        <v>753</v>
      </c>
      <c r="B453" s="25" t="str">
        <f t="shared" si="29"/>
      </c>
      <c r="C453" s="13" t="s">
        <v>102</v>
      </c>
      <c r="D453" s="13" t="s">
        <v>17</v>
      </c>
      <c r="E453" s="13" t="s">
        <v>120</v>
      </c>
      <c r="F453" s="13" t="s">
        <v>1675</v>
      </c>
      <c r="G453" s="13" t="s">
        <v>10</v>
      </c>
      <c r="H453" s="13" t="str">
        <f>IFERROR(VLOOKUP(#REF!453,'정보화기기 명부'!A$2:B$187,2,FALSE),"")</f>
        <v/>
      </c>
      <c r="I453" s="13"/>
      <c r="J453" s="13"/>
      <c r="K453" s="13"/>
      <c r="L453" s="13">
        <v>20090515</v>
      </c>
      <c r="M453" s="13" t="s">
        <v>503</v>
      </c>
      <c r="N453" s="13" t="s">
        <v>1186</v>
      </c>
      <c r="O453" s="208">
        <v>504</v>
      </c>
      <c r="P453" s="13" t="s">
        <v>1020</v>
      </c>
      <c r="Q453" s="13" t="s">
        <v>728</v>
      </c>
      <c r="R453" s="13" t="s">
        <v>1000</v>
      </c>
      <c r="S453" s="13" t="s">
        <v>742</v>
      </c>
    </row>
    <row r="454" spans="1:22" s="14" customFormat="1" ht="13.5" customHeight="1" ns3:dyDescent="0.25">
      <c r="A454" s="13" t="s">
        <v>753</v>
      </c>
      <c r="B454" s="25" t="str">
        <f t="shared" si="29"/>
      </c>
      <c r="C454" s="13" t="s">
        <v>102</v>
      </c>
      <c r="D454" s="13" t="s">
        <v>17</v>
      </c>
      <c r="E454" s="13" t="s">
        <v>120</v>
      </c>
      <c r="F454" s="13" t="s">
        <v>1675</v>
      </c>
      <c r="G454" s="13" t="s">
        <v>10</v>
      </c>
      <c r="H454" s="13" t="str">
        <f>IFERROR(VLOOKUP(#REF!454,'정보화기기 명부'!A$2:B$187,2,FALSE),"")</f>
        <v/>
      </c>
      <c r="I454" s="13"/>
      <c r="J454" s="13"/>
      <c r="K454" s="13"/>
      <c r="L454" s="13">
        <v>20090515</v>
      </c>
      <c r="M454" s="13" t="s">
        <v>503</v>
      </c>
      <c r="N454" s="13" t="s">
        <v>1186</v>
      </c>
      <c r="O454" s="208">
        <v>503</v>
      </c>
      <c r="P454" s="13" t="s">
        <v>1508</v>
      </c>
      <c r="Q454" s="13" t="s">
        <v>728</v>
      </c>
      <c r="R454" s="13" t="s">
        <v>1000</v>
      </c>
      <c r="S454" s="13" t="s">
        <v>742</v>
      </c>
    </row>
    <row r="455" spans="1:22" s="14" customFormat="1" ht="13.5" customHeight="1" ns3:dyDescent="0.25">
      <c r="A455" s="13" t="s">
        <v>753</v>
      </c>
      <c r="B455" s="25" t="str">
        <f t="shared" si="29"/>
      </c>
      <c r="C455" s="13" t="s">
        <v>102</v>
      </c>
      <c r="D455" s="13" t="s">
        <v>17</v>
      </c>
      <c r="E455" s="13" t="s">
        <v>120</v>
      </c>
      <c r="F455" s="13" t="s">
        <v>1675</v>
      </c>
      <c r="G455" s="13" t="s">
        <v>10</v>
      </c>
      <c r="H455" s="13" t="str">
        <f>IFERROR(VLOOKUP(#REF!455,'정보화기기 명부'!A$2:B$187,2,FALSE),"")</f>
        <v/>
      </c>
      <c r="I455" s="13"/>
      <c r="J455" s="13"/>
      <c r="K455" s="13"/>
      <c r="L455" s="13">
        <v>20090515</v>
      </c>
      <c r="M455" s="13" t="s">
        <v>503</v>
      </c>
      <c r="N455" s="13" t="s">
        <v>1186</v>
      </c>
      <c r="O455" s="208">
        <v>502</v>
      </c>
      <c r="P455" s="13" t="s">
        <v>1020</v>
      </c>
      <c r="Q455" s="13" t="s">
        <v>728</v>
      </c>
      <c r="R455" s="13" t="s">
        <v>1000</v>
      </c>
      <c r="S455" s="13" t="s">
        <v>742</v>
      </c>
    </row>
    <row r="456" spans="1:22" s="14" customFormat="1" ht="13.5" customHeight="1" ns3:dyDescent="0.25">
      <c r="A456" s="13" t="s">
        <v>753</v>
      </c>
      <c r="B456" s="25" t="str">
        <f t="shared" si="29"/>
      </c>
      <c r="C456" s="13" t="s">
        <v>102</v>
      </c>
      <c r="D456" s="13" t="s">
        <v>17</v>
      </c>
      <c r="E456" s="13" t="s">
        <v>120</v>
      </c>
      <c r="F456" s="13" t="s">
        <v>1675</v>
      </c>
      <c r="G456" s="13" t="s">
        <v>10</v>
      </c>
      <c r="H456" s="13" t="str">
        <f>IFERROR(VLOOKUP(#REF!456,'정보화기기 명부'!A$2:B$187,2,FALSE),"")</f>
        <v/>
      </c>
      <c r="I456" s="13"/>
      <c r="J456" s="13"/>
      <c r="K456" s="13"/>
      <c r="L456" s="13">
        <v>20090515</v>
      </c>
      <c r="M456" s="13" t="s">
        <v>503</v>
      </c>
      <c r="N456" s="13" t="s">
        <v>1186</v>
      </c>
      <c r="O456" s="208">
        <v>501</v>
      </c>
      <c r="P456" s="13" t="s">
        <v>1020</v>
      </c>
      <c r="Q456" s="13" t="s">
        <v>728</v>
      </c>
      <c r="R456" s="13" t="s">
        <v>1000</v>
      </c>
      <c r="S456" s="13" t="s">
        <v>742</v>
      </c>
    </row>
    <row r="457" spans="1:22" s="14" customFormat="1" ht="13.5" customHeight="1" ns3:dyDescent="0.25">
      <c r="A457" s="13" t="s">
        <v>753</v>
      </c>
      <c r="B457" s="25" t="str">
        <f t="shared" si="29"/>
      </c>
      <c r="C457" s="13" t="s">
        <v>102</v>
      </c>
      <c r="D457" s="13" t="s">
        <v>17</v>
      </c>
      <c r="E457" s="13" t="s">
        <v>120</v>
      </c>
      <c r="F457" s="13" t="s">
        <v>1675</v>
      </c>
      <c r="G457" s="13" t="s">
        <v>10</v>
      </c>
      <c r="H457" s="13" t="str">
        <f>IFERROR(VLOOKUP(#REF!457,'정보화기기 명부'!A$2:B$187,2,FALSE),"")</f>
        <v/>
      </c>
      <c r="I457" s="13"/>
      <c r="J457" s="13"/>
      <c r="K457" s="13"/>
      <c r="L457" s="13">
        <v>20090515</v>
      </c>
      <c r="M457" s="13" t="s">
        <v>503</v>
      </c>
      <c r="N457" s="13" t="s">
        <v>1186</v>
      </c>
      <c r="O457" s="208">
        <v>500</v>
      </c>
      <c r="P457" s="13" t="s">
        <v>1020</v>
      </c>
      <c r="Q457" s="13" t="s">
        <v>728</v>
      </c>
      <c r="R457" s="13" t="s">
        <v>1000</v>
      </c>
      <c r="S457" s="13" t="s">
        <v>742</v>
      </c>
    </row>
    <row r="458" spans="1:22" s="14" customFormat="1" ht="13.5" customHeight="1" ns3:dyDescent="0.25">
      <c r="A458" s="13" t="s">
        <v>753</v>
      </c>
      <c r="B458" s="25" t="str">
        <f t="shared" si="29"/>
      </c>
      <c r="C458" s="13" t="s">
        <v>102</v>
      </c>
      <c r="D458" s="13" t="s">
        <v>17</v>
      </c>
      <c r="E458" s="13" t="s">
        <v>120</v>
      </c>
      <c r="F458" s="13" t="s">
        <v>1675</v>
      </c>
      <c r="G458" s="13" t="s">
        <v>10</v>
      </c>
      <c r="H458" s="13" t="str">
        <f>IFERROR(VLOOKUP(#REF!458,'정보화기기 명부'!A$2:B$187,2,FALSE),"")</f>
        <v/>
      </c>
      <c r="I458" s="13"/>
      <c r="J458" s="13"/>
      <c r="K458" s="13"/>
      <c r="L458" s="13">
        <v>20090515</v>
      </c>
      <c r="M458" s="13" t="s">
        <v>503</v>
      </c>
      <c r="N458" s="13" t="s">
        <v>1186</v>
      </c>
      <c r="O458" s="208">
        <v>499</v>
      </c>
      <c r="P458" s="13" t="s">
        <v>1020</v>
      </c>
      <c r="Q458" s="13" t="s">
        <v>728</v>
      </c>
      <c r="R458" s="13" t="s">
        <v>1000</v>
      </c>
      <c r="S458" s="13" t="s">
        <v>742</v>
      </c>
    </row>
    <row r="459" spans="1:22" s="14" customFormat="1" ht="13.5" customHeight="1" ns3:dyDescent="0.25">
      <c r="A459" s="13" t="s">
        <v>753</v>
      </c>
      <c r="B459" s="25" t="str">
        <f t="shared" si="29"/>
      </c>
      <c r="C459" s="13" t="s">
        <v>102</v>
      </c>
      <c r="D459" s="13" t="s">
        <v>17</v>
      </c>
      <c r="E459" s="13" t="s">
        <v>120</v>
      </c>
      <c r="F459" s="13" t="s">
        <v>1675</v>
      </c>
      <c r="G459" s="13" t="s">
        <v>10</v>
      </c>
      <c r="H459" s="13" t="str">
        <f>IFERROR(VLOOKUP(#REF!459,'정보화기기 명부'!A$2:B$187,2,FALSE),"")</f>
        <v/>
      </c>
      <c r="I459" s="13"/>
      <c r="J459" s="13"/>
      <c r="K459" s="13"/>
      <c r="L459" s="13">
        <v>20090515</v>
      </c>
      <c r="M459" s="13" t="s">
        <v>503</v>
      </c>
      <c r="N459" s="13" t="s">
        <v>1186</v>
      </c>
      <c r="O459" s="208">
        <v>498</v>
      </c>
      <c r="P459" s="13" t="s">
        <v>1020</v>
      </c>
      <c r="Q459" s="13" t="s">
        <v>728</v>
      </c>
      <c r="R459" s="13" t="s">
        <v>1000</v>
      </c>
      <c r="S459" s="13" t="s">
        <v>742</v>
      </c>
    </row>
    <row r="460" spans="1:22" s="14" customFormat="1" ht="13.5" customHeight="1" ns3:dyDescent="0.25">
      <c r="A460" s="13" t="s">
        <v>753</v>
      </c>
      <c r="B460" s="25" t="str">
        <f t="shared" si="29"/>
      </c>
      <c r="C460" s="13" t="s">
        <v>102</v>
      </c>
      <c r="D460" s="13" t="s">
        <v>17</v>
      </c>
      <c r="E460" s="13" t="s">
        <v>120</v>
      </c>
      <c r="F460" s="13" t="s">
        <v>1675</v>
      </c>
      <c r="G460" s="13" t="s">
        <v>10</v>
      </c>
      <c r="H460" s="13" t="str">
        <f>IFERROR(VLOOKUP(#REF!460,'정보화기기 명부'!A$2:B$187,2,FALSE),"")</f>
        <v/>
      </c>
      <c r="I460" s="13"/>
      <c r="J460" s="13"/>
      <c r="K460" s="13"/>
      <c r="L460" s="13">
        <v>20090515</v>
      </c>
      <c r="M460" s="13" t="s">
        <v>503</v>
      </c>
      <c r="N460" s="13" t="s">
        <v>1186</v>
      </c>
      <c r="O460" s="208">
        <v>497</v>
      </c>
      <c r="P460" s="13" t="s">
        <v>1020</v>
      </c>
      <c r="Q460" s="13" t="s">
        <v>728</v>
      </c>
      <c r="R460" s="13" t="s">
        <v>1000</v>
      </c>
      <c r="S460" s="13" t="s">
        <v>742</v>
      </c>
    </row>
    <row r="461" spans="1:22" s="14" customFormat="1" ht="13.5" hidden="1" customHeight="1" ns3:dyDescent="0.25">
      <c r="A461" s="13" t="s">
        <v>490</v>
      </c>
      <c r="B461" s="25" t="str">
        <f t="shared" si="29"/>
      </c>
      <c r="C461" s="13" t="s">
        <v>1147</v>
      </c>
      <c r="D461" s="21" t="s">
        <v>17</v>
      </c>
      <c r="E461" s="13" t="s">
        <v>8</v>
      </c>
      <c r="F461" s="13" t="s">
        <v>497</v>
      </c>
      <c r="G461" s="13" t="s">
        <v>486</v>
      </c>
      <c r="H461" s="13" t="str">
        <f>IFERROR(VLOOKUP(#REF!461,'정보화기기 명부'!A$2:B$187,2,FALSE),"")</f>
        <v/>
      </c>
      <c r="I461" s="13"/>
      <c r="J461" s="13"/>
      <c r="K461" s="13"/>
      <c r="L461" s="13">
        <v>20090320</v>
      </c>
      <c r="M461" s="13" t="s">
        <v>739</v>
      </c>
      <c r="N461" s="13" t="s">
        <v>1186</v>
      </c>
      <c r="O461" s="208">
        <v>496</v>
      </c>
      <c r="P461" s="13" t="s">
        <v>740</v>
      </c>
      <c r="Q461" s="13" t="s">
        <v>751</v>
      </c>
      <c r="R461" s="13" t="s">
        <v>735</v>
      </c>
      <c r="S461" s="13" t="s">
        <v>742</v>
      </c>
    </row>
    <row r="462" spans="1:22" s="14" customFormat="1" ht="13.5" customHeight="1" ns3:dyDescent="0.25">
      <c r="A462" s="13" t="s">
        <v>753</v>
      </c>
      <c r="B462" s="25" t="str">
        <f t="shared" si="29"/>
      </c>
      <c r="C462" s="13" t="s">
        <v>102</v>
      </c>
      <c r="D462" s="13" t="s">
        <v>17</v>
      </c>
      <c r="E462" s="13" t="s">
        <v>120</v>
      </c>
      <c r="F462" s="13" t="s">
        <v>1696</v>
      </c>
      <c r="G462" s="13" t="s">
        <v>10</v>
      </c>
      <c r="H462" s="13" t="str">
        <f>IFERROR(VLOOKUP(#REF!462,'정보화기기 명부'!A$2:B$187,2,FALSE),"")</f>
        <v/>
      </c>
      <c r="I462" s="13"/>
      <c r="J462" s="13"/>
      <c r="K462" s="13"/>
      <c r="L462" s="13">
        <v>20090305</v>
      </c>
      <c r="M462" s="13" t="s">
        <v>488</v>
      </c>
      <c r="N462" s="13" t="s">
        <v>1191</v>
      </c>
      <c r="O462" s="208">
        <v>495</v>
      </c>
      <c r="P462" s="13" t="s">
        <v>1020</v>
      </c>
      <c r="Q462" s="13" t="s">
        <v>750</v>
      </c>
      <c r="R462" s="13" t="s">
        <v>1000</v>
      </c>
      <c r="S462" s="13" t="s">
        <v>742</v>
      </c>
    </row>
    <row r="463" spans="1:22" s="14" customFormat="1" ht="13.5" customHeight="1" ns3:dyDescent="0.25">
      <c r="A463" s="13" t="s">
        <v>753</v>
      </c>
      <c r="B463" s="25" t="str">
        <f t="shared" si="29"/>
      </c>
      <c r="C463" s="13" t="s">
        <v>102</v>
      </c>
      <c r="D463" s="13" t="s">
        <v>17</v>
      </c>
      <c r="E463" s="13" t="s">
        <v>120</v>
      </c>
      <c r="F463" s="13" t="s">
        <v>1696</v>
      </c>
      <c r="G463" s="13" t="s">
        <v>10</v>
      </c>
      <c r="H463" s="13" t="str">
        <f>IFERROR(VLOOKUP(#REF!463,'정보화기기 명부'!A$2:B$187,2,FALSE),"")</f>
        <v/>
      </c>
      <c r="I463" s="13"/>
      <c r="J463" s="13"/>
      <c r="K463" s="13"/>
      <c r="L463" s="13">
        <v>20090305</v>
      </c>
      <c r="M463" s="13" t="s">
        <v>488</v>
      </c>
      <c r="N463" s="13" t="s">
        <v>1191</v>
      </c>
      <c r="O463" s="208">
        <v>494</v>
      </c>
      <c r="P463" s="13" t="s">
        <v>1020</v>
      </c>
      <c r="Q463" s="13" t="s">
        <v>750</v>
      </c>
      <c r="R463" s="13" t="s">
        <v>1000</v>
      </c>
      <c r="S463" s="13" t="s">
        <v>742</v>
      </c>
    </row>
    <row r="464" spans="1:22" s="14" customFormat="1" ht="13.5" hidden="1" customHeight="1" ns3:dyDescent="0.25">
      <c r="A464" s="13" t="s">
        <v>784</v>
      </c>
      <c r="B464" s="25" t="str">
        <f t="shared" si="29"/>
      </c>
      <c r="C464" s="13" t="s">
        <v>1147</v>
      </c>
      <c r="D464" s="13" t="s">
        <v>17</v>
      </c>
      <c r="E464" s="13" t="s">
        <v>55</v>
      </c>
      <c r="F464" s="13" t="s">
        <v>1686</v>
      </c>
      <c r="G464" s="13" t="s">
        <v>10</v>
      </c>
      <c r="H464" s="13" t="str">
        <f>IFERROR(VLOOKUP(#REF!464,'정보화기기 명부'!A$2:B$187,2,FALSE),"")</f>
        <v/>
      </c>
      <c r="I464" s="13"/>
      <c r="J464" s="13" t="s">
        <v>938</v>
      </c>
      <c r="K464" s="13"/>
      <c r="L464" s="13">
        <v>20090305</v>
      </c>
      <c r="M464" s="13" t="s">
        <v>731</v>
      </c>
      <c r="N464" s="13" t="s">
        <v>1191</v>
      </c>
      <c r="O464" s="208">
        <v>493</v>
      </c>
      <c r="P464" s="13" t="s">
        <v>1020</v>
      </c>
      <c r="Q464" s="13" t="s">
        <v>727</v>
      </c>
      <c r="R464" s="13" t="s">
        <v>735</v>
      </c>
      <c r="S464" s="13" t="s">
        <v>910</v>
      </c>
    </row>
    <row r="465" spans="1:22" s="14" customFormat="1" ht="13.5" hidden="1" customHeight="1" ns3:dyDescent="0.25">
      <c r="A465" s="13" t="s">
        <v>784</v>
      </c>
      <c r="B465" s="25" t="str">
        <f t="shared" si="29"/>
      </c>
      <c r="C465" s="13" t="s">
        <v>1147</v>
      </c>
      <c r="D465" s="13" t="s">
        <v>17</v>
      </c>
      <c r="E465" s="13" t="s">
        <v>55</v>
      </c>
      <c r="F465" s="13" t="s">
        <v>1686</v>
      </c>
      <c r="G465" s="13" t="s">
        <v>10</v>
      </c>
      <c r="H465" s="13" t="str">
        <f>IFERROR(VLOOKUP(#REF!465,'정보화기기 명부'!A$2:B$187,2,FALSE),"")</f>
        <v/>
      </c>
      <c r="I465" s="13"/>
      <c r="J465" s="13" t="s">
        <v>938</v>
      </c>
      <c r="K465" s="13"/>
      <c r="L465" s="13">
        <v>20090305</v>
      </c>
      <c r="M465" s="13" t="s">
        <v>731</v>
      </c>
      <c r="N465" s="13" t="s">
        <v>1191</v>
      </c>
      <c r="O465" s="208">
        <v>492</v>
      </c>
      <c r="P465" s="13" t="s">
        <v>1020</v>
      </c>
      <c r="Q465" s="13" t="s">
        <v>727</v>
      </c>
      <c r="R465" s="13" t="s">
        <v>735</v>
      </c>
      <c r="S465" s="13" t="s">
        <v>910</v>
      </c>
    </row>
    <row r="466" spans="1:22" s="14" customFormat="1" ht="13.5" hidden="1" customHeight="1" ns3:dyDescent="0.25">
      <c r="A466" s="13" t="s">
        <v>784</v>
      </c>
      <c r="B466" s="25" t="str">
        <f t="shared" si="29"/>
      </c>
      <c r="C466" s="13" t="s">
        <v>1147</v>
      </c>
      <c r="D466" s="13" t="s">
        <v>17</v>
      </c>
      <c r="E466" s="13" t="s">
        <v>55</v>
      </c>
      <c r="F466" s="13" t="s">
        <v>1686</v>
      </c>
      <c r="G466" s="13" t="s">
        <v>10</v>
      </c>
      <c r="H466" s="13" t="str">
        <f>IFERROR(VLOOKUP(#REF!466,'정보화기기 명부'!A$2:B$187,2,FALSE),"")</f>
        <v/>
      </c>
      <c r="I466" s="13"/>
      <c r="J466" s="13" t="s">
        <v>938</v>
      </c>
      <c r="K466" s="13"/>
      <c r="L466" s="13">
        <v>20090305</v>
      </c>
      <c r="M466" s="13" t="s">
        <v>731</v>
      </c>
      <c r="N466" s="13" t="s">
        <v>1191</v>
      </c>
      <c r="O466" s="208">
        <v>491</v>
      </c>
      <c r="P466" s="13" t="s">
        <v>1020</v>
      </c>
      <c r="Q466" s="13" t="s">
        <v>727</v>
      </c>
      <c r="R466" s="13" t="s">
        <v>735</v>
      </c>
      <c r="S466" s="13" t="s">
        <v>910</v>
      </c>
    </row>
    <row r="467" spans="1:22" s="14" customFormat="1" ht="13.5" hidden="1" customHeight="1" ns3:dyDescent="0.25">
      <c r="A467" s="13" t="s">
        <v>784</v>
      </c>
      <c r="B467" s="25" t="str">
        <f t="shared" si="29"/>
      </c>
      <c r="C467" s="13" t="s">
        <v>1147</v>
      </c>
      <c r="D467" s="13" t="s">
        <v>17</v>
      </c>
      <c r="E467" s="13" t="s">
        <v>55</v>
      </c>
      <c r="F467" s="13" t="s">
        <v>1686</v>
      </c>
      <c r="G467" s="13" t="s">
        <v>10</v>
      </c>
      <c r="H467" s="13" t="str">
        <f>IFERROR(VLOOKUP(#REF!467,'정보화기기 명부'!A$2:B$187,2,FALSE),"")</f>
        <v/>
      </c>
      <c r="I467" s="13"/>
      <c r="J467" s="13" t="s">
        <v>938</v>
      </c>
      <c r="K467" s="13"/>
      <c r="L467" s="13">
        <v>20090305</v>
      </c>
      <c r="M467" s="13" t="s">
        <v>731</v>
      </c>
      <c r="N467" s="13" t="s">
        <v>1191</v>
      </c>
      <c r="O467" s="208">
        <v>490</v>
      </c>
      <c r="P467" s="13" t="s">
        <v>1020</v>
      </c>
      <c r="Q467" s="13" t="s">
        <v>727</v>
      </c>
      <c r="R467" s="13" t="s">
        <v>735</v>
      </c>
      <c r="S467" s="13" t="s">
        <v>910</v>
      </c>
    </row>
    <row r="468" spans="1:22" s="14" customFormat="1" ht="13.5" customHeight="1" ns3:dyDescent="0.25">
      <c r="A468" s="13" t="s">
        <v>753</v>
      </c>
      <c r="B468" s="25" t="str">
        <f t="shared" si="29"/>
      </c>
      <c r="C468" s="13" t="s">
        <v>102</v>
      </c>
      <c r="D468" s="13" t="s">
        <v>17</v>
      </c>
      <c r="E468" s="13" t="s">
        <v>120</v>
      </c>
      <c r="F468" s="13" t="s">
        <v>1639</v>
      </c>
      <c r="G468" s="13" t="s">
        <v>10</v>
      </c>
      <c r="H468" s="13" t="str">
        <f>IFERROR(VLOOKUP(#REF!468,'정보화기기 명부'!A$2:B$187,2,FALSE),"")</f>
        <v/>
      </c>
      <c r="I468" s="13"/>
      <c r="J468" s="13"/>
      <c r="K468" s="13"/>
      <c r="L468" s="13">
        <v>20081224</v>
      </c>
      <c r="M468" s="13" t="s">
        <v>510</v>
      </c>
      <c r="N468" s="13" t="s">
        <v>1193</v>
      </c>
      <c r="O468" s="208">
        <v>484</v>
      </c>
      <c r="P468" s="13" t="s">
        <v>495</v>
      </c>
      <c r="Q468" s="13" t="s">
        <v>750</v>
      </c>
      <c r="R468" s="13" t="s">
        <v>1000</v>
      </c>
      <c r="S468" s="13" t="s">
        <v>742</v>
      </c>
    </row>
    <row r="469" spans="1:22" s="14" customFormat="1" ht="13.5" customHeight="1" ns3:dyDescent="0.25">
      <c r="A469" s="13" t="s">
        <v>753</v>
      </c>
      <c r="B469" s="25" t="str">
        <f t="shared" si="29"/>
      </c>
      <c r="C469" s="13" t="s">
        <v>102</v>
      </c>
      <c r="D469" s="13" t="s">
        <v>17</v>
      </c>
      <c r="E469" s="13" t="s">
        <v>120</v>
      </c>
      <c r="F469" s="13" t="s">
        <v>1639</v>
      </c>
      <c r="G469" s="13" t="s">
        <v>10</v>
      </c>
      <c r="H469" s="13" t="str">
        <f>IFERROR(VLOOKUP(#REF!469,'정보화기기 명부'!A$2:B$187,2,FALSE),"")</f>
        <v/>
      </c>
      <c r="I469" s="13"/>
      <c r="J469" s="13"/>
      <c r="K469" s="13"/>
      <c r="L469" s="13">
        <v>20081224</v>
      </c>
      <c r="M469" s="13" t="s">
        <v>510</v>
      </c>
      <c r="N469" s="13" t="s">
        <v>1193</v>
      </c>
      <c r="O469" s="208">
        <v>483</v>
      </c>
      <c r="P469" s="13" t="s">
        <v>495</v>
      </c>
      <c r="Q469" s="13" t="s">
        <v>750</v>
      </c>
      <c r="R469" s="13" t="s">
        <v>1000</v>
      </c>
      <c r="S469" s="13" t="s">
        <v>742</v>
      </c>
    </row>
    <row r="470" spans="1:22" s="14" customFormat="1" ht="13.5" customHeight="1" ns3:dyDescent="0.25">
      <c r="A470" s="13" t="s">
        <v>753</v>
      </c>
      <c r="B470" s="25" t="str">
        <f t="shared" si="29"/>
      </c>
      <c r="C470" s="13" t="s">
        <v>102</v>
      </c>
      <c r="D470" s="13" t="s">
        <v>17</v>
      </c>
      <c r="E470" s="13" t="s">
        <v>120</v>
      </c>
      <c r="F470" s="13" t="s">
        <v>1639</v>
      </c>
      <c r="G470" s="13" t="s">
        <v>10</v>
      </c>
      <c r="H470" s="13" t="str">
        <f>IFERROR(VLOOKUP(#REF!470,'정보화기기 명부'!A$2:B$187,2,FALSE),"")</f>
        <v/>
      </c>
      <c r="I470" s="13"/>
      <c r="J470" s="13"/>
      <c r="K470" s="13"/>
      <c r="L470" s="13">
        <v>20081224</v>
      </c>
      <c r="M470" s="13" t="s">
        <v>510</v>
      </c>
      <c r="N470" s="13" t="s">
        <v>1193</v>
      </c>
      <c r="O470" s="208">
        <v>482</v>
      </c>
      <c r="P470" s="13" t="s">
        <v>1508</v>
      </c>
      <c r="Q470" s="13" t="s">
        <v>750</v>
      </c>
      <c r="R470" s="13" t="s">
        <v>1000</v>
      </c>
      <c r="S470" s="13" t="s">
        <v>742</v>
      </c>
    </row>
    <row r="471" spans="1:22" s="14" customFormat="1" ht="13.5" customHeight="1" ns3:dyDescent="0.25">
      <c r="A471" s="13" t="s">
        <v>753</v>
      </c>
      <c r="B471" s="25" t="str">
        <f t="shared" si="29"/>
      </c>
      <c r="C471" s="13" t="s">
        <v>102</v>
      </c>
      <c r="D471" s="13" t="s">
        <v>17</v>
      </c>
      <c r="E471" s="13" t="s">
        <v>120</v>
      </c>
      <c r="F471" s="13" t="s">
        <v>1654</v>
      </c>
      <c r="G471" s="13" t="s">
        <v>10</v>
      </c>
      <c r="H471" s="13" t="str">
        <f>IFERROR(VLOOKUP(#REF!471,'정보화기기 명부'!A$2:B$187,2,FALSE),"")</f>
        <v/>
      </c>
      <c r="I471" s="13"/>
      <c r="J471" s="13"/>
      <c r="K471" s="13"/>
      <c r="L471" s="13">
        <v>20080821</v>
      </c>
      <c r="M471" s="13" t="s">
        <v>510</v>
      </c>
      <c r="N471" s="13" t="s">
        <v>1193</v>
      </c>
      <c r="O471" s="208">
        <v>560</v>
      </c>
      <c r="P471" s="13" t="s">
        <v>495</v>
      </c>
      <c r="Q471" s="13" t="s">
        <v>737</v>
      </c>
      <c r="R471" s="13" t="s">
        <v>1000</v>
      </c>
      <c r="S471" s="13" t="s">
        <v>742</v>
      </c>
    </row>
    <row r="472" spans="1:22" s="14" customFormat="1" ht="13.5" hidden="1" customHeight="1" ns3:dyDescent="0.25">
      <c r="A472" s="13" t="s">
        <v>186</v>
      </c>
      <c r="B472" s="25" t="str">
        <f t="shared" si="29"/>
      </c>
      <c r="C472" s="13" t="s">
        <v>1147</v>
      </c>
      <c r="D472" s="13" t="s">
        <v>17</v>
      </c>
      <c r="E472" s="13" t="s">
        <v>55</v>
      </c>
      <c r="F472" s="13" t="s">
        <v>1664</v>
      </c>
      <c r="G472" s="13" t="s">
        <v>10</v>
      </c>
      <c r="H472" s="13" t="str">
        <f>IFERROR(VLOOKUP(#REF!472,'정보화기기 명부'!A$2:B$187,2,FALSE),"")</f>
        <v/>
      </c>
      <c r="I472" s="13"/>
      <c r="J472" s="13" t="s">
        <v>738</v>
      </c>
      <c r="K472" s="13"/>
      <c r="L472" s="13">
        <v>20080821</v>
      </c>
      <c r="M472" s="13" t="s">
        <v>777</v>
      </c>
      <c r="N472" s="13" t="s">
        <v>1193</v>
      </c>
      <c r="O472" s="208">
        <v>489</v>
      </c>
      <c r="P472" s="13" t="s">
        <v>495</v>
      </c>
      <c r="Q472" s="13" t="s">
        <v>1026</v>
      </c>
      <c r="R472" s="13" t="s">
        <v>1000</v>
      </c>
      <c r="S472" s="13" t="s">
        <v>910</v>
      </c>
    </row>
    <row r="473" spans="1:22" s="14" customFormat="1" ht="13.5" hidden="1" customHeight="1" ns3:dyDescent="0.25">
      <c r="A473" s="13" t="s">
        <v>160</v>
      </c>
      <c r="B473" s="25" t="str">
        <f t="shared" si="29"/>
      </c>
      <c r="C473" s="13" t="s">
        <v>1147</v>
      </c>
      <c r="D473" s="13" t="s">
        <v>17</v>
      </c>
      <c r="E473" s="13" t="s">
        <v>55</v>
      </c>
      <c r="F473" s="13" t="s">
        <v>1664</v>
      </c>
      <c r="G473" s="13" t="s">
        <v>10</v>
      </c>
      <c r="H473" s="13" t="str">
        <f>IFERROR(VLOOKUP(#REF!473,'정보화기기 명부'!A$2:B$187,2,FALSE),"")</f>
        <v/>
      </c>
      <c r="I473" s="13"/>
      <c r="J473" s="13" t="s">
        <v>738</v>
      </c>
      <c r="K473" s="13"/>
      <c r="L473" s="13">
        <v>20080821</v>
      </c>
      <c r="M473" s="13" t="s">
        <v>777</v>
      </c>
      <c r="N473" s="13" t="s">
        <v>1193</v>
      </c>
      <c r="O473" s="208">
        <v>488</v>
      </c>
      <c r="P473" s="13" t="s">
        <v>495</v>
      </c>
      <c r="Q473" s="13" t="s">
        <v>1026</v>
      </c>
      <c r="R473" s="13" t="s">
        <v>1000</v>
      </c>
      <c r="S473" s="13" t="s">
        <v>910</v>
      </c>
    </row>
    <row r="474" spans="1:22" s="14" customFormat="1" ht="13.5" hidden="1" customHeight="1" ns3:dyDescent="0.25">
      <c r="A474" s="13" t="s">
        <v>744</v>
      </c>
      <c r="B474" s="25" t="str">
        <f t="shared" si="29"/>
      </c>
      <c r="C474" s="13" t="s">
        <v>1147</v>
      </c>
      <c r="D474" s="13" t="s">
        <v>17</v>
      </c>
      <c r="E474" s="13" t="s">
        <v>55</v>
      </c>
      <c r="F474" s="13" t="s">
        <v>1664</v>
      </c>
      <c r="G474" s="13" t="s">
        <v>10</v>
      </c>
      <c r="H474" s="13" t="str">
        <f>IFERROR(VLOOKUP(#REF!474,'정보화기기 명부'!A$2:B$187,2,FALSE),"")</f>
        <v/>
      </c>
      <c r="I474" s="13"/>
      <c r="J474" s="13" t="s">
        <v>738</v>
      </c>
      <c r="K474" s="13"/>
      <c r="L474" s="13">
        <v>20080821</v>
      </c>
      <c r="M474" s="13" t="s">
        <v>777</v>
      </c>
      <c r="N474" s="13" t="s">
        <v>1193</v>
      </c>
      <c r="O474" s="208">
        <v>487</v>
      </c>
      <c r="P474" s="13" t="s">
        <v>495</v>
      </c>
      <c r="Q474" s="13" t="s">
        <v>1026</v>
      </c>
      <c r="R474" s="13" t="s">
        <v>1000</v>
      </c>
      <c r="S474" s="13" t="s">
        <v>910</v>
      </c>
    </row>
    <row r="475" spans="1:22" s="14" customFormat="1" ht="13.5" hidden="1" customHeight="1" ns3:dyDescent="0.25">
      <c r="A475" s="13" t="s">
        <v>137</v>
      </c>
      <c r="B475" s="25" t="str">
        <f t="shared" si="29"/>
      </c>
      <c r="C475" s="13" t="s">
        <v>1147</v>
      </c>
      <c r="D475" s="13" t="s">
        <v>17</v>
      </c>
      <c r="E475" s="13" t="s">
        <v>55</v>
      </c>
      <c r="F475" s="13" t="s">
        <v>1664</v>
      </c>
      <c r="G475" s="13" t="s">
        <v>10</v>
      </c>
      <c r="H475" s="13" t="str">
        <f>IFERROR(VLOOKUP(#REF!475,'정보화기기 명부'!A$2:B$187,2,FALSE),"")</f>
        <v/>
      </c>
      <c r="I475" s="13"/>
      <c r="J475" s="13" t="s">
        <v>738</v>
      </c>
      <c r="K475" s="13"/>
      <c r="L475" s="13">
        <v>20080821</v>
      </c>
      <c r="M475" s="13" t="s">
        <v>777</v>
      </c>
      <c r="N475" s="13" t="s">
        <v>1193</v>
      </c>
      <c r="O475" s="208">
        <v>486</v>
      </c>
      <c r="P475" s="13" t="s">
        <v>495</v>
      </c>
      <c r="Q475" s="13" t="s">
        <v>1026</v>
      </c>
      <c r="R475" s="13" t="s">
        <v>1000</v>
      </c>
      <c r="S475" s="13" t="s">
        <v>910</v>
      </c>
    </row>
    <row r="476" spans="1:22" s="14" customFormat="1" ht="13.5" hidden="1" customHeight="1" ns3:dyDescent="0.25">
      <c r="A476" s="13" t="s">
        <v>155</v>
      </c>
      <c r="B476" s="25" t="str">
        <f t="shared" si="29"/>
      </c>
      <c r="C476" s="13" t="s">
        <v>1147</v>
      </c>
      <c r="D476" s="13" t="s">
        <v>17</v>
      </c>
      <c r="E476" s="13" t="s">
        <v>55</v>
      </c>
      <c r="F476" s="13" t="s">
        <v>1664</v>
      </c>
      <c r="G476" s="13" t="s">
        <v>10</v>
      </c>
      <c r="H476" s="13" t="str">
        <f>IFERROR(VLOOKUP(#REF!476,'정보화기기 명부'!A$2:B$187,2,FALSE),"")</f>
        <v/>
      </c>
      <c r="I476" s="13"/>
      <c r="J476" s="13" t="s">
        <v>738</v>
      </c>
      <c r="K476" s="13"/>
      <c r="L476" s="13">
        <v>20080821</v>
      </c>
      <c r="M476" s="13" t="s">
        <v>777</v>
      </c>
      <c r="N476" s="13" t="s">
        <v>1186</v>
      </c>
      <c r="O476" s="208">
        <v>485</v>
      </c>
      <c r="P476" s="13" t="s">
        <v>495</v>
      </c>
      <c r="Q476" s="13" t="s">
        <v>1026</v>
      </c>
      <c r="R476" s="13" t="s">
        <v>1000</v>
      </c>
      <c r="S476" s="13" t="s">
        <v>910</v>
      </c>
    </row>
    <row r="477" spans="1:22" s="14" customFormat="1" ht="13.5" customHeight="1" ns3:dyDescent="0.25">
      <c r="A477" s="13" t="s">
        <v>753</v>
      </c>
      <c r="B477" s="25" t="str">
        <f t="shared" si="29"/>
      </c>
      <c r="C477" s="13" t="s">
        <v>102</v>
      </c>
      <c r="D477" s="13" t="s">
        <v>17</v>
      </c>
      <c r="E477" s="13" t="s">
        <v>120</v>
      </c>
      <c r="F477" s="13" t="s">
        <v>1654</v>
      </c>
      <c r="G477" s="13" t="s">
        <v>10</v>
      </c>
      <c r="H477" s="13" t="str">
        <f>IFERROR(VLOOKUP(#REF!477,'정보화기기 명부'!A$2:B$187,2,FALSE),"")</f>
        <v/>
      </c>
      <c r="I477" s="13"/>
      <c r="J477" s="13"/>
      <c r="K477" s="13"/>
      <c r="L477" s="13">
        <v>20080821</v>
      </c>
      <c r="M477" s="13" t="s">
        <v>510</v>
      </c>
      <c r="N477" s="13" t="s">
        <v>1193</v>
      </c>
      <c r="O477" s="208">
        <v>481</v>
      </c>
      <c r="P477" s="13" t="s">
        <v>495</v>
      </c>
      <c r="Q477" s="13" t="s">
        <v>737</v>
      </c>
      <c r="R477" s="13" t="s">
        <v>1000</v>
      </c>
      <c r="S477" s="13" t="s">
        <v>742</v>
      </c>
    </row>
    <row r="478" spans="1:22" s="14" customFormat="1" ht="13.5" customHeight="1" ns3:dyDescent="0.25">
      <c r="A478" s="13" t="s">
        <v>514</v>
      </c>
      <c r="B478" s="25" t="str">
        <f t="shared" si="29"/>
      </c>
      <c r="C478" s="13" t="s">
        <v>102</v>
      </c>
      <c r="D478" s="13" t="s">
        <v>17</v>
      </c>
      <c r="E478" s="13" t="s">
        <v>120</v>
      </c>
      <c r="F478" s="13" t="s">
        <v>1654</v>
      </c>
      <c r="G478" s="13" t="s">
        <v>10</v>
      </c>
      <c r="H478" s="13" t="str">
        <f>IFERROR(VLOOKUP(#REF!478,'정보화기기 명부'!A$2:B$187,2,FALSE),"")</f>
        <v/>
      </c>
      <c r="I478" s="13"/>
      <c r="J478" s="13"/>
      <c r="K478" s="13"/>
      <c r="L478" s="13">
        <v>20080821</v>
      </c>
      <c r="M478" s="13" t="s">
        <v>510</v>
      </c>
      <c r="N478" s="13" t="s">
        <v>1193</v>
      </c>
      <c r="O478" s="208">
        <v>480</v>
      </c>
      <c r="P478" s="13" t="s">
        <v>495</v>
      </c>
      <c r="Q478" s="13" t="s">
        <v>737</v>
      </c>
      <c r="R478" s="13" t="s">
        <v>1000</v>
      </c>
      <c r="S478" s="13" t="s">
        <v>742</v>
      </c>
    </row>
    <row r="479" spans="1:22" s="14" customFormat="1" ht="13.5" customHeight="1" ns3:dyDescent="0.25">
      <c r="A479" s="13" t="s">
        <v>146</v>
      </c>
      <c r="B479" s="25" t="str">
        <f t="shared" si="29"/>
      </c>
      <c r="C479" s="13" t="s">
        <v>102</v>
      </c>
      <c r="D479" s="13" t="s">
        <v>17</v>
      </c>
      <c r="E479" s="13" t="s">
        <v>120</v>
      </c>
      <c r="F479" s="13" t="s">
        <v>1654</v>
      </c>
      <c r="G479" s="13" t="s">
        <v>10</v>
      </c>
      <c r="H479" s="13" t="str">
        <f>IFERROR(VLOOKUP(#REF!479,'정보화기기 명부'!A$2:B$187,2,FALSE),"")</f>
        <v/>
      </c>
      <c r="I479" s="13"/>
      <c r="J479" s="13"/>
      <c r="K479" s="13"/>
      <c r="L479" s="13">
        <v>20080821</v>
      </c>
      <c r="M479" s="13" t="s">
        <v>510</v>
      </c>
      <c r="N479" s="13" t="s">
        <v>1193</v>
      </c>
      <c r="O479" s="208">
        <v>479</v>
      </c>
      <c r="P479" s="13" t="s">
        <v>495</v>
      </c>
      <c r="Q479" s="13" t="s">
        <v>737</v>
      </c>
      <c r="R479" s="13" t="s">
        <v>1000</v>
      </c>
      <c r="S479" s="13" t="s">
        <v>742</v>
      </c>
    </row>
    <row r="480" spans="1:22" s="14" customFormat="1" ht="13.5" customHeight="1" ns3:dyDescent="0.25">
      <c r="A480" s="13" t="s">
        <v>753</v>
      </c>
      <c r="B480" s="25" t="str">
        <f t="shared" si="29"/>
      </c>
      <c r="C480" s="13" t="s">
        <v>102</v>
      </c>
      <c r="D480" s="13" t="s">
        <v>17</v>
      </c>
      <c r="E480" s="13" t="s">
        <v>120</v>
      </c>
      <c r="F480" s="13" t="s">
        <v>1654</v>
      </c>
      <c r="G480" s="13" t="s">
        <v>10</v>
      </c>
      <c r="H480" s="13" t="str">
        <f>IFERROR(VLOOKUP(#REF!480,'정보화기기 명부'!A$2:B$187,2,FALSE),"")</f>
        <v/>
      </c>
      <c r="I480" s="13"/>
      <c r="J480" s="13"/>
      <c r="K480" s="13"/>
      <c r="L480" s="13">
        <v>20080821</v>
      </c>
      <c r="M480" s="13" t="s">
        <v>510</v>
      </c>
      <c r="N480" s="13" t="s">
        <v>1193</v>
      </c>
      <c r="O480" s="208">
        <v>478</v>
      </c>
      <c r="P480" s="13" t="s">
        <v>495</v>
      </c>
      <c r="Q480" s="13" t="s">
        <v>737</v>
      </c>
      <c r="R480" s="13" t="s">
        <v>1000</v>
      </c>
      <c r="S480" s="13" t="s">
        <v>742</v>
      </c>
    </row>
    <row r="481" spans="1:22" s="14" customFormat="1" ht="13.5" customHeight="1" ns3:dyDescent="0.25">
      <c r="A481" s="13" t="s">
        <v>753</v>
      </c>
      <c r="B481" s="25" t="str">
        <f t="shared" si="29"/>
      </c>
      <c r="C481" s="13" t="s">
        <v>102</v>
      </c>
      <c r="D481" s="13" t="s">
        <v>17</v>
      </c>
      <c r="E481" s="13" t="s">
        <v>120</v>
      </c>
      <c r="F481" s="13" t="s">
        <v>1654</v>
      </c>
      <c r="G481" s="13" t="s">
        <v>10</v>
      </c>
      <c r="H481" s="13" t="str">
        <f>IFERROR(VLOOKUP(#REF!481,'정보화기기 명부'!A$2:B$187,2,FALSE),"")</f>
        <v/>
      </c>
      <c r="I481" s="13"/>
      <c r="J481" s="13"/>
      <c r="K481" s="13"/>
      <c r="L481" s="13">
        <v>20080821</v>
      </c>
      <c r="M481" s="13" t="s">
        <v>510</v>
      </c>
      <c r="N481" s="13" t="s">
        <v>1193</v>
      </c>
      <c r="O481" s="208">
        <v>477</v>
      </c>
      <c r="P481" s="13" t="s">
        <v>495</v>
      </c>
      <c r="Q481" s="13" t="s">
        <v>737</v>
      </c>
      <c r="R481" s="13" t="s">
        <v>1000</v>
      </c>
      <c r="S481" s="13" t="s">
        <v>742</v>
      </c>
    </row>
    <row r="482" spans="1:22" s="14" customFormat="1" ht="13.5" customHeight="1" ns3:dyDescent="0.25">
      <c r="A482" s="13" t="s">
        <v>753</v>
      </c>
      <c r="B482" s="25" t="str">
        <f t="shared" si="29"/>
      </c>
      <c r="C482" s="13" t="s">
        <v>102</v>
      </c>
      <c r="D482" s="13" t="s">
        <v>17</v>
      </c>
      <c r="E482" s="13" t="s">
        <v>120</v>
      </c>
      <c r="F482" s="13" t="s">
        <v>1654</v>
      </c>
      <c r="G482" s="18" t="s">
        <v>10</v>
      </c>
      <c r="H482" s="13" t="str">
        <f>IFERROR(VLOOKUP(#REF!482,'정보화기기 명부'!A$2:B$187,2,FALSE),"")</f>
        <v/>
      </c>
      <c r="I482" s="13"/>
      <c r="J482" s="17"/>
      <c r="K482" s="17"/>
      <c r="L482" s="13">
        <v>20080821</v>
      </c>
      <c r="M482" s="13" t="s">
        <v>510</v>
      </c>
      <c r="N482" s="13" t="s">
        <v>1193</v>
      </c>
      <c r="O482" s="208">
        <v>476</v>
      </c>
      <c r="P482" s="13" t="s">
        <v>495</v>
      </c>
      <c r="Q482" s="13" t="s">
        <v>737</v>
      </c>
      <c r="R482" s="13" t="s">
        <v>1000</v>
      </c>
      <c r="S482" s="13" t="s">
        <v>742</v>
      </c>
    </row>
    <row r="483" spans="1:22" s="14" customFormat="1" ht="13.5" customHeight="1" ns3:dyDescent="0.25">
      <c r="A483" s="13" t="s">
        <v>753</v>
      </c>
      <c r="B483" s="25" t="str">
        <f t="shared" si="29"/>
      </c>
      <c r="C483" s="13" t="s">
        <v>102</v>
      </c>
      <c r="D483" s="13" t="s">
        <v>17</v>
      </c>
      <c r="E483" s="13" t="s">
        <v>120</v>
      </c>
      <c r="F483" s="13" t="s">
        <v>1654</v>
      </c>
      <c r="G483" s="18" t="s">
        <v>10</v>
      </c>
      <c r="H483" s="13" t="str">
        <f>IFERROR(VLOOKUP(#REF!483,'정보화기기 명부'!A$2:B$187,2,FALSE),"")</f>
        <v/>
      </c>
      <c r="I483" s="13"/>
      <c r="J483" s="17"/>
      <c r="K483" s="17"/>
      <c r="L483" s="13">
        <v>20080821</v>
      </c>
      <c r="M483" s="13" t="s">
        <v>510</v>
      </c>
      <c r="N483" s="13" t="s">
        <v>1193</v>
      </c>
      <c r="O483" s="208">
        <v>474</v>
      </c>
      <c r="P483" s="13" t="s">
        <v>495</v>
      </c>
      <c r="Q483" s="13" t="s">
        <v>737</v>
      </c>
      <c r="R483" s="13" t="s">
        <v>1000</v>
      </c>
      <c r="S483" s="13" t="s">
        <v>742</v>
      </c>
    </row>
    <row r="484" spans="1:22" s="14" customFormat="1" ht="13.5" customHeight="1" ns3:dyDescent="0.25">
      <c r="A484" s="13" t="s">
        <v>753</v>
      </c>
      <c r="B484" s="25" t="str">
        <f t="shared" si="29"/>
      </c>
      <c r="C484" s="13" t="s">
        <v>102</v>
      </c>
      <c r="D484" s="13" t="s">
        <v>17</v>
      </c>
      <c r="E484" s="13" t="s">
        <v>120</v>
      </c>
      <c r="F484" s="13" t="s">
        <v>1654</v>
      </c>
      <c r="G484" s="18" t="s">
        <v>10</v>
      </c>
      <c r="H484" s="13" t="str">
        <f>IFERROR(VLOOKUP(#REF!484,'정보화기기 명부'!A$2:B$187,2,FALSE),"")</f>
        <v/>
      </c>
      <c r="I484" s="13"/>
      <c r="J484" s="17"/>
      <c r="K484" s="17"/>
      <c r="L484" s="13">
        <v>20080821</v>
      </c>
      <c r="M484" s="13" t="s">
        <v>510</v>
      </c>
      <c r="N484" s="13" t="s">
        <v>1193</v>
      </c>
      <c r="O484" s="208">
        <v>473</v>
      </c>
      <c r="P484" s="13" t="s">
        <v>495</v>
      </c>
      <c r="Q484" s="13" t="s">
        <v>737</v>
      </c>
      <c r="R484" s="13" t="s">
        <v>1000</v>
      </c>
      <c r="S484" s="13" t="s">
        <v>742</v>
      </c>
    </row>
    <row r="485" spans="1:22" s="14" customFormat="1" ht="13.5" customHeight="1" ns3:dyDescent="0.25">
      <c r="A485" s="13" t="s">
        <v>753</v>
      </c>
      <c r="B485" s="25" t="str">
        <f t="shared" si="29"/>
      </c>
      <c r="C485" s="13" t="s">
        <v>102</v>
      </c>
      <c r="D485" s="13" t="s">
        <v>17</v>
      </c>
      <c r="E485" s="13" t="s">
        <v>120</v>
      </c>
      <c r="F485" s="13" t="s">
        <v>1654</v>
      </c>
      <c r="G485" s="18" t="s">
        <v>10</v>
      </c>
      <c r="H485" s="13" t="str">
        <f>IFERROR(VLOOKUP(#REF!485,'정보화기기 명부'!A$2:B$187,2,FALSE),"")</f>
        <v/>
      </c>
      <c r="I485" s="13"/>
      <c r="J485" s="17"/>
      <c r="K485" s="17"/>
      <c r="L485" s="13">
        <v>20080821</v>
      </c>
      <c r="M485" s="13" t="s">
        <v>510</v>
      </c>
      <c r="N485" s="13" t="s">
        <v>1193</v>
      </c>
      <c r="O485" s="208">
        <v>472</v>
      </c>
      <c r="P485" s="13" t="s">
        <v>495</v>
      </c>
      <c r="Q485" s="13" t="s">
        <v>737</v>
      </c>
      <c r="R485" s="13" t="s">
        <v>1000</v>
      </c>
      <c r="S485" s="13" t="s">
        <v>742</v>
      </c>
    </row>
    <row r="486" spans="1:22" s="14" customFormat="1" ht="13.5" customHeight="1" ns3:dyDescent="0.25">
      <c r="A486" s="13" t="s">
        <v>782</v>
      </c>
      <c r="B486" s="25" t="str">
        <f t="shared" si="29"/>
      </c>
      <c r="C486" s="13" t="s">
        <v>102</v>
      </c>
      <c r="D486" s="13" t="s">
        <v>17</v>
      </c>
      <c r="E486" s="13" t="s">
        <v>120</v>
      </c>
      <c r="F486" s="13" t="s">
        <v>1654</v>
      </c>
      <c r="G486" s="18" t="s">
        <v>10</v>
      </c>
      <c r="H486" s="13" t="str">
        <f>IFERROR(VLOOKUP(#REF!486,'정보화기기 명부'!A$2:B$187,2,FALSE),"")</f>
        <v/>
      </c>
      <c r="I486" s="13"/>
      <c r="J486" s="17"/>
      <c r="K486" s="17"/>
      <c r="L486" s="13">
        <v>20080821</v>
      </c>
      <c r="M486" s="13" t="s">
        <v>510</v>
      </c>
      <c r="N486" s="13" t="s">
        <v>1193</v>
      </c>
      <c r="O486" s="208">
        <v>471</v>
      </c>
      <c r="P486" s="13" t="s">
        <v>495</v>
      </c>
      <c r="Q486" s="13" t="s">
        <v>737</v>
      </c>
      <c r="R486" s="13" t="s">
        <v>1000</v>
      </c>
      <c r="S486" s="13" t="s">
        <v>742</v>
      </c>
    </row>
    <row r="487" spans="1:22" s="14" customFormat="1" ht="13.5" customHeight="1" ns3:dyDescent="0.25">
      <c r="A487" s="13" t="s">
        <v>753</v>
      </c>
      <c r="B487" s="25" t="str">
        <f t="shared" si="29"/>
      </c>
      <c r="C487" s="13" t="s">
        <v>102</v>
      </c>
      <c r="D487" s="13" t="s">
        <v>17</v>
      </c>
      <c r="E487" s="13" t="s">
        <v>120</v>
      </c>
      <c r="F487" s="13" t="s">
        <v>1654</v>
      </c>
      <c r="G487" s="18" t="s">
        <v>10</v>
      </c>
      <c r="H487" s="13" t="str">
        <f>IFERROR(VLOOKUP(#REF!487,'정보화기기 명부'!A$2:B$187,2,FALSE),"")</f>
        <v/>
      </c>
      <c r="I487" s="13"/>
      <c r="J487" s="17"/>
      <c r="K487" s="17"/>
      <c r="L487" s="13">
        <v>20080821</v>
      </c>
      <c r="M487" s="13" t="s">
        <v>510</v>
      </c>
      <c r="N487" s="13" t="s">
        <v>1193</v>
      </c>
      <c r="O487" s="208">
        <v>470</v>
      </c>
      <c r="P487" s="13" t="s">
        <v>495</v>
      </c>
      <c r="Q487" s="13" t="s">
        <v>737</v>
      </c>
      <c r="R487" s="13" t="s">
        <v>1000</v>
      </c>
      <c r="S487" s="13" t="s">
        <v>742</v>
      </c>
    </row>
    <row r="488" spans="1:22" s="14" customFormat="1" ht="13.5" customHeight="1" ns3:dyDescent="0.25">
      <c r="A488" s="13" t="s">
        <v>753</v>
      </c>
      <c r="B488" s="25" t="str">
        <f t="shared" si="29"/>
      </c>
      <c r="C488" s="13" t="s">
        <v>102</v>
      </c>
      <c r="D488" s="13" t="s">
        <v>17</v>
      </c>
      <c r="E488" s="13" t="s">
        <v>120</v>
      </c>
      <c r="F488" s="13" t="s">
        <v>1654</v>
      </c>
      <c r="G488" s="18" t="s">
        <v>10</v>
      </c>
      <c r="H488" s="13" t="str">
        <f>IFERROR(VLOOKUP(#REF!488,'정보화기기 명부'!A$2:B$187,2,FALSE),"")</f>
        <v/>
      </c>
      <c r="I488" s="13"/>
      <c r="J488" s="17"/>
      <c r="K488" s="17"/>
      <c r="L488" s="13">
        <v>20080821</v>
      </c>
      <c r="M488" s="13" t="s">
        <v>510</v>
      </c>
      <c r="N488" s="13" t="s">
        <v>1193</v>
      </c>
      <c r="O488" s="208">
        <v>469</v>
      </c>
      <c r="P488" s="13" t="s">
        <v>495</v>
      </c>
      <c r="Q488" s="13" t="s">
        <v>737</v>
      </c>
      <c r="R488" s="13" t="s">
        <v>1000</v>
      </c>
      <c r="S488" s="13" t="s">
        <v>742</v>
      </c>
    </row>
    <row r="489" spans="1:22" s="14" customFormat="1" ht="13.5" customHeight="1" ns3:dyDescent="0.25">
      <c r="A489" s="13" t="s">
        <v>753</v>
      </c>
      <c r="B489" s="25" t="str">
        <f t="shared" si="29"/>
      </c>
      <c r="C489" s="13" t="s">
        <v>102</v>
      </c>
      <c r="D489" s="13" t="s">
        <v>17</v>
      </c>
      <c r="E489" s="13" t="s">
        <v>120</v>
      </c>
      <c r="F489" s="13" t="s">
        <v>1654</v>
      </c>
      <c r="G489" s="18" t="s">
        <v>10</v>
      </c>
      <c r="H489" s="13" t="str">
        <f>IFERROR(VLOOKUP(#REF!489,'정보화기기 명부'!A$2:B$187,2,FALSE),"")</f>
        <v/>
      </c>
      <c r="I489" s="13"/>
      <c r="J489" s="17"/>
      <c r="K489" s="17"/>
      <c r="L489" s="13">
        <v>20080821</v>
      </c>
      <c r="M489" s="13" t="s">
        <v>510</v>
      </c>
      <c r="N489" s="13" t="s">
        <v>1193</v>
      </c>
      <c r="O489" s="208">
        <v>468</v>
      </c>
      <c r="P489" s="13" t="s">
        <v>495</v>
      </c>
      <c r="Q489" s="13" t="s">
        <v>737</v>
      </c>
      <c r="R489" s="13" t="s">
        <v>1000</v>
      </c>
      <c r="S489" s="13" t="s">
        <v>742</v>
      </c>
    </row>
    <row r="490" spans="1:22" s="14" customFormat="1" ht="13.5" customHeight="1" ns3:dyDescent="0.25">
      <c r="A490" s="13" t="s">
        <v>753</v>
      </c>
      <c r="B490" s="25" t="str">
        <f t="shared" si="29"/>
      </c>
      <c r="C490" s="13" t="s">
        <v>102</v>
      </c>
      <c r="D490" s="13" t="s">
        <v>17</v>
      </c>
      <c r="E490" s="13" t="s">
        <v>120</v>
      </c>
      <c r="F490" s="13" t="s">
        <v>1654</v>
      </c>
      <c r="G490" s="18" t="s">
        <v>10</v>
      </c>
      <c r="H490" s="13" t="str">
        <f>IFERROR(VLOOKUP(#REF!490,'정보화기기 명부'!A$2:B$187,2,FALSE),"")</f>
        <v/>
      </c>
      <c r="I490" s="13"/>
      <c r="J490" s="17"/>
      <c r="K490" s="17"/>
      <c r="L490" s="13">
        <v>20080821</v>
      </c>
      <c r="M490" s="13" t="s">
        <v>510</v>
      </c>
      <c r="N490" s="13" t="s">
        <v>1193</v>
      </c>
      <c r="O490" s="208">
        <v>467</v>
      </c>
      <c r="P490" s="13" t="s">
        <v>495</v>
      </c>
      <c r="Q490" s="13" t="s">
        <v>737</v>
      </c>
      <c r="R490" s="13" t="s">
        <v>1000</v>
      </c>
      <c r="S490" s="13" t="s">
        <v>742</v>
      </c>
    </row>
    <row r="491" spans="1:22" s="14" customFormat="1" ht="13.5" customHeight="1" ns3:dyDescent="0.25">
      <c r="A491" s="13" t="s">
        <v>753</v>
      </c>
      <c r="B491" s="25" t="str">
        <f t="shared" si="29"/>
      </c>
      <c r="C491" s="13" t="s">
        <v>102</v>
      </c>
      <c r="D491" s="13" t="s">
        <v>17</v>
      </c>
      <c r="E491" s="13" t="s">
        <v>120</v>
      </c>
      <c r="F491" s="20" t="s">
        <v>1654</v>
      </c>
      <c r="G491" s="13" t="s">
        <v>10</v>
      </c>
      <c r="H491" s="13" t="str">
        <f>IFERROR(VLOOKUP(#REF!491,'정보화기기 명부'!A$2:B$187,2,FALSE),"")</f>
        <v/>
      </c>
      <c r="I491" s="13"/>
      <c r="J491" s="13"/>
      <c r="K491" s="13"/>
      <c r="L491" s="13">
        <v>20080821</v>
      </c>
      <c r="M491" s="13" t="s">
        <v>510</v>
      </c>
      <c r="N491" s="13" t="s">
        <v>1193</v>
      </c>
      <c r="O491" s="208">
        <v>466</v>
      </c>
      <c r="P491" s="13" t="s">
        <v>495</v>
      </c>
      <c r="Q491" s="13" t="s">
        <v>737</v>
      </c>
      <c r="R491" s="13" t="s">
        <v>1000</v>
      </c>
      <c r="S491" s="13" t="s">
        <v>742</v>
      </c>
    </row>
    <row r="492" spans="1:22" s="14" customFormat="1" ht="13.5" customHeight="1" ns3:dyDescent="0.25">
      <c r="A492" s="13" t="s">
        <v>753</v>
      </c>
      <c r="B492" s="25" t="str">
        <f t="shared" si="29"/>
      </c>
      <c r="C492" s="13" t="s">
        <v>102</v>
      </c>
      <c r="D492" s="13" t="s">
        <v>17</v>
      </c>
      <c r="E492" s="13" t="s">
        <v>120</v>
      </c>
      <c r="F492" s="13" t="s">
        <v>1654</v>
      </c>
      <c r="G492" s="13" t="s">
        <v>10</v>
      </c>
      <c r="H492" s="13" t="str">
        <f>IFERROR(VLOOKUP(#REF!492,'정보화기기 명부'!A$2:B$187,2,FALSE),"")</f>
        <v/>
      </c>
      <c r="I492" s="13"/>
      <c r="J492" s="13"/>
      <c r="K492" s="13"/>
      <c r="L492" s="13">
        <v>20080821</v>
      </c>
      <c r="M492" s="13" t="s">
        <v>510</v>
      </c>
      <c r="N492" s="13" t="s">
        <v>1193</v>
      </c>
      <c r="O492" s="208">
        <v>465</v>
      </c>
      <c r="P492" s="13" t="s">
        <v>495</v>
      </c>
      <c r="Q492" s="13" t="s">
        <v>737</v>
      </c>
      <c r="R492" s="13" t="s">
        <v>1000</v>
      </c>
      <c r="S492" s="13" t="s">
        <v>742</v>
      </c>
    </row>
    <row r="493" spans="1:22" s="14" customFormat="1" ht="13.5" customHeight="1" ns3:dyDescent="0.25">
      <c r="A493" s="13" t="s">
        <v>753</v>
      </c>
      <c r="B493" s="25" t="str">
        <f t="shared" si="29"/>
      </c>
      <c r="C493" s="13" t="s">
        <v>102</v>
      </c>
      <c r="D493" s="13" t="s">
        <v>17</v>
      </c>
      <c r="E493" s="13" t="s">
        <v>120</v>
      </c>
      <c r="F493" s="13" t="s">
        <v>1654</v>
      </c>
      <c r="G493" s="13" t="s">
        <v>10</v>
      </c>
      <c r="H493" s="13" t="str">
        <f>IFERROR(VLOOKUP(#REF!493,'정보화기기 명부'!A$2:B$187,2,FALSE),"")</f>
        <v/>
      </c>
      <c r="I493" s="13"/>
      <c r="J493" s="13"/>
      <c r="K493" s="13"/>
      <c r="L493" s="13">
        <v>20080821</v>
      </c>
      <c r="M493" s="13" t="s">
        <v>510</v>
      </c>
      <c r="N493" s="13" t="s">
        <v>1193</v>
      </c>
      <c r="O493" s="208">
        <v>464</v>
      </c>
      <c r="P493" s="13" t="s">
        <v>495</v>
      </c>
      <c r="Q493" s="13" t="s">
        <v>737</v>
      </c>
      <c r="R493" s="13" t="s">
        <v>1000</v>
      </c>
      <c r="S493" s="13" t="s">
        <v>742</v>
      </c>
    </row>
    <row r="494" spans="1:22" s="14" customFormat="1" ht="13.5" customHeight="1" ns3:dyDescent="0.25">
      <c r="A494" s="13" t="s">
        <v>513</v>
      </c>
      <c r="B494" s="25" t="str">
        <f t="shared" si="29"/>
      </c>
      <c r="C494" s="13" t="s">
        <v>102</v>
      </c>
      <c r="D494" s="13" t="s">
        <v>17</v>
      </c>
      <c r="E494" s="13" t="s">
        <v>120</v>
      </c>
      <c r="F494" s="13" t="s">
        <v>1654</v>
      </c>
      <c r="G494" s="13" t="s">
        <v>10</v>
      </c>
      <c r="H494" s="13" t="str">
        <f>IFERROR(VLOOKUP(#REF!494,'정보화기기 명부'!A$2:B$187,2,FALSE),"")</f>
        <v/>
      </c>
      <c r="I494" s="13"/>
      <c r="J494" s="13"/>
      <c r="K494" s="13"/>
      <c r="L494" s="13">
        <v>20080821</v>
      </c>
      <c r="M494" s="13" t="s">
        <v>510</v>
      </c>
      <c r="N494" s="13" t="s">
        <v>1193</v>
      </c>
      <c r="O494" s="208">
        <v>463</v>
      </c>
      <c r="P494" s="13" t="s">
        <v>495</v>
      </c>
      <c r="Q494" s="13" t="s">
        <v>737</v>
      </c>
      <c r="R494" s="13" t="s">
        <v>1000</v>
      </c>
      <c r="S494" s="13" t="s">
        <v>742</v>
      </c>
    </row>
    <row r="495" spans="1:22" s="14" customFormat="1" ht="13.5" customHeight="1" ns3:dyDescent="0.25">
      <c r="A495" s="13" t="s">
        <v>753</v>
      </c>
      <c r="B495" s="25" t="str">
        <f t="shared" si="29"/>
      </c>
      <c r="C495" s="13" t="s">
        <v>102</v>
      </c>
      <c r="D495" s="13" t="s">
        <v>17</v>
      </c>
      <c r="E495" s="13" t="s">
        <v>120</v>
      </c>
      <c r="F495" s="13" t="s">
        <v>1654</v>
      </c>
      <c r="G495" s="13" t="s">
        <v>10</v>
      </c>
      <c r="H495" s="13" t="str">
        <f>IFERROR(VLOOKUP(#REF!495,'정보화기기 명부'!A$2:B$187,2,FALSE),"")</f>
        <v/>
      </c>
      <c r="I495" s="13"/>
      <c r="J495" s="13"/>
      <c r="K495" s="13"/>
      <c r="L495" s="13">
        <v>20080821</v>
      </c>
      <c r="M495" s="13" t="s">
        <v>510</v>
      </c>
      <c r="N495" s="13" t="s">
        <v>1193</v>
      </c>
      <c r="O495" s="208">
        <v>462</v>
      </c>
      <c r="P495" s="13" t="s">
        <v>495</v>
      </c>
      <c r="Q495" s="13" t="s">
        <v>737</v>
      </c>
      <c r="R495" s="13" t="s">
        <v>1000</v>
      </c>
      <c r="S495" s="13" t="s">
        <v>742</v>
      </c>
    </row>
    <row r="496" spans="1:22" s="14" customFormat="1" ht="13.5" customHeight="1" ns3:dyDescent="0.25">
      <c r="A496" s="13" t="s">
        <v>753</v>
      </c>
      <c r="B496" s="25" t="str">
        <f t="shared" si="29"/>
      </c>
      <c r="C496" s="13" t="s">
        <v>102</v>
      </c>
      <c r="D496" s="13" t="s">
        <v>17</v>
      </c>
      <c r="E496" s="13" t="s">
        <v>120</v>
      </c>
      <c r="F496" s="13" t="s">
        <v>1654</v>
      </c>
      <c r="G496" s="13" t="s">
        <v>10</v>
      </c>
      <c r="H496" s="13" t="str">
        <f>IFERROR(VLOOKUP(#REF!496,'정보화기기 명부'!A$2:B$187,2,FALSE),"")</f>
        <v/>
      </c>
      <c r="I496" s="13"/>
      <c r="J496" s="13"/>
      <c r="K496" s="13"/>
      <c r="L496" s="13">
        <v>20080821</v>
      </c>
      <c r="M496" s="13" t="s">
        <v>510</v>
      </c>
      <c r="N496" s="13" t="s">
        <v>1193</v>
      </c>
      <c r="O496" s="208">
        <v>461</v>
      </c>
      <c r="P496" s="13" t="s">
        <v>495</v>
      </c>
      <c r="Q496" s="13" t="s">
        <v>737</v>
      </c>
      <c r="R496" s="13" t="s">
        <v>1000</v>
      </c>
      <c r="S496" s="13" t="s">
        <v>742</v>
      </c>
    </row>
    <row r="497" spans="1:22" s="14" customFormat="1" ht="13.5" customHeight="1" ns3:dyDescent="0.25">
      <c r="A497" s="13" t="s">
        <v>146</v>
      </c>
      <c r="B497" s="25" t="str">
        <f t="shared" si="29"/>
      </c>
      <c r="C497" s="13" t="s">
        <v>102</v>
      </c>
      <c r="D497" s="13" t="s">
        <v>17</v>
      </c>
      <c r="E497" s="13" t="s">
        <v>120</v>
      </c>
      <c r="F497" s="13" t="s">
        <v>1654</v>
      </c>
      <c r="G497" s="13" t="s">
        <v>10</v>
      </c>
      <c r="H497" s="13" t="str">
        <f>IFERROR(VLOOKUP(#REF!497,'정보화기기 명부'!A$2:B$187,2,FALSE),"")</f>
        <v/>
      </c>
      <c r="I497" s="13"/>
      <c r="J497" s="13"/>
      <c r="K497" s="13"/>
      <c r="L497" s="13">
        <v>20080821</v>
      </c>
      <c r="M497" s="13" t="s">
        <v>510</v>
      </c>
      <c r="N497" s="13" t="s">
        <v>1193</v>
      </c>
      <c r="O497" s="208">
        <v>460</v>
      </c>
      <c r="P497" s="13" t="s">
        <v>495</v>
      </c>
      <c r="Q497" s="13" t="s">
        <v>737</v>
      </c>
      <c r="R497" s="13" t="s">
        <v>1000</v>
      </c>
      <c r="S497" s="13" t="s">
        <v>742</v>
      </c>
    </row>
    <row r="498" spans="1:22" s="14" customFormat="1" ht="13.5" customHeight="1" ns3:dyDescent="0.25">
      <c r="A498" s="13" t="s">
        <v>753</v>
      </c>
      <c r="B498" s="25" t="str">
        <f t="shared" ref="B498:B561" si="32">LEFT(L498,6)&amp;"-"&amp;TEXT(O498,"0000")</f>
      </c>
      <c r="C498" s="13" t="s">
        <v>102</v>
      </c>
      <c r="D498" s="13" t="s">
        <v>17</v>
      </c>
      <c r="E498" s="13" t="s">
        <v>120</v>
      </c>
      <c r="F498" s="13" t="s">
        <v>1654</v>
      </c>
      <c r="G498" s="13" t="s">
        <v>10</v>
      </c>
      <c r="H498" s="13" t="str">
        <f>IFERROR(VLOOKUP(#REF!498,'정보화기기 명부'!A$2:B$187,2,FALSE),"")</f>
        <v/>
      </c>
      <c r="I498" s="13"/>
      <c r="J498" s="13"/>
      <c r="K498" s="13"/>
      <c r="L498" s="13">
        <v>20080821</v>
      </c>
      <c r="M498" s="13" t="s">
        <v>510</v>
      </c>
      <c r="N498" s="13" t="s">
        <v>1193</v>
      </c>
      <c r="O498" s="208">
        <v>459</v>
      </c>
      <c r="P498" s="13" t="s">
        <v>495</v>
      </c>
      <c r="Q498" s="13" t="s">
        <v>737</v>
      </c>
      <c r="R498" s="13" t="s">
        <v>1000</v>
      </c>
      <c r="S498" s="13" t="s">
        <v>742</v>
      </c>
    </row>
    <row r="499" spans="1:22" s="14" customFormat="1" ht="13.5" customHeight="1" ns3:dyDescent="0.25">
      <c r="A499" s="13" t="s">
        <v>753</v>
      </c>
      <c r="B499" s="25" t="str">
        <f t="shared" si="32"/>
      </c>
      <c r="C499" s="13" t="s">
        <v>102</v>
      </c>
      <c r="D499" s="13" t="s">
        <v>17</v>
      </c>
      <c r="E499" s="13" t="s">
        <v>120</v>
      </c>
      <c r="F499" s="13" t="s">
        <v>1654</v>
      </c>
      <c r="G499" s="13" t="s">
        <v>10</v>
      </c>
      <c r="H499" s="13" t="str">
        <f>IFERROR(VLOOKUP(#REF!499,'정보화기기 명부'!A$2:B$187,2,FALSE),"")</f>
        <v/>
      </c>
      <c r="I499" s="13"/>
      <c r="J499" s="13"/>
      <c r="K499" s="13"/>
      <c r="L499" s="13">
        <v>20080821</v>
      </c>
      <c r="M499" s="13" t="s">
        <v>510</v>
      </c>
      <c r="N499" s="13" t="s">
        <v>1193</v>
      </c>
      <c r="O499" s="208">
        <v>458</v>
      </c>
      <c r="P499" s="13" t="s">
        <v>495</v>
      </c>
      <c r="Q499" s="13" t="s">
        <v>737</v>
      </c>
      <c r="R499" s="13" t="s">
        <v>1000</v>
      </c>
      <c r="S499" s="13" t="s">
        <v>742</v>
      </c>
    </row>
    <row r="500" spans="1:22" s="14" customFormat="1" ht="13.5" customHeight="1" ns3:dyDescent="0.25">
      <c r="A500" s="13" t="s">
        <v>753</v>
      </c>
      <c r="B500" s="25" t="str">
        <f t="shared" si="32"/>
      </c>
      <c r="C500" s="13" t="s">
        <v>102</v>
      </c>
      <c r="D500" s="13" t="s">
        <v>17</v>
      </c>
      <c r="E500" s="13" t="s">
        <v>120</v>
      </c>
      <c r="F500" s="13" t="s">
        <v>1654</v>
      </c>
      <c r="G500" s="13" t="s">
        <v>30</v>
      </c>
      <c r="H500" s="13" t="str">
        <f>IFERROR(VLOOKUP(#REF!500,'정보화기기 명부'!A$2:B$187,2,FALSE),"")</f>
        <v/>
      </c>
      <c r="I500" s="13"/>
      <c r="J500" s="13"/>
      <c r="K500" s="13"/>
      <c r="L500" s="13">
        <v>20080821</v>
      </c>
      <c r="M500" s="13" t="s">
        <v>510</v>
      </c>
      <c r="N500" s="13" t="s">
        <v>1193</v>
      </c>
      <c r="O500" s="208">
        <v>457</v>
      </c>
      <c r="P500" s="13" t="s">
        <v>495</v>
      </c>
      <c r="Q500" s="13" t="s">
        <v>737</v>
      </c>
      <c r="R500" s="13" t="s">
        <v>1000</v>
      </c>
      <c r="S500" s="13" t="s">
        <v>742</v>
      </c>
    </row>
    <row r="501" spans="1:22" s="14" customFormat="1" ht="13.5" customHeight="1" ns3:dyDescent="0.25">
      <c r="A501" s="13" t="s">
        <v>753</v>
      </c>
      <c r="B501" s="25" t="str">
        <f t="shared" si="32"/>
      </c>
      <c r="C501" s="13" t="s">
        <v>102</v>
      </c>
      <c r="D501" s="13" t="s">
        <v>17</v>
      </c>
      <c r="E501" s="13" t="s">
        <v>120</v>
      </c>
      <c r="F501" s="13" t="s">
        <v>1654</v>
      </c>
      <c r="G501" s="13" t="s">
        <v>10</v>
      </c>
      <c r="H501" s="13" t="str">
        <f>IFERROR(VLOOKUP(#REF!501,'정보화기기 명부'!A$2:B$187,2,FALSE),"")</f>
        <v/>
      </c>
      <c r="I501" s="13"/>
      <c r="J501" s="13"/>
      <c r="K501" s="13"/>
      <c r="L501" s="13">
        <v>20080821</v>
      </c>
      <c r="M501" s="13" t="s">
        <v>510</v>
      </c>
      <c r="N501" s="13" t="s">
        <v>1193</v>
      </c>
      <c r="O501" s="208">
        <v>456</v>
      </c>
      <c r="P501" s="13" t="s">
        <v>495</v>
      </c>
      <c r="Q501" s="13" t="s">
        <v>737</v>
      </c>
      <c r="R501" s="13" t="s">
        <v>1000</v>
      </c>
      <c r="S501" s="13" t="s">
        <v>742</v>
      </c>
    </row>
    <row r="502" spans="1:22" s="14" customFormat="1" ht="13.5" customHeight="1" ns3:dyDescent="0.25">
      <c r="A502" s="13" t="s">
        <v>753</v>
      </c>
      <c r="B502" s="25" t="str">
        <f t="shared" si="32"/>
      </c>
      <c r="C502" s="13" t="s">
        <v>102</v>
      </c>
      <c r="D502" s="13" t="s">
        <v>17</v>
      </c>
      <c r="E502" s="13" t="s">
        <v>120</v>
      </c>
      <c r="F502" s="13" t="s">
        <v>1654</v>
      </c>
      <c r="G502" s="13" t="s">
        <v>10</v>
      </c>
      <c r="H502" s="13" t="str">
        <f>IFERROR(VLOOKUP(#REF!502,'정보화기기 명부'!A$2:B$187,2,FALSE),"")</f>
        <v/>
      </c>
      <c r="I502" s="13"/>
      <c r="J502" s="13"/>
      <c r="K502" s="13"/>
      <c r="L502" s="13">
        <v>20080821</v>
      </c>
      <c r="M502" s="13" t="s">
        <v>510</v>
      </c>
      <c r="N502" s="13" t="s">
        <v>1193</v>
      </c>
      <c r="O502" s="208">
        <v>455</v>
      </c>
      <c r="P502" s="13" t="s">
        <v>495</v>
      </c>
      <c r="Q502" s="13" t="s">
        <v>737</v>
      </c>
      <c r="R502" s="13" t="s">
        <v>1000</v>
      </c>
      <c r="S502" s="13" t="s">
        <v>742</v>
      </c>
    </row>
    <row r="503" spans="1:22" s="14" customFormat="1" ht="13.5" customHeight="1" ns3:dyDescent="0.25">
      <c r="A503" s="13" t="s">
        <v>753</v>
      </c>
      <c r="B503" s="25" t="str">
        <f t="shared" si="32"/>
      </c>
      <c r="C503" s="13" t="s">
        <v>102</v>
      </c>
      <c r="D503" s="13" t="s">
        <v>17</v>
      </c>
      <c r="E503" s="13" t="s">
        <v>120</v>
      </c>
      <c r="F503" s="13" t="s">
        <v>1654</v>
      </c>
      <c r="G503" s="13" t="s">
        <v>10</v>
      </c>
      <c r="H503" s="13" t="str">
        <f>IFERROR(VLOOKUP(#REF!503,'정보화기기 명부'!A$2:B$187,2,FALSE),"")</f>
        <v/>
      </c>
      <c r="I503" s="13"/>
      <c r="J503" s="13"/>
      <c r="K503" s="13"/>
      <c r="L503" s="13">
        <v>20080821</v>
      </c>
      <c r="M503" s="13" t="s">
        <v>510</v>
      </c>
      <c r="N503" s="13" t="s">
        <v>1193</v>
      </c>
      <c r="O503" s="208">
        <v>454</v>
      </c>
      <c r="P503" s="13" t="s">
        <v>495</v>
      </c>
      <c r="Q503" s="13" t="s">
        <v>737</v>
      </c>
      <c r="R503" s="13" t="s">
        <v>1000</v>
      </c>
      <c r="S503" s="13" t="s">
        <v>742</v>
      </c>
    </row>
    <row r="504" spans="1:22" s="14" customFormat="1" ht="13.5" hidden="1" customHeight="1" ns3:dyDescent="0.25">
      <c r="A504" s="13" t="s">
        <v>756</v>
      </c>
      <c r="B504" s="25" t="str">
        <f t="shared" si="32"/>
      </c>
      <c r="C504" s="13" t="s">
        <v>1147</v>
      </c>
      <c r="D504" s="13" t="s">
        <v>17</v>
      </c>
      <c r="E504" s="13" t="s">
        <v>8</v>
      </c>
      <c r="F504" s="13" t="s">
        <v>760</v>
      </c>
      <c r="G504" s="13" t="s">
        <v>117</v>
      </c>
      <c r="H504" s="13" t="str">
        <f>IFERROR(VLOOKUP(#REF!504,'정보화기기 명부'!A$2:B$187,2,FALSE),"")</f>
        <v/>
      </c>
      <c r="I504" s="13"/>
      <c r="J504" s="13"/>
      <c r="K504" s="13"/>
      <c r="L504" s="13">
        <v>20080310</v>
      </c>
      <c r="M504" s="13" t="s">
        <v>520</v>
      </c>
      <c r="N504" s="13" t="s">
        <v>1191</v>
      </c>
      <c r="O504" s="208">
        <v>539</v>
      </c>
      <c r="P504" s="13" t="s">
        <v>495</v>
      </c>
      <c r="Q504" s="13" t="s">
        <v>728</v>
      </c>
      <c r="R504" s="13" t="s">
        <v>1000</v>
      </c>
      <c r="S504" s="13" t="s">
        <v>904</v>
      </c>
    </row>
    <row r="505" spans="1:22" s="14" customFormat="1" ht="13.5" hidden="1" customHeight="1" ns3:dyDescent="0.25">
      <c r="A505" s="13" t="s">
        <v>36</v>
      </c>
      <c r="B505" s="25" t="str">
        <f t="shared" si="32"/>
      </c>
      <c r="C505" s="13" t="s">
        <v>1147</v>
      </c>
      <c r="D505" s="13" t="s">
        <v>17</v>
      </c>
      <c r="E505" s="13" t="s">
        <v>8</v>
      </c>
      <c r="F505" s="13" t="s">
        <v>760</v>
      </c>
      <c r="G505" s="13" t="s">
        <v>117</v>
      </c>
      <c r="H505" s="13" t="str">
        <f>IFERROR(VLOOKUP(#REF!505,'정보화기기 명부'!A$2:B$187,2,FALSE),"")</f>
        <v/>
      </c>
      <c r="I505" s="13"/>
      <c r="J505" s="13"/>
      <c r="K505" s="13"/>
      <c r="L505" s="13">
        <v>20080310</v>
      </c>
      <c r="M505" s="13" t="s">
        <v>520</v>
      </c>
      <c r="N505" s="13" t="s">
        <v>1191</v>
      </c>
      <c r="O505" s="208">
        <v>538</v>
      </c>
      <c r="P505" s="13" t="s">
        <v>495</v>
      </c>
      <c r="Q505" s="13" t="s">
        <v>728</v>
      </c>
      <c r="R505" s="13" t="s">
        <v>1000</v>
      </c>
      <c r="S505" s="13" t="s">
        <v>904</v>
      </c>
    </row>
    <row r="506" spans="1:22" s="14" customFormat="1" ht="13.5" hidden="1" customHeight="1" ns3:dyDescent="0.25">
      <c r="A506" s="13" t="s">
        <v>163</v>
      </c>
      <c r="B506" s="25" t="str">
        <f t="shared" si="32"/>
      </c>
      <c r="C506" s="13" t="s">
        <v>1147</v>
      </c>
      <c r="D506" s="13" t="s">
        <v>17</v>
      </c>
      <c r="E506" s="13" t="s">
        <v>8</v>
      </c>
      <c r="F506" s="13" t="s">
        <v>760</v>
      </c>
      <c r="G506" s="13" t="s">
        <v>117</v>
      </c>
      <c r="H506" s="13" t="str">
        <f>IFERROR(VLOOKUP(#REF!506,'정보화기기 명부'!A$2:B$187,2,FALSE),"")</f>
        <v/>
      </c>
      <c r="I506" s="13"/>
      <c r="J506" s="13"/>
      <c r="K506" s="13"/>
      <c r="L506" s="13">
        <v>20080310</v>
      </c>
      <c r="M506" s="13" t="s">
        <v>520</v>
      </c>
      <c r="N506" s="13" t="s">
        <v>1191</v>
      </c>
      <c r="O506" s="208">
        <v>537</v>
      </c>
      <c r="P506" s="13" t="s">
        <v>495</v>
      </c>
      <c r="Q506" s="13" t="s">
        <v>728</v>
      </c>
      <c r="R506" s="13" t="s">
        <v>1000</v>
      </c>
      <c r="S506" s="13" t="s">
        <v>904</v>
      </c>
    </row>
    <row r="507" spans="1:22" s="14" customFormat="1" ht="13.5" hidden="1" customHeight="1" ns3:dyDescent="0.25">
      <c r="A507" s="13" t="s">
        <v>35</v>
      </c>
      <c r="B507" s="25" t="str">
        <f t="shared" si="32"/>
      </c>
      <c r="C507" s="13" t="s">
        <v>1147</v>
      </c>
      <c r="D507" s="13" t="s">
        <v>17</v>
      </c>
      <c r="E507" s="13" t="s">
        <v>8</v>
      </c>
      <c r="F507" s="13" t="s">
        <v>760</v>
      </c>
      <c r="G507" s="13" t="s">
        <v>117</v>
      </c>
      <c r="H507" s="13" t="str">
        <f>IFERROR(VLOOKUP(#REF!507,'정보화기기 명부'!A$2:B$187,2,FALSE),"")</f>
        <v>2층 교무실</v>
      </c>
      <c r="I507" s="13"/>
      <c r="J507" s="13"/>
      <c r="K507" s="13"/>
      <c r="L507" s="13">
        <v>20080110</v>
      </c>
      <c r="M507" s="13" t="s">
        <v>520</v>
      </c>
      <c r="N507" s="13" t="s">
        <v>1191</v>
      </c>
      <c r="O507" s="208">
        <v>536</v>
      </c>
      <c r="P507" s="13" t="s">
        <v>495</v>
      </c>
      <c r="Q507" s="13" t="s">
        <v>728</v>
      </c>
      <c r="R507" s="13" t="s">
        <v>1000</v>
      </c>
      <c r="S507" s="13" t="s">
        <v>904</v>
      </c>
    </row>
    <row r="508" spans="1:22" s="14" customFormat="1" ht="13.5" customHeight="1" ns3:dyDescent="0.25">
      <c r="A508" s="13" t="s">
        <v>753</v>
      </c>
      <c r="B508" s="25" t="str">
        <f t="shared" si="32"/>
      </c>
      <c r="C508" s="13" t="s">
        <v>102</v>
      </c>
      <c r="D508" s="21" t="s">
        <v>17</v>
      </c>
      <c r="E508" s="13" t="s">
        <v>120</v>
      </c>
      <c r="F508" s="13" t="s">
        <v>1695</v>
      </c>
      <c r="G508" s="13" t="s">
        <v>10</v>
      </c>
      <c r="H508" s="13" t="str">
        <f>IFERROR(VLOOKUP(#REF!508,'정보화기기 명부'!A$2:B$187,2,FALSE),"")</f>
        <v/>
      </c>
      <c r="I508" s="13"/>
      <c r="J508" s="13"/>
      <c r="K508" s="13"/>
      <c r="L508" s="13">
        <v>20080110</v>
      </c>
      <c r="M508" s="13" t="s">
        <v>503</v>
      </c>
      <c r="N508" s="13" t="s">
        <v>1186</v>
      </c>
      <c r="O508" s="208">
        <v>453</v>
      </c>
      <c r="P508" s="13" t="s">
        <v>495</v>
      </c>
      <c r="Q508" s="13" t="s">
        <v>750</v>
      </c>
      <c r="R508" s="13" t="s">
        <v>735</v>
      </c>
      <c r="S508" s="13" t="s">
        <v>742</v>
      </c>
    </row>
    <row r="509" spans="1:22" s="14" customFormat="1" ht="13.5" customHeight="1" ns3:dyDescent="0.25">
      <c r="A509" s="13" t="s">
        <v>753</v>
      </c>
      <c r="B509" s="25" t="str">
        <f t="shared" si="32"/>
      </c>
      <c r="C509" s="13" t="s">
        <v>102</v>
      </c>
      <c r="D509" s="21" t="s">
        <v>17</v>
      </c>
      <c r="E509" s="13" t="s">
        <v>120</v>
      </c>
      <c r="F509" s="13" t="s">
        <v>1695</v>
      </c>
      <c r="G509" s="13" t="s">
        <v>10</v>
      </c>
      <c r="H509" s="13" t="str">
        <f>IFERROR(VLOOKUP(#REF!509,'정보화기기 명부'!A$2:B$187,2,FALSE),"")</f>
        <v/>
      </c>
      <c r="I509" s="13"/>
      <c r="J509" s="13"/>
      <c r="K509" s="13"/>
      <c r="L509" s="13">
        <v>20080110</v>
      </c>
      <c r="M509" s="13" t="s">
        <v>503</v>
      </c>
      <c r="N509" s="13" t="s">
        <v>1186</v>
      </c>
      <c r="O509" s="208">
        <v>452</v>
      </c>
      <c r="P509" s="13" t="s">
        <v>495</v>
      </c>
      <c r="Q509" s="13" t="s">
        <v>750</v>
      </c>
      <c r="R509" s="13" t="s">
        <v>735</v>
      </c>
      <c r="S509" s="13" t="s">
        <v>742</v>
      </c>
    </row>
    <row r="510" spans="1:22" s="14" customFormat="1" ht="13.5" customHeight="1" ns3:dyDescent="0.25">
      <c r="A510" s="13" t="s">
        <v>753</v>
      </c>
      <c r="B510" s="25" t="str">
        <f t="shared" si="32"/>
      </c>
      <c r="C510" s="13" t="s">
        <v>102</v>
      </c>
      <c r="D510" s="21" t="s">
        <v>17</v>
      </c>
      <c r="E510" s="13" t="s">
        <v>120</v>
      </c>
      <c r="F510" s="13" t="s">
        <v>1695</v>
      </c>
      <c r="G510" s="13" t="s">
        <v>10</v>
      </c>
      <c r="H510" s="13" t="str">
        <f>IFERROR(VLOOKUP(#REF!510,'정보화기기 명부'!A$2:B$187,2,FALSE),"")</f>
        <v/>
      </c>
      <c r="I510" s="13"/>
      <c r="J510" s="13"/>
      <c r="K510" s="13"/>
      <c r="L510" s="13">
        <v>20080110</v>
      </c>
      <c r="M510" s="13" t="s">
        <v>503</v>
      </c>
      <c r="N510" s="13" t="s">
        <v>1186</v>
      </c>
      <c r="O510" s="208">
        <v>451</v>
      </c>
      <c r="P510" s="13" t="s">
        <v>495</v>
      </c>
      <c r="Q510" s="13" t="s">
        <v>750</v>
      </c>
      <c r="R510" s="13" t="s">
        <v>735</v>
      </c>
      <c r="S510" s="13" t="s">
        <v>742</v>
      </c>
    </row>
    <row r="511" spans="1:22" s="14" customFormat="1" ht="13.5" customHeight="1" ns3:dyDescent="0.25">
      <c r="A511" s="13" t="s">
        <v>782</v>
      </c>
      <c r="B511" s="25" t="str">
        <f t="shared" si="32"/>
      </c>
      <c r="C511" s="13" t="s">
        <v>102</v>
      </c>
      <c r="D511" s="21" t="s">
        <v>17</v>
      </c>
      <c r="E511" s="13" t="s">
        <v>120</v>
      </c>
      <c r="F511" s="13" t="s">
        <v>1695</v>
      </c>
      <c r="G511" s="13" t="s">
        <v>10</v>
      </c>
      <c r="H511" s="13" t="str">
        <f>IFERROR(VLOOKUP(#REF!511,'정보화기기 명부'!A$2:B$187,2,FALSE),"")</f>
        <v/>
      </c>
      <c r="I511" s="13"/>
      <c r="J511" s="13"/>
      <c r="K511" s="13"/>
      <c r="L511" s="13">
        <v>20080110</v>
      </c>
      <c r="M511" s="13" t="s">
        <v>503</v>
      </c>
      <c r="N511" s="13" t="s">
        <v>1186</v>
      </c>
      <c r="O511" s="208">
        <v>450</v>
      </c>
      <c r="P511" s="13" t="s">
        <v>495</v>
      </c>
      <c r="Q511" s="13" t="s">
        <v>750</v>
      </c>
      <c r="R511" s="13" t="s">
        <v>735</v>
      </c>
      <c r="S511" s="13" t="s">
        <v>742</v>
      </c>
    </row>
    <row r="512" spans="1:22" s="14" customFormat="1" ht="13.5" customHeight="1" ns3:dyDescent="0.25">
      <c r="A512" s="13" t="s">
        <v>753</v>
      </c>
      <c r="B512" s="25" t="str">
        <f t="shared" si="32"/>
      </c>
      <c r="C512" s="13" t="s">
        <v>102</v>
      </c>
      <c r="D512" s="13" t="s">
        <v>17</v>
      </c>
      <c r="E512" s="13" t="s">
        <v>120</v>
      </c>
      <c r="F512" s="13" t="s">
        <v>1695</v>
      </c>
      <c r="G512" s="13" t="s">
        <v>10</v>
      </c>
      <c r="H512" s="13" t="str">
        <f>IFERROR(VLOOKUP(#REF!512,'정보화기기 명부'!A$2:B$187,2,FALSE),"")</f>
        <v/>
      </c>
      <c r="I512" s="13"/>
      <c r="J512" s="13"/>
      <c r="K512" s="13"/>
      <c r="L512" s="13">
        <v>20080110</v>
      </c>
      <c r="M512" s="13" t="s">
        <v>503</v>
      </c>
      <c r="N512" s="13" t="s">
        <v>1186</v>
      </c>
      <c r="O512" s="208">
        <v>449</v>
      </c>
      <c r="P512" s="13" t="s">
        <v>495</v>
      </c>
      <c r="Q512" s="13" t="s">
        <v>750</v>
      </c>
      <c r="R512" s="13" t="s">
        <v>735</v>
      </c>
      <c r="S512" s="13" t="s">
        <v>742</v>
      </c>
    </row>
    <row r="513" spans="1:22" s="14" customFormat="1" ht="13.5" customHeight="1" ns3:dyDescent="0.25">
      <c r="A513" s="13" t="s">
        <v>753</v>
      </c>
      <c r="B513" s="25" t="str">
        <f t="shared" si="32"/>
      </c>
      <c r="C513" s="13" t="s">
        <v>102</v>
      </c>
      <c r="D513" s="13" t="s">
        <v>17</v>
      </c>
      <c r="E513" s="13" t="s">
        <v>120</v>
      </c>
      <c r="F513" s="13" t="s">
        <v>1695</v>
      </c>
      <c r="G513" s="13" t="s">
        <v>10</v>
      </c>
      <c r="H513" s="13" t="str">
        <f>IFERROR(VLOOKUP(#REF!513,'정보화기기 명부'!A$2:B$187,2,FALSE),"")</f>
        <v/>
      </c>
      <c r="I513" s="13"/>
      <c r="J513" s="13"/>
      <c r="K513" s="13"/>
      <c r="L513" s="13">
        <v>20080110</v>
      </c>
      <c r="M513" s="13" t="s">
        <v>503</v>
      </c>
      <c r="N513" s="13" t="s">
        <v>1186</v>
      </c>
      <c r="O513" s="208">
        <v>448</v>
      </c>
      <c r="P513" s="13" t="s">
        <v>495</v>
      </c>
      <c r="Q513" s="13" t="s">
        <v>750</v>
      </c>
      <c r="R513" s="13" t="s">
        <v>735</v>
      </c>
      <c r="S513" s="13" t="s">
        <v>742</v>
      </c>
    </row>
    <row r="514" spans="1:22" s="14" customFormat="1" ht="13.5" customHeight="1" ns3:dyDescent="0.25">
      <c r="A514" s="13" t="s">
        <v>753</v>
      </c>
      <c r="B514" s="25" t="str">
        <f t="shared" si="32"/>
      </c>
      <c r="C514" s="13" t="s">
        <v>102</v>
      </c>
      <c r="D514" s="13" t="s">
        <v>17</v>
      </c>
      <c r="E514" s="13" t="s">
        <v>120</v>
      </c>
      <c r="F514" s="13" t="s">
        <v>1695</v>
      </c>
      <c r="G514" s="13" t="s">
        <v>10</v>
      </c>
      <c r="H514" s="13" t="str">
        <f>IFERROR(VLOOKUP(#REF!514,'정보화기기 명부'!A$2:B$187,2,FALSE),"")</f>
        <v/>
      </c>
      <c r="I514" s="13"/>
      <c r="J514" s="13"/>
      <c r="K514" s="13"/>
      <c r="L514" s="13">
        <v>20080110</v>
      </c>
      <c r="M514" s="13" t="s">
        <v>503</v>
      </c>
      <c r="N514" s="13" t="s">
        <v>1186</v>
      </c>
      <c r="O514" s="208">
        <v>447</v>
      </c>
      <c r="P514" s="13" t="s">
        <v>495</v>
      </c>
      <c r="Q514" s="13" t="s">
        <v>750</v>
      </c>
      <c r="R514" s="13" t="s">
        <v>735</v>
      </c>
      <c r="S514" s="13" t="s">
        <v>742</v>
      </c>
    </row>
    <row r="515" spans="1:22" s="14" customFormat="1" ht="13.5" customHeight="1" ns3:dyDescent="0.25">
      <c r="A515" s="13" t="s">
        <v>782</v>
      </c>
      <c r="B515" s="25" t="str">
        <f t="shared" si="32"/>
      </c>
      <c r="C515" s="13" t="s">
        <v>102</v>
      </c>
      <c r="D515" s="13" t="s">
        <v>17</v>
      </c>
      <c r="E515" s="13" t="s">
        <v>120</v>
      </c>
      <c r="F515" s="13" t="s">
        <v>1695</v>
      </c>
      <c r="G515" s="13" t="s">
        <v>10</v>
      </c>
      <c r="H515" s="13" t="str">
        <f>IFERROR(VLOOKUP(#REF!515,'정보화기기 명부'!A$2:B$187,2,FALSE),"")</f>
        <v/>
      </c>
      <c r="I515" s="13"/>
      <c r="J515" s="13"/>
      <c r="K515" s="13"/>
      <c r="L515" s="13">
        <v>20080110</v>
      </c>
      <c r="M515" s="13" t="s">
        <v>503</v>
      </c>
      <c r="N515" s="13" t="s">
        <v>1186</v>
      </c>
      <c r="O515" s="208">
        <v>446</v>
      </c>
      <c r="P515" s="13" t="s">
        <v>495</v>
      </c>
      <c r="Q515" s="13" t="s">
        <v>750</v>
      </c>
      <c r="R515" s="13" t="s">
        <v>735</v>
      </c>
      <c r="S515" s="13" t="s">
        <v>742</v>
      </c>
    </row>
    <row r="516" spans="1:22" s="14" customFormat="1" ht="13.5" customHeight="1" ns3:dyDescent="0.25">
      <c r="A516" s="13" t="s">
        <v>753</v>
      </c>
      <c r="B516" s="25" t="str">
        <f t="shared" si="32"/>
      </c>
      <c r="C516" s="13" t="s">
        <v>102</v>
      </c>
      <c r="D516" s="13" t="s">
        <v>17</v>
      </c>
      <c r="E516" s="13" t="s">
        <v>120</v>
      </c>
      <c r="F516" s="13" t="s">
        <v>1695</v>
      </c>
      <c r="G516" s="13" t="s">
        <v>10</v>
      </c>
      <c r="H516" s="13" t="str">
        <f>IFERROR(VLOOKUP(#REF!516,'정보화기기 명부'!A$2:B$187,2,FALSE),"")</f>
        <v/>
      </c>
      <c r="I516" s="13"/>
      <c r="J516" s="13"/>
      <c r="K516" s="13"/>
      <c r="L516" s="13">
        <v>20080110</v>
      </c>
      <c r="M516" s="13" t="s">
        <v>503</v>
      </c>
      <c r="N516" s="13" t="s">
        <v>1186</v>
      </c>
      <c r="O516" s="208">
        <v>445</v>
      </c>
      <c r="P516" s="13" t="s">
        <v>495</v>
      </c>
      <c r="Q516" s="13" t="s">
        <v>750</v>
      </c>
      <c r="R516" s="13" t="s">
        <v>735</v>
      </c>
      <c r="S516" s="13" t="s">
        <v>742</v>
      </c>
    </row>
    <row r="517" spans="1:22" s="14" customFormat="1" ht="13.5" hidden="1" customHeight="1" ns3:dyDescent="0.25">
      <c r="A517" s="13" t="s">
        <v>155</v>
      </c>
      <c r="B517" s="25" t="str">
        <f t="shared" si="32"/>
      </c>
      <c r="C517" s="13" t="s">
        <v>1147</v>
      </c>
      <c r="D517" s="13" t="s">
        <v>17</v>
      </c>
      <c r="E517" s="13" t="s">
        <v>55</v>
      </c>
      <c r="F517" s="13" t="s">
        <v>1677</v>
      </c>
      <c r="G517" s="13" t="s">
        <v>10</v>
      </c>
      <c r="H517" s="13" t="str">
        <f>IFERROR(VLOOKUP(#REF!517,'정보화기기 명부'!A$2:B$187,2,FALSE),"")</f>
        <v/>
      </c>
      <c r="I517" s="13"/>
      <c r="J517" s="13" t="s">
        <v>738</v>
      </c>
      <c r="K517" s="13"/>
      <c r="L517" s="13">
        <v>20080110</v>
      </c>
      <c r="M517" s="13" t="s">
        <v>512</v>
      </c>
      <c r="N517" s="13" t="s">
        <v>1186</v>
      </c>
      <c r="O517" s="208">
        <v>444</v>
      </c>
      <c r="P517" s="13" t="s">
        <v>495</v>
      </c>
      <c r="Q517" s="13" t="s">
        <v>1204</v>
      </c>
      <c r="R517" s="13" t="s">
        <v>735</v>
      </c>
      <c r="S517" s="13" t="s">
        <v>910</v>
      </c>
    </row>
    <row r="518" spans="1:22" s="14" customFormat="1" ht="13.5" hidden="1" customHeight="1" ns3:dyDescent="0.25">
      <c r="A518" s="13" t="s">
        <v>162</v>
      </c>
      <c r="B518" s="25" t="str">
        <f t="shared" si="32"/>
      </c>
      <c r="C518" s="13" t="s">
        <v>1147</v>
      </c>
      <c r="D518" s="13" t="s">
        <v>17</v>
      </c>
      <c r="E518" s="13" t="s">
        <v>55</v>
      </c>
      <c r="F518" s="13" t="s">
        <v>1677</v>
      </c>
      <c r="G518" s="13" t="s">
        <v>10</v>
      </c>
      <c r="H518" s="13" t="str">
        <f>IFERROR(VLOOKUP(#REF!518,'정보화기기 명부'!A$2:B$187,2,FALSE),"")</f>
        <v/>
      </c>
      <c r="I518" s="13"/>
      <c r="J518" s="13" t="s">
        <v>738</v>
      </c>
      <c r="K518" s="13"/>
      <c r="L518" s="13">
        <v>20080110</v>
      </c>
      <c r="M518" s="13" t="s">
        <v>512</v>
      </c>
      <c r="N518" s="13" t="s">
        <v>1186</v>
      </c>
      <c r="O518" s="208">
        <v>443</v>
      </c>
      <c r="P518" s="13" t="s">
        <v>495</v>
      </c>
      <c r="Q518" s="13" t="s">
        <v>1204</v>
      </c>
      <c r="R518" s="13" t="s">
        <v>1013</v>
      </c>
      <c r="S518" s="13" t="s">
        <v>910</v>
      </c>
    </row>
    <row r="519" spans="1:22" s="14" customFormat="1" ht="13.5" hidden="1" customHeight="1" ns3:dyDescent="0.25">
      <c r="A519" s="13" t="s">
        <v>164</v>
      </c>
      <c r="B519" s="25" t="str">
        <f t="shared" si="32"/>
      </c>
      <c r="C519" s="13" t="s">
        <v>1147</v>
      </c>
      <c r="D519" s="13" t="s">
        <v>17</v>
      </c>
      <c r="E519" s="13" t="s">
        <v>55</v>
      </c>
      <c r="F519" s="13" t="s">
        <v>1677</v>
      </c>
      <c r="G519" s="13" t="s">
        <v>10</v>
      </c>
      <c r="H519" s="13" t="str">
        <f>IFERROR(VLOOKUP(#REF!519,'정보화기기 명부'!A$2:B$187,2,FALSE),"")</f>
        <v/>
      </c>
      <c r="I519" s="13"/>
      <c r="J519" s="13" t="s">
        <v>738</v>
      </c>
      <c r="K519" s="13"/>
      <c r="L519" s="13">
        <v>20080110</v>
      </c>
      <c r="M519" s="13" t="s">
        <v>512</v>
      </c>
      <c r="N519" s="13" t="s">
        <v>1186</v>
      </c>
      <c r="O519" s="208">
        <v>442</v>
      </c>
      <c r="P519" s="13" t="s">
        <v>495</v>
      </c>
      <c r="Q519" s="13" t="s">
        <v>1204</v>
      </c>
      <c r="R519" s="13" t="s">
        <v>735</v>
      </c>
      <c r="S519" s="13" t="s">
        <v>910</v>
      </c>
    </row>
    <row r="520" spans="1:22" s="14" customFormat="1" ht="13.5" hidden="1" customHeight="1" ns3:dyDescent="0.25">
      <c r="A520" s="13" t="s">
        <v>155</v>
      </c>
      <c r="B520" s="25" t="str">
        <f t="shared" si="32"/>
      </c>
      <c r="C520" s="13" t="s">
        <v>1147</v>
      </c>
      <c r="D520" s="13" t="s">
        <v>17</v>
      </c>
      <c r="E520" s="13" t="s">
        <v>55</v>
      </c>
      <c r="F520" s="13" t="s">
        <v>500</v>
      </c>
      <c r="G520" s="13" t="s">
        <v>10</v>
      </c>
      <c r="H520" s="13" t="str">
        <f>IFERROR(VLOOKUP(#REF!520,'정보화기기 명부'!A$2:B$187,2,FALSE),"")</f>
        <v/>
      </c>
      <c r="I520" s="13"/>
      <c r="J520" s="13" t="s">
        <v>738</v>
      </c>
      <c r="K520" s="13"/>
      <c r="L520" s="13">
        <v>20070831</v>
      </c>
      <c r="M520" s="13" t="s">
        <v>752</v>
      </c>
      <c r="N520" s="13" t="s">
        <v>1186</v>
      </c>
      <c r="O520" s="208">
        <v>440</v>
      </c>
      <c r="P520" s="13" t="s">
        <v>495</v>
      </c>
      <c r="Q520" s="13" t="s">
        <v>1196</v>
      </c>
      <c r="R520" s="13" t="s">
        <v>763</v>
      </c>
      <c r="S520" s="13" t="s">
        <v>742</v>
      </c>
    </row>
    <row r="521" spans="1:22" s="14" customFormat="1" ht="13.5" hidden="1" customHeight="1" ns3:dyDescent="0.25">
      <c r="A521" s="13" t="s">
        <v>155</v>
      </c>
      <c r="B521" s="25" t="str">
        <f t="shared" si="32"/>
      </c>
      <c r="C521" s="13" t="s">
        <v>1147</v>
      </c>
      <c r="D521" s="13" t="s">
        <v>17</v>
      </c>
      <c r="E521" s="13" t="s">
        <v>55</v>
      </c>
      <c r="F521" s="13" t="s">
        <v>500</v>
      </c>
      <c r="G521" s="13" t="s">
        <v>10</v>
      </c>
      <c r="H521" s="13" t="str">
        <f>IFERROR(VLOOKUP(#REF!521,'정보화기기 명부'!A$2:B$187,2,FALSE),"")</f>
        <v/>
      </c>
      <c r="I521" s="13"/>
      <c r="J521" s="13" t="s">
        <v>738</v>
      </c>
      <c r="K521" s="13"/>
      <c r="L521" s="13">
        <v>20070831</v>
      </c>
      <c r="M521" s="13" t="s">
        <v>752</v>
      </c>
      <c r="N521" s="13" t="s">
        <v>1186</v>
      </c>
      <c r="O521" s="208">
        <v>439</v>
      </c>
      <c r="P521" s="13" t="s">
        <v>495</v>
      </c>
      <c r="Q521" s="13" t="s">
        <v>1196</v>
      </c>
      <c r="R521" s="13" t="s">
        <v>763</v>
      </c>
      <c r="S521" s="13" t="s">
        <v>742</v>
      </c>
    </row>
    <row r="522" spans="1:22" s="14" customFormat="1" ht="13.5" hidden="1" customHeight="1" ns3:dyDescent="0.25">
      <c r="A522" s="13" t="s">
        <v>155</v>
      </c>
      <c r="B522" s="25" t="str">
        <f t="shared" si="32"/>
      </c>
      <c r="C522" s="13" t="s">
        <v>1147</v>
      </c>
      <c r="D522" s="13" t="s">
        <v>17</v>
      </c>
      <c r="E522" s="13" t="s">
        <v>55</v>
      </c>
      <c r="F522" s="13" t="s">
        <v>500</v>
      </c>
      <c r="G522" s="13" t="s">
        <v>10</v>
      </c>
      <c r="H522" s="13" t="str">
        <f>IFERROR(VLOOKUP(#REF!522,'정보화기기 명부'!A$2:B$187,2,FALSE),"")</f>
        <v/>
      </c>
      <c r="I522" s="13"/>
      <c r="J522" s="13" t="s">
        <v>738</v>
      </c>
      <c r="K522" s="13"/>
      <c r="L522" s="13">
        <v>20070831</v>
      </c>
      <c r="M522" s="13" t="s">
        <v>752</v>
      </c>
      <c r="N522" s="13" t="s">
        <v>1186</v>
      </c>
      <c r="O522" s="208">
        <v>438</v>
      </c>
      <c r="P522" s="13" t="s">
        <v>495</v>
      </c>
      <c r="Q522" s="13" t="s">
        <v>1196</v>
      </c>
      <c r="R522" s="13" t="s">
        <v>763</v>
      </c>
      <c r="S522" s="13" t="s">
        <v>742</v>
      </c>
    </row>
    <row r="523" spans="1:22" s="14" customFormat="1" ht="13.5" hidden="1" customHeight="1" ns3:dyDescent="0.25">
      <c r="A523" s="13" t="s">
        <v>155</v>
      </c>
      <c r="B523" s="25" t="str">
        <f t="shared" si="32"/>
      </c>
      <c r="C523" s="13" t="s">
        <v>1147</v>
      </c>
      <c r="D523" s="13" t="s">
        <v>17</v>
      </c>
      <c r="E523" s="13" t="s">
        <v>55</v>
      </c>
      <c r="F523" s="13" t="s">
        <v>500</v>
      </c>
      <c r="G523" s="13" t="s">
        <v>10</v>
      </c>
      <c r="H523" s="13" t="str">
        <f>IFERROR(VLOOKUP(#REF!523,'정보화기기 명부'!A$2:B$187,2,FALSE),"")</f>
        <v/>
      </c>
      <c r="I523" s="13"/>
      <c r="J523" s="13" t="s">
        <v>738</v>
      </c>
      <c r="K523" s="13"/>
      <c r="L523" s="13">
        <v>20070831</v>
      </c>
      <c r="M523" s="13" t="s">
        <v>752</v>
      </c>
      <c r="N523" s="13" t="s">
        <v>1186</v>
      </c>
      <c r="O523" s="208">
        <v>437</v>
      </c>
      <c r="P523" s="13" t="s">
        <v>495</v>
      </c>
      <c r="Q523" s="13" t="s">
        <v>1196</v>
      </c>
      <c r="R523" s="13" t="s">
        <v>763</v>
      </c>
      <c r="S523" s="13" t="s">
        <v>742</v>
      </c>
    </row>
    <row r="524" spans="1:22" s="14" customFormat="1" ht="13.5" hidden="1" customHeight="1" ns3:dyDescent="0.25">
      <c r="A524" s="13" t="s">
        <v>155</v>
      </c>
      <c r="B524" s="25" t="str">
        <f t="shared" si="32"/>
      </c>
      <c r="C524" s="13" t="s">
        <v>1147</v>
      </c>
      <c r="D524" s="13" t="s">
        <v>17</v>
      </c>
      <c r="E524" s="13" t="s">
        <v>55</v>
      </c>
      <c r="F524" s="13" t="s">
        <v>500</v>
      </c>
      <c r="G524" s="13" t="s">
        <v>10</v>
      </c>
      <c r="H524" s="13" t="str">
        <f>IFERROR(VLOOKUP(#REF!524,'정보화기기 명부'!A$2:B$187,2,FALSE),"")</f>
        <v/>
      </c>
      <c r="I524" s="13"/>
      <c r="J524" s="13" t="s">
        <v>738</v>
      </c>
      <c r="K524" s="13"/>
      <c r="L524" s="13">
        <v>20070831</v>
      </c>
      <c r="M524" s="13" t="s">
        <v>752</v>
      </c>
      <c r="N524" s="13" t="s">
        <v>1186</v>
      </c>
      <c r="O524" s="208">
        <v>436</v>
      </c>
      <c r="P524" s="13" t="s">
        <v>495</v>
      </c>
      <c r="Q524" s="13" t="s">
        <v>1196</v>
      </c>
      <c r="R524" s="13" t="s">
        <v>763</v>
      </c>
      <c r="S524" s="13" t="s">
        <v>742</v>
      </c>
    </row>
    <row r="525" spans="1:22" s="14" customFormat="1" ht="13.5" hidden="1" customHeight="1" ns3:dyDescent="0.25">
      <c r="A525" s="13" t="s">
        <v>155</v>
      </c>
      <c r="B525" s="25" t="str">
        <f t="shared" si="32"/>
      </c>
      <c r="C525" s="13" t="s">
        <v>1147</v>
      </c>
      <c r="D525" s="13" t="s">
        <v>17</v>
      </c>
      <c r="E525" s="13" t="s">
        <v>55</v>
      </c>
      <c r="F525" s="13" t="s">
        <v>500</v>
      </c>
      <c r="G525" s="13" t="s">
        <v>10</v>
      </c>
      <c r="H525" s="13" t="str">
        <f>IFERROR(VLOOKUP(#REF!525,'정보화기기 명부'!A$2:B$187,2,FALSE),"")</f>
        <v/>
      </c>
      <c r="I525" s="13"/>
      <c r="J525" s="13" t="s">
        <v>738</v>
      </c>
      <c r="K525" s="13"/>
      <c r="L525" s="13">
        <v>20070831</v>
      </c>
      <c r="M525" s="13" t="s">
        <v>752</v>
      </c>
      <c r="N525" s="13" t="s">
        <v>1186</v>
      </c>
      <c r="O525" s="208">
        <v>435</v>
      </c>
      <c r="P525" s="13" t="s">
        <v>495</v>
      </c>
      <c r="Q525" s="13" t="s">
        <v>1196</v>
      </c>
      <c r="R525" s="13" t="s">
        <v>763</v>
      </c>
      <c r="S525" s="13" t="s">
        <v>742</v>
      </c>
    </row>
    <row r="526" spans="1:22" s="14" customFormat="1" ht="13.5" hidden="1" customHeight="1" ns3:dyDescent="0.25">
      <c r="A526" s="13" t="s">
        <v>155</v>
      </c>
      <c r="B526" s="25" t="str">
        <f t="shared" si="32"/>
      </c>
      <c r="C526" s="13" t="s">
        <v>1147</v>
      </c>
      <c r="D526" s="13" t="s">
        <v>17</v>
      </c>
      <c r="E526" s="13" t="s">
        <v>55</v>
      </c>
      <c r="F526" s="13" t="s">
        <v>500</v>
      </c>
      <c r="G526" s="13" t="s">
        <v>10</v>
      </c>
      <c r="H526" s="13" t="str">
        <f>IFERROR(VLOOKUP(#REF!526,'정보화기기 명부'!A$2:B$187,2,FALSE),"")</f>
        <v/>
      </c>
      <c r="I526" s="13"/>
      <c r="J526" s="13" t="s">
        <v>738</v>
      </c>
      <c r="K526" s="13"/>
      <c r="L526" s="13">
        <v>20070831</v>
      </c>
      <c r="M526" s="13" t="s">
        <v>752</v>
      </c>
      <c r="N526" s="13" t="s">
        <v>1186</v>
      </c>
      <c r="O526" s="208">
        <v>434</v>
      </c>
      <c r="P526" s="13" t="s">
        <v>495</v>
      </c>
      <c r="Q526" s="13" t="s">
        <v>1196</v>
      </c>
      <c r="R526" s="13" t="s">
        <v>763</v>
      </c>
      <c r="S526" s="13" t="s">
        <v>742</v>
      </c>
    </row>
    <row r="527" spans="1:22" s="14" customFormat="1" ht="13.5" hidden="1" customHeight="1" ns3:dyDescent="0.25">
      <c r="A527" s="13" t="s">
        <v>155</v>
      </c>
      <c r="B527" s="25" t="str">
        <f t="shared" si="32"/>
      </c>
      <c r="C527" s="13" t="s">
        <v>1147</v>
      </c>
      <c r="D527" s="13" t="s">
        <v>17</v>
      </c>
      <c r="E527" s="13" t="s">
        <v>55</v>
      </c>
      <c r="F527" s="13" t="s">
        <v>500</v>
      </c>
      <c r="G527" s="13" t="s">
        <v>10</v>
      </c>
      <c r="H527" s="13" t="str">
        <f>IFERROR(VLOOKUP(#REF!527,'정보화기기 명부'!A$2:B$187,2,FALSE),"")</f>
        <v/>
      </c>
      <c r="I527" s="13"/>
      <c r="J527" s="13" t="s">
        <v>738</v>
      </c>
      <c r="K527" s="13"/>
      <c r="L527" s="13">
        <v>20070831</v>
      </c>
      <c r="M527" s="13" t="s">
        <v>752</v>
      </c>
      <c r="N527" s="13" t="s">
        <v>1186</v>
      </c>
      <c r="O527" s="208">
        <v>433</v>
      </c>
      <c r="P527" s="13" t="s">
        <v>495</v>
      </c>
      <c r="Q527" s="13" t="s">
        <v>1196</v>
      </c>
      <c r="R527" s="13" t="s">
        <v>763</v>
      </c>
      <c r="S527" s="13" t="s">
        <v>742</v>
      </c>
    </row>
    <row r="528" spans="1:22" s="14" customFormat="1" ht="13.5" hidden="1" customHeight="1" ns3:dyDescent="0.25">
      <c r="A528" s="13" t="s">
        <v>155</v>
      </c>
      <c r="B528" s="25" t="str">
        <f t="shared" si="32"/>
      </c>
      <c r="C528" s="13" t="s">
        <v>1147</v>
      </c>
      <c r="D528" s="13" t="s">
        <v>17</v>
      </c>
      <c r="E528" s="13" t="s">
        <v>55</v>
      </c>
      <c r="F528" s="13" t="s">
        <v>500</v>
      </c>
      <c r="G528" s="13" t="s">
        <v>10</v>
      </c>
      <c r="H528" s="13" t="str">
        <f>IFERROR(VLOOKUP(#REF!528,'정보화기기 명부'!A$2:B$187,2,FALSE),"")</f>
        <v/>
      </c>
      <c r="I528" s="13"/>
      <c r="J528" s="13" t="s">
        <v>738</v>
      </c>
      <c r="K528" s="13"/>
      <c r="L528" s="13">
        <v>20070831</v>
      </c>
      <c r="M528" s="13" t="s">
        <v>752</v>
      </c>
      <c r="N528" s="13" t="s">
        <v>1186</v>
      </c>
      <c r="O528" s="208">
        <v>432</v>
      </c>
      <c r="P528" s="13" t="s">
        <v>495</v>
      </c>
      <c r="Q528" s="13" t="s">
        <v>1196</v>
      </c>
      <c r="R528" s="13" t="s">
        <v>763</v>
      </c>
      <c r="S528" s="13" t="s">
        <v>742</v>
      </c>
    </row>
    <row r="529" spans="1:22" s="14" customFormat="1" ht="13.5" hidden="1" customHeight="1" ns3:dyDescent="0.25">
      <c r="A529" s="13" t="s">
        <v>155</v>
      </c>
      <c r="B529" s="25" t="str">
        <f t="shared" si="32"/>
      </c>
      <c r="C529" s="13" t="s">
        <v>1147</v>
      </c>
      <c r="D529" s="13" t="s">
        <v>17</v>
      </c>
      <c r="E529" s="13" t="s">
        <v>55</v>
      </c>
      <c r="F529" s="13" t="s">
        <v>500</v>
      </c>
      <c r="G529" s="13" t="s">
        <v>10</v>
      </c>
      <c r="H529" s="13" t="str">
        <f>IFERROR(VLOOKUP(#REF!529,'정보화기기 명부'!A$2:B$187,2,FALSE),"")</f>
        <v/>
      </c>
      <c r="I529" s="13"/>
      <c r="J529" s="13" t="s">
        <v>738</v>
      </c>
      <c r="K529" s="13"/>
      <c r="L529" s="13">
        <v>20070831</v>
      </c>
      <c r="M529" s="13" t="s">
        <v>752</v>
      </c>
      <c r="N529" s="13" t="s">
        <v>1186</v>
      </c>
      <c r="O529" s="208">
        <v>431</v>
      </c>
      <c r="P529" s="13" t="s">
        <v>495</v>
      </c>
      <c r="Q529" s="13" t="s">
        <v>1196</v>
      </c>
      <c r="R529" s="13" t="s">
        <v>763</v>
      </c>
      <c r="S529" s="13" t="s">
        <v>742</v>
      </c>
    </row>
    <row r="530" spans="1:22" s="14" customFormat="1" ht="13.5" hidden="1" customHeight="1" ns3:dyDescent="0.25">
      <c r="A530" s="13" t="s">
        <v>21</v>
      </c>
      <c r="B530" s="25" t="str">
        <f t="shared" si="32"/>
      </c>
      <c r="C530" s="13" t="s">
        <v>1147</v>
      </c>
      <c r="D530" s="21" t="s">
        <v>17</v>
      </c>
      <c r="E530" s="13" t="s">
        <v>8</v>
      </c>
      <c r="F530" s="13" t="s">
        <v>1676</v>
      </c>
      <c r="G530" s="13" t="s">
        <v>117</v>
      </c>
      <c r="H530" s="13" t="str">
        <f>IFERROR(VLOOKUP(#REF!530,'정보화기기 명부'!A$2:B$187,2,FALSE),"")</f>
        <v/>
      </c>
      <c r="I530" s="22"/>
      <c r="J530" s="13"/>
      <c r="K530" s="13"/>
      <c r="L530" s="13">
        <v>20070830</v>
      </c>
      <c r="M530" s="22">
        <v>1651890</v>
      </c>
      <c r="N530" s="13" t="s">
        <v>1191</v>
      </c>
      <c r="O530" s="208">
        <v>441</v>
      </c>
      <c r="P530" s="13" t="s">
        <v>495</v>
      </c>
      <c r="Q530" s="13" t="s">
        <v>728</v>
      </c>
      <c r="R530" s="13" t="s">
        <v>970</v>
      </c>
      <c r="S530" s="13" t="s">
        <v>1197</v>
      </c>
    </row>
    <row r="531" spans="1:22" s="14" customFormat="1" ht="13.5" customHeight="1" ns3:dyDescent="0.25">
      <c r="A531" s="13" t="s">
        <v>134</v>
      </c>
      <c r="B531" s="25" t="str">
        <f t="shared" si="32"/>
      </c>
      <c r="C531" s="13" t="s">
        <v>102</v>
      </c>
      <c r="D531" s="13" t="s">
        <v>17</v>
      </c>
      <c r="E531" s="13" t="s">
        <v>120</v>
      </c>
      <c r="F531" s="13" t="s">
        <v>511</v>
      </c>
      <c r="G531" s="13" t="s">
        <v>10</v>
      </c>
      <c r="H531" s="13" t="str">
        <f>IFERROR(VLOOKUP(#REF!531,'정보화기기 명부'!A$2:B$187,2,FALSE),"")</f>
        <v/>
      </c>
      <c r="I531" s="13"/>
      <c r="J531" s="13"/>
      <c r="K531" s="13"/>
      <c r="L531" s="13">
        <v>20070829</v>
      </c>
      <c r="M531" s="13" t="s">
        <v>505</v>
      </c>
      <c r="N531" s="13" t="s">
        <v>1186</v>
      </c>
      <c r="O531" s="208">
        <v>430</v>
      </c>
      <c r="P531" s="13" t="s">
        <v>495</v>
      </c>
      <c r="Q531" s="13" t="s">
        <v>727</v>
      </c>
      <c r="R531" s="13" t="s">
        <v>735</v>
      </c>
      <c r="S531" s="13" t="s">
        <v>1181</v>
      </c>
    </row>
    <row r="532" spans="1:22" s="14" customFormat="1" ht="13.5" customHeight="1" ns3:dyDescent="0.25">
      <c r="A532" s="13" t="s">
        <v>19</v>
      </c>
      <c r="B532" s="25" t="str">
        <f t="shared" si="32"/>
      </c>
      <c r="C532" s="13" t="s">
        <v>102</v>
      </c>
      <c r="D532" s="13" t="s">
        <v>17</v>
      </c>
      <c r="E532" s="13" t="s">
        <v>120</v>
      </c>
      <c r="F532" s="13" t="s">
        <v>511</v>
      </c>
      <c r="G532" s="13" t="s">
        <v>10</v>
      </c>
      <c r="H532" s="13" t="str">
        <f>IFERROR(VLOOKUP(#REF!532,'정보화기기 명부'!A$2:B$187,2,FALSE),"")</f>
        <v/>
      </c>
      <c r="I532" s="13"/>
      <c r="J532" s="13"/>
      <c r="K532" s="13"/>
      <c r="L532" s="13">
        <v>20070829</v>
      </c>
      <c r="M532" s="13" t="s">
        <v>505</v>
      </c>
      <c r="N532" s="13" t="s">
        <v>1186</v>
      </c>
      <c r="O532" s="208">
        <v>429</v>
      </c>
      <c r="P532" s="13" t="s">
        <v>495</v>
      </c>
      <c r="Q532" s="13" t="s">
        <v>727</v>
      </c>
      <c r="R532" s="13" t="s">
        <v>735</v>
      </c>
      <c r="S532" s="13" t="s">
        <v>1181</v>
      </c>
    </row>
    <row r="533" spans="1:22" s="14" customFormat="1" ht="13.5" customHeight="1" ns3:dyDescent="0.25">
      <c r="A533" s="13" t="s">
        <v>746</v>
      </c>
      <c r="B533" s="25" t="str">
        <f t="shared" si="32"/>
      </c>
      <c r="C533" s="13" t="s">
        <v>102</v>
      </c>
      <c r="D533" s="13" t="s">
        <v>17</v>
      </c>
      <c r="E533" s="13" t="s">
        <v>120</v>
      </c>
      <c r="F533" s="13" t="s">
        <v>511</v>
      </c>
      <c r="G533" s="13" t="s">
        <v>10</v>
      </c>
      <c r="H533" s="13" t="str">
        <f>IFERROR(VLOOKUP(#REF!533,'정보화기기 명부'!A$2:B$187,2,FALSE),"")</f>
        <v/>
      </c>
      <c r="I533" s="13"/>
      <c r="J533" s="13"/>
      <c r="K533" s="13"/>
      <c r="L533" s="13">
        <v>20070829</v>
      </c>
      <c r="M533" s="13" t="s">
        <v>505</v>
      </c>
      <c r="N533" s="13" t="s">
        <v>1186</v>
      </c>
      <c r="O533" s="208">
        <v>428</v>
      </c>
      <c r="P533" s="13" t="s">
        <v>495</v>
      </c>
      <c r="Q533" s="13" t="s">
        <v>727</v>
      </c>
      <c r="R533" s="13" t="s">
        <v>735</v>
      </c>
      <c r="S533" s="13" t="s">
        <v>1181</v>
      </c>
    </row>
    <row r="534" spans="1:22" s="14" customFormat="1" ht="13.5" customHeight="1" ns3:dyDescent="0.25">
      <c r="A534" s="13" t="s">
        <v>144</v>
      </c>
      <c r="B534" s="25" t="str">
        <f t="shared" si="32"/>
      </c>
      <c r="C534" s="13" t="s">
        <v>102</v>
      </c>
      <c r="D534" s="13" t="s">
        <v>17</v>
      </c>
      <c r="E534" s="13" t="s">
        <v>120</v>
      </c>
      <c r="F534" s="13" t="s">
        <v>511</v>
      </c>
      <c r="G534" s="13" t="s">
        <v>10</v>
      </c>
      <c r="H534" s="13" t="str">
        <f>IFERROR(VLOOKUP(#REF!534,'정보화기기 명부'!A$2:B$187,2,FALSE),"")</f>
        <v/>
      </c>
      <c r="I534" s="13"/>
      <c r="J534" s="13"/>
      <c r="K534" s="13"/>
      <c r="L534" s="13">
        <v>20070829</v>
      </c>
      <c r="M534" s="13" t="s">
        <v>505</v>
      </c>
      <c r="N534" s="13" t="s">
        <v>1186</v>
      </c>
      <c r="O534" s="208">
        <v>427</v>
      </c>
      <c r="P534" s="13" t="s">
        <v>495</v>
      </c>
      <c r="Q534" s="13" t="s">
        <v>727</v>
      </c>
      <c r="R534" s="13" t="s">
        <v>735</v>
      </c>
      <c r="S534" s="13" t="s">
        <v>1181</v>
      </c>
    </row>
    <row r="535" spans="1:22" s="14" customFormat="1" ht="13.5" customHeight="1" ns3:dyDescent="0.25">
      <c r="A535" s="13" t="s">
        <v>139</v>
      </c>
      <c r="B535" s="25" t="str">
        <f t="shared" si="32"/>
      </c>
      <c r="C535" s="13" t="s">
        <v>102</v>
      </c>
      <c r="D535" s="13" t="s">
        <v>17</v>
      </c>
      <c r="E535" s="13" t="s">
        <v>120</v>
      </c>
      <c r="F535" s="13" t="s">
        <v>511</v>
      </c>
      <c r="G535" s="13" t="s">
        <v>10</v>
      </c>
      <c r="H535" s="13" t="str">
        <f>IFERROR(VLOOKUP(#REF!535,'정보화기기 명부'!A$2:B$187,2,FALSE),"")</f>
        <v/>
      </c>
      <c r="I535" s="13"/>
      <c r="J535" s="13"/>
      <c r="K535" s="13"/>
      <c r="L535" s="13">
        <v>20070829</v>
      </c>
      <c r="M535" s="13" t="s">
        <v>505</v>
      </c>
      <c r="N535" s="13" t="s">
        <v>1186</v>
      </c>
      <c r="O535" s="208">
        <v>426</v>
      </c>
      <c r="P535" s="13" t="s">
        <v>495</v>
      </c>
      <c r="Q535" s="13" t="s">
        <v>727</v>
      </c>
      <c r="R535" s="13" t="s">
        <v>735</v>
      </c>
      <c r="S535" s="13" t="s">
        <v>1181</v>
      </c>
    </row>
    <row r="536" spans="1:22" s="14" customFormat="1" ht="13.5" customHeight="1" ns3:dyDescent="0.25">
      <c r="A536" s="13" t="s">
        <v>181</v>
      </c>
      <c r="B536" s="25" t="str">
        <f t="shared" si="32"/>
      </c>
      <c r="C536" s="13" t="s">
        <v>102</v>
      </c>
      <c r="D536" s="13" t="s">
        <v>17</v>
      </c>
      <c r="E536" s="13" t="s">
        <v>120</v>
      </c>
      <c r="F536" s="13" t="s">
        <v>511</v>
      </c>
      <c r="G536" s="13" t="s">
        <v>10</v>
      </c>
      <c r="H536" s="13" t="str">
        <f>IFERROR(VLOOKUP(#REF!536,'정보화기기 명부'!A$2:B$187,2,FALSE),"")</f>
        <v/>
      </c>
      <c r="I536" s="13"/>
      <c r="J536" s="13"/>
      <c r="K536" s="13"/>
      <c r="L536" s="13">
        <v>20070829</v>
      </c>
      <c r="M536" s="13" t="s">
        <v>505</v>
      </c>
      <c r="N536" s="13" t="s">
        <v>1186</v>
      </c>
      <c r="O536" s="208">
        <v>425</v>
      </c>
      <c r="P536" s="13" t="s">
        <v>495</v>
      </c>
      <c r="Q536" s="13" t="s">
        <v>727</v>
      </c>
      <c r="R536" s="13" t="s">
        <v>735</v>
      </c>
      <c r="S536" s="13" t="s">
        <v>1181</v>
      </c>
    </row>
    <row r="537" spans="1:22" s="14" customFormat="1" ht="13.5" customHeight="1" ns3:dyDescent="0.25">
      <c r="A537" s="13" t="s">
        <v>146</v>
      </c>
      <c r="B537" s="25" t="str">
        <f t="shared" si="32"/>
      </c>
      <c r="C537" s="13" t="s">
        <v>102</v>
      </c>
      <c r="D537" s="13" t="s">
        <v>17</v>
      </c>
      <c r="E537" s="13" t="s">
        <v>120</v>
      </c>
      <c r="F537" s="13" t="s">
        <v>511</v>
      </c>
      <c r="G537" s="13" t="s">
        <v>10</v>
      </c>
      <c r="H537" s="13" t="str">
        <f>IFERROR(VLOOKUP(#REF!537,'정보화기기 명부'!A$2:B$187,2,FALSE),"")</f>
        <v/>
      </c>
      <c r="I537" s="13"/>
      <c r="J537" s="13"/>
      <c r="K537" s="13"/>
      <c r="L537" s="13">
        <v>20070829</v>
      </c>
      <c r="M537" s="13" t="s">
        <v>505</v>
      </c>
      <c r="N537" s="13" t="s">
        <v>1186</v>
      </c>
      <c r="O537" s="208">
        <v>424</v>
      </c>
      <c r="P537" s="13" t="s">
        <v>495</v>
      </c>
      <c r="Q537" s="13" t="s">
        <v>727</v>
      </c>
      <c r="R537" s="13" t="s">
        <v>735</v>
      </c>
      <c r="S537" s="13" t="s">
        <v>1181</v>
      </c>
    </row>
    <row r="538" spans="1:22" s="14" customFormat="1" ht="13.5" customHeight="1" ns3:dyDescent="0.25">
      <c r="A538" s="13" t="s">
        <v>189</v>
      </c>
      <c r="B538" s="25" t="str">
        <f t="shared" si="32"/>
      </c>
      <c r="C538" s="13" t="s">
        <v>102</v>
      </c>
      <c r="D538" s="13" t="s">
        <v>17</v>
      </c>
      <c r="E538" s="13" t="s">
        <v>120</v>
      </c>
      <c r="F538" s="13" t="s">
        <v>511</v>
      </c>
      <c r="G538" s="13" t="s">
        <v>10</v>
      </c>
      <c r="H538" s="13" t="str">
        <f>IFERROR(VLOOKUP(#REF!538,'정보화기기 명부'!A$2:B$187,2,FALSE),"")</f>
        <v/>
      </c>
      <c r="I538" s="13"/>
      <c r="J538" s="13"/>
      <c r="K538" s="13"/>
      <c r="L538" s="13">
        <v>20070829</v>
      </c>
      <c r="M538" s="13" t="s">
        <v>505</v>
      </c>
      <c r="N538" s="13" t="s">
        <v>1186</v>
      </c>
      <c r="O538" s="208">
        <v>423</v>
      </c>
      <c r="P538" s="13" t="s">
        <v>495</v>
      </c>
      <c r="Q538" s="13" t="s">
        <v>727</v>
      </c>
      <c r="R538" s="13" t="s">
        <v>735</v>
      </c>
      <c r="S538" s="13" t="s">
        <v>1181</v>
      </c>
    </row>
    <row r="539" spans="1:22" s="14" customFormat="1" ht="13.5" customHeight="1" ns3:dyDescent="0.25">
      <c r="A539" s="13" t="s">
        <v>146</v>
      </c>
      <c r="B539" s="25" t="str">
        <f t="shared" si="32"/>
      </c>
      <c r="C539" s="13" t="s">
        <v>102</v>
      </c>
      <c r="D539" s="13" t="s">
        <v>17</v>
      </c>
      <c r="E539" s="13" t="s">
        <v>120</v>
      </c>
      <c r="F539" s="13" t="s">
        <v>511</v>
      </c>
      <c r="G539" s="13" t="s">
        <v>10</v>
      </c>
      <c r="H539" s="13" t="str">
        <f>IFERROR(VLOOKUP(#REF!539,'정보화기기 명부'!A$2:B$187,2,FALSE),"")</f>
        <v/>
      </c>
      <c r="I539" s="13"/>
      <c r="J539" s="13"/>
      <c r="K539" s="13"/>
      <c r="L539" s="13">
        <v>20070829</v>
      </c>
      <c r="M539" s="13" t="s">
        <v>505</v>
      </c>
      <c r="N539" s="13" t="s">
        <v>1186</v>
      </c>
      <c r="O539" s="208">
        <v>422</v>
      </c>
      <c r="P539" s="13" t="s">
        <v>495</v>
      </c>
      <c r="Q539" s="13" t="s">
        <v>727</v>
      </c>
      <c r="R539" s="13" t="s">
        <v>735</v>
      </c>
      <c r="S539" s="13" t="s">
        <v>1181</v>
      </c>
    </row>
    <row r="540" spans="1:22" s="14" customFormat="1" ht="13.5" customHeight="1" ns3:dyDescent="0.25">
      <c r="A540" s="13" t="s">
        <v>180</v>
      </c>
      <c r="B540" s="25" t="str">
        <f t="shared" si="32"/>
      </c>
      <c r="C540" s="13" t="s">
        <v>102</v>
      </c>
      <c r="D540" s="13" t="s">
        <v>17</v>
      </c>
      <c r="E540" s="13" t="s">
        <v>120</v>
      </c>
      <c r="F540" s="13" t="s">
        <v>511</v>
      </c>
      <c r="G540" s="13" t="s">
        <v>10</v>
      </c>
      <c r="H540" s="13" t="str">
        <f>IFERROR(VLOOKUP(#REF!540,'정보화기기 명부'!A$2:B$187,2,FALSE),"")</f>
        <v/>
      </c>
      <c r="I540" s="13"/>
      <c r="J540" s="13"/>
      <c r="K540" s="13"/>
      <c r="L540" s="13">
        <v>20070829</v>
      </c>
      <c r="M540" s="13" t="s">
        <v>505</v>
      </c>
      <c r="N540" s="13" t="s">
        <v>1186</v>
      </c>
      <c r="O540" s="208">
        <v>421</v>
      </c>
      <c r="P540" s="13" t="s">
        <v>495</v>
      </c>
      <c r="Q540" s="13" t="s">
        <v>727</v>
      </c>
      <c r="R540" s="13" t="s">
        <v>735</v>
      </c>
      <c r="S540" s="13" t="s">
        <v>1181</v>
      </c>
    </row>
    <row r="541" spans="1:22" s="14" customFormat="1" ht="13.5" customHeight="1" ns3:dyDescent="0.25">
      <c r="A541" s="13" t="s">
        <v>764</v>
      </c>
      <c r="B541" s="25" t="str">
        <f t="shared" si="32"/>
      </c>
      <c r="C541" s="13" t="s">
        <v>102</v>
      </c>
      <c r="D541" s="13" t="s">
        <v>17</v>
      </c>
      <c r="E541" s="13" t="s">
        <v>120</v>
      </c>
      <c r="F541" s="13" t="s">
        <v>511</v>
      </c>
      <c r="G541" s="13" t="s">
        <v>10</v>
      </c>
      <c r="H541" s="13" t="str">
        <f>IFERROR(VLOOKUP(#REF!541,'정보화기기 명부'!A$2:B$187,2,FALSE),"")</f>
        <v/>
      </c>
      <c r="I541" s="13"/>
      <c r="J541" s="13"/>
      <c r="K541" s="13"/>
      <c r="L541" s="13">
        <v>20070829</v>
      </c>
      <c r="M541" s="13" t="s">
        <v>505</v>
      </c>
      <c r="N541" s="13" t="s">
        <v>1186</v>
      </c>
      <c r="O541" s="208">
        <v>420</v>
      </c>
      <c r="P541" s="13" t="s">
        <v>495</v>
      </c>
      <c r="Q541" s="13" t="s">
        <v>727</v>
      </c>
      <c r="R541" s="13" t="s">
        <v>735</v>
      </c>
      <c r="S541" s="13" t="s">
        <v>1181</v>
      </c>
    </row>
    <row r="542" spans="1:22" s="14" customFormat="1" ht="13.5" customHeight="1" ns3:dyDescent="0.25">
      <c r="A542" s="13" t="s">
        <v>196</v>
      </c>
      <c r="B542" s="25" t="str">
        <f t="shared" si="32"/>
      </c>
      <c r="C542" s="13" t="s">
        <v>102</v>
      </c>
      <c r="D542" s="13" t="s">
        <v>17</v>
      </c>
      <c r="E542" s="13" t="s">
        <v>120</v>
      </c>
      <c r="F542" s="13" t="s">
        <v>511</v>
      </c>
      <c r="G542" s="13" t="s">
        <v>10</v>
      </c>
      <c r="H542" s="13" t="str">
        <f>IFERROR(VLOOKUP(#REF!542,'정보화기기 명부'!A$2:B$187,2,FALSE),"")</f>
        <v/>
      </c>
      <c r="I542" s="13"/>
      <c r="J542" s="13"/>
      <c r="K542" s="13"/>
      <c r="L542" s="13">
        <v>20070829</v>
      </c>
      <c r="M542" s="13" t="s">
        <v>505</v>
      </c>
      <c r="N542" s="13" t="s">
        <v>1186</v>
      </c>
      <c r="O542" s="208">
        <v>419</v>
      </c>
      <c r="P542" s="13" t="s">
        <v>495</v>
      </c>
      <c r="Q542" s="13" t="s">
        <v>727</v>
      </c>
      <c r="R542" s="13" t="s">
        <v>735</v>
      </c>
      <c r="S542" s="13" t="s">
        <v>1181</v>
      </c>
    </row>
    <row r="543" spans="1:22" s="14" customFormat="1" ht="13.5" customHeight="1" ns3:dyDescent="0.25">
      <c r="A543" s="13" t="s">
        <v>185</v>
      </c>
      <c r="B543" s="25" t="str">
        <f t="shared" si="32"/>
      </c>
      <c r="C543" s="13" t="s">
        <v>102</v>
      </c>
      <c r="D543" s="13" t="s">
        <v>17</v>
      </c>
      <c r="E543" s="13" t="s">
        <v>120</v>
      </c>
      <c r="F543" s="13" t="s">
        <v>511</v>
      </c>
      <c r="G543" s="13" t="s">
        <v>10</v>
      </c>
      <c r="H543" s="13" t="str">
        <f>IFERROR(VLOOKUP(#REF!543,'정보화기기 명부'!A$2:B$187,2,FALSE),"")</f>
        <v/>
      </c>
      <c r="I543" s="13"/>
      <c r="J543" s="13"/>
      <c r="K543" s="13"/>
      <c r="L543" s="13">
        <v>20070829</v>
      </c>
      <c r="M543" s="13" t="s">
        <v>505</v>
      </c>
      <c r="N543" s="13" t="s">
        <v>1186</v>
      </c>
      <c r="O543" s="208">
        <v>418</v>
      </c>
      <c r="P543" s="13" t="s">
        <v>495</v>
      </c>
      <c r="Q543" s="13" t="s">
        <v>727</v>
      </c>
      <c r="R543" s="13" t="s">
        <v>735</v>
      </c>
      <c r="S543" s="13" t="s">
        <v>1181</v>
      </c>
    </row>
    <row r="544" spans="1:22" s="14" customFormat="1" ht="13.5" customHeight="1" ns3:dyDescent="0.25">
      <c r="A544" s="13" t="s">
        <v>176</v>
      </c>
      <c r="B544" s="25" t="str">
        <f t="shared" si="32"/>
      </c>
      <c r="C544" s="13" t="s">
        <v>102</v>
      </c>
      <c r="D544" s="13" t="s">
        <v>17</v>
      </c>
      <c r="E544" s="13" t="s">
        <v>120</v>
      </c>
      <c r="F544" s="13" t="s">
        <v>511</v>
      </c>
      <c r="G544" s="13" t="s">
        <v>10</v>
      </c>
      <c r="H544" s="13" t="str">
        <f>IFERROR(VLOOKUP(#REF!544,'정보화기기 명부'!A$2:B$187,2,FALSE),"")</f>
        <v/>
      </c>
      <c r="I544" s="13"/>
      <c r="J544" s="13"/>
      <c r="K544" s="13"/>
      <c r="L544" s="13">
        <v>20070829</v>
      </c>
      <c r="M544" s="13" t="s">
        <v>505</v>
      </c>
      <c r="N544" s="13" t="s">
        <v>1186</v>
      </c>
      <c r="O544" s="208">
        <v>417</v>
      </c>
      <c r="P544" s="13" t="s">
        <v>495</v>
      </c>
      <c r="Q544" s="13" t="s">
        <v>727</v>
      </c>
      <c r="R544" s="13" t="s">
        <v>735</v>
      </c>
      <c r="S544" s="13" t="s">
        <v>1181</v>
      </c>
    </row>
    <row r="545" spans="1:22" s="14" customFormat="1" ht="13.5" customHeight="1" ns3:dyDescent="0.25">
      <c r="A545" s="13" t="s">
        <v>200</v>
      </c>
      <c r="B545" s="25" t="str">
        <f t="shared" si="32"/>
      </c>
      <c r="C545" s="13" t="s">
        <v>102</v>
      </c>
      <c r="D545" s="13" t="s">
        <v>17</v>
      </c>
      <c r="E545" s="13" t="s">
        <v>120</v>
      </c>
      <c r="F545" s="13" t="s">
        <v>511</v>
      </c>
      <c r="G545" s="13" t="s">
        <v>10</v>
      </c>
      <c r="H545" s="13" t="str">
        <f>IFERROR(VLOOKUP(#REF!545,'정보화기기 명부'!A$2:B$187,2,FALSE),"")</f>
        <v/>
      </c>
      <c r="I545" s="13"/>
      <c r="J545" s="13"/>
      <c r="K545" s="13"/>
      <c r="L545" s="13">
        <v>20070829</v>
      </c>
      <c r="M545" s="13" t="s">
        <v>505</v>
      </c>
      <c r="N545" s="13" t="s">
        <v>1186</v>
      </c>
      <c r="O545" s="208">
        <v>416</v>
      </c>
      <c r="P545" s="13" t="s">
        <v>495</v>
      </c>
      <c r="Q545" s="13" t="s">
        <v>727</v>
      </c>
      <c r="R545" s="13" t="s">
        <v>735</v>
      </c>
      <c r="S545" s="13" t="s">
        <v>1181</v>
      </c>
    </row>
    <row r="546" spans="1:22" s="14" customFormat="1" ht="13.5" customHeight="1" ns3:dyDescent="0.25">
      <c r="A546" s="13" t="s">
        <v>167</v>
      </c>
      <c r="B546" s="25" t="str">
        <f t="shared" si="32"/>
      </c>
      <c r="C546" s="13" t="s">
        <v>102</v>
      </c>
      <c r="D546" s="13" t="s">
        <v>17</v>
      </c>
      <c r="E546" s="13" t="s">
        <v>120</v>
      </c>
      <c r="F546" s="13" t="s">
        <v>511</v>
      </c>
      <c r="G546" s="13" t="s">
        <v>10</v>
      </c>
      <c r="H546" s="13" t="str">
        <f>IFERROR(VLOOKUP(#REF!546,'정보화기기 명부'!A$2:B$187,2,FALSE),"")</f>
        <v/>
      </c>
      <c r="I546" s="13"/>
      <c r="J546" s="13"/>
      <c r="K546" s="13"/>
      <c r="L546" s="13">
        <v>20070829</v>
      </c>
      <c r="M546" s="13" t="s">
        <v>505</v>
      </c>
      <c r="N546" s="13" t="s">
        <v>1186</v>
      </c>
      <c r="O546" s="208">
        <v>415</v>
      </c>
      <c r="P546" s="13" t="s">
        <v>495</v>
      </c>
      <c r="Q546" s="13" t="s">
        <v>727</v>
      </c>
      <c r="R546" s="13" t="s">
        <v>735</v>
      </c>
      <c r="S546" s="13" t="s">
        <v>1181</v>
      </c>
    </row>
    <row r="547" spans="1:22" s="14" customFormat="1" ht="13.5" customHeight="1" ns3:dyDescent="0.25">
      <c r="A547" s="13" t="s">
        <v>187</v>
      </c>
      <c r="B547" s="25" t="str">
        <f t="shared" si="32"/>
      </c>
      <c r="C547" s="13" t="s">
        <v>102</v>
      </c>
      <c r="D547" s="13" t="s">
        <v>17</v>
      </c>
      <c r="E547" s="13" t="s">
        <v>120</v>
      </c>
      <c r="F547" s="13" t="s">
        <v>511</v>
      </c>
      <c r="G547" s="13" t="s">
        <v>10</v>
      </c>
      <c r="H547" s="13" t="str">
        <f>IFERROR(VLOOKUP(#REF!547,'정보화기기 명부'!A$2:B$187,2,FALSE),"")</f>
        <v/>
      </c>
      <c r="I547" s="13"/>
      <c r="J547" s="13"/>
      <c r="K547" s="13"/>
      <c r="L547" s="13">
        <v>20070829</v>
      </c>
      <c r="M547" s="13" t="s">
        <v>505</v>
      </c>
      <c r="N547" s="13" t="s">
        <v>1186</v>
      </c>
      <c r="O547" s="208">
        <v>414</v>
      </c>
      <c r="P547" s="13" t="s">
        <v>495</v>
      </c>
      <c r="Q547" s="13" t="s">
        <v>727</v>
      </c>
      <c r="R547" s="13" t="s">
        <v>735</v>
      </c>
      <c r="S547" s="13" t="s">
        <v>1181</v>
      </c>
    </row>
    <row r="548" spans="1:22" s="14" customFormat="1" ht="13.5" customHeight="1" ns3:dyDescent="0.25">
      <c r="A548" s="13" t="s">
        <v>168</v>
      </c>
      <c r="B548" s="25" t="str">
        <f t="shared" si="32"/>
      </c>
      <c r="C548" s="13" t="s">
        <v>102</v>
      </c>
      <c r="D548" s="13" t="s">
        <v>17</v>
      </c>
      <c r="E548" s="13" t="s">
        <v>120</v>
      </c>
      <c r="F548" s="13" t="s">
        <v>511</v>
      </c>
      <c r="G548" s="13" t="s">
        <v>10</v>
      </c>
      <c r="H548" s="13" t="str">
        <f>IFERROR(VLOOKUP(#REF!548,'정보화기기 명부'!A$2:B$187,2,FALSE),"")</f>
        <v/>
      </c>
      <c r="I548" s="13"/>
      <c r="J548" s="13"/>
      <c r="K548" s="13"/>
      <c r="L548" s="13">
        <v>20070829</v>
      </c>
      <c r="M548" s="13" t="s">
        <v>505</v>
      </c>
      <c r="N548" s="13" t="s">
        <v>1186</v>
      </c>
      <c r="O548" s="208">
        <v>413</v>
      </c>
      <c r="P548" s="13" t="s">
        <v>495</v>
      </c>
      <c r="Q548" s="13" t="s">
        <v>727</v>
      </c>
      <c r="R548" s="13" t="s">
        <v>735</v>
      </c>
      <c r="S548" s="13" t="s">
        <v>1181</v>
      </c>
    </row>
    <row r="549" spans="1:22" s="14" customFormat="1" ht="13.5" hidden="1" customHeight="1" ns3:dyDescent="0.25">
      <c r="A549" s="13" t="s">
        <v>1719</v>
      </c>
      <c r="B549" s="25" t="str">
        <f t="shared" si="32"/>
      </c>
      <c r="C549" s="13" t="s">
        <v>1147</v>
      </c>
      <c r="D549" s="13" t="s">
        <v>17</v>
      </c>
      <c r="E549" s="13" t="s">
        <v>8</v>
      </c>
      <c r="F549" s="13" t="s">
        <v>1699</v>
      </c>
      <c r="G549" s="13" t="s">
        <v>117</v>
      </c>
      <c r="H549" s="13" t="str">
        <f>IFERROR(VLOOKUP(#REF!549,'정보화기기 명부'!A$2:B$187,2,FALSE),"")</f>
        <v/>
      </c>
      <c r="I549" s="13"/>
      <c r="J549" s="13"/>
      <c r="K549" s="13"/>
      <c r="L549" s="13">
        <v>20070628</v>
      </c>
      <c r="M549" s="13" t="s">
        <v>785</v>
      </c>
      <c r="N549" s="13" t="s">
        <v>1191</v>
      </c>
      <c r="O549" s="208">
        <v>554</v>
      </c>
      <c r="P549" s="13" t="s">
        <v>495</v>
      </c>
      <c r="Q549" s="13" t="s">
        <v>917</v>
      </c>
      <c r="R549" s="13" t="s">
        <v>735</v>
      </c>
      <c r="S549" s="13" t="s">
        <v>743</v>
      </c>
    </row>
    <row r="550" spans="1:22" s="14" customFormat="1" ht="13.5" hidden="1" customHeight="1" ns3:dyDescent="0.25">
      <c r="A550" s="13" t="s">
        <v>193</v>
      </c>
      <c r="B550" s="25" t="str">
        <f t="shared" si="32"/>
      </c>
      <c r="C550" s="13" t="s">
        <v>1147</v>
      </c>
      <c r="D550" s="13" t="s">
        <v>17</v>
      </c>
      <c r="E550" s="13" t="s">
        <v>8</v>
      </c>
      <c r="F550" s="13" t="s">
        <v>1699</v>
      </c>
      <c r="G550" s="13" t="s">
        <v>117</v>
      </c>
      <c r="H550" s="13" t="str">
        <f>IFERROR(VLOOKUP(#REF!550,'정보화기기 명부'!A$2:B$187,2,FALSE),"")</f>
        <v/>
      </c>
      <c r="I550" s="13"/>
      <c r="J550" s="13"/>
      <c r="K550" s="13"/>
      <c r="L550" s="13">
        <v>20070628</v>
      </c>
      <c r="M550" s="13" t="s">
        <v>785</v>
      </c>
      <c r="N550" s="13" t="s">
        <v>1191</v>
      </c>
      <c r="O550" s="208">
        <v>553</v>
      </c>
      <c r="P550" s="13" t="s">
        <v>495</v>
      </c>
      <c r="Q550" s="13" t="s">
        <v>917</v>
      </c>
      <c r="R550" s="13" t="s">
        <v>735</v>
      </c>
      <c r="S550" s="13" t="s">
        <v>743</v>
      </c>
    </row>
    <row r="551" spans="1:22" s="14" customFormat="1" ht="13.5" customHeight="1" ns3:dyDescent="0.25">
      <c r="A551" s="13" t="s">
        <v>183</v>
      </c>
      <c r="B551" s="25" t="str">
        <f t="shared" si="32"/>
      </c>
      <c r="C551" s="13" t="s">
        <v>102</v>
      </c>
      <c r="D551" s="13" t="s">
        <v>17</v>
      </c>
      <c r="E551" s="13" t="s">
        <v>8</v>
      </c>
      <c r="F551" s="13" t="s">
        <v>515</v>
      </c>
      <c r="G551" s="13" t="s">
        <v>10</v>
      </c>
      <c r="H551" s="13" t="str">
        <f>IFERROR(VLOOKUP(#REF!551,'정보화기기 명부'!A$2:B$187,2,FALSE),"")</f>
        <v/>
      </c>
      <c r="I551" s="13"/>
      <c r="J551" s="13"/>
      <c r="K551" s="13"/>
      <c r="L551" s="13">
        <v>20070510</v>
      </c>
      <c r="M551" s="13" t="s">
        <v>488</v>
      </c>
      <c r="N551" s="13" t="s">
        <v>1186</v>
      </c>
      <c r="O551" s="208">
        <v>412</v>
      </c>
      <c r="P551" s="13" t="s">
        <v>495</v>
      </c>
      <c r="Q551" s="13" t="s">
        <v>1196</v>
      </c>
      <c r="R551" s="13" t="s">
        <v>735</v>
      </c>
      <c r="S551" s="13" t="s">
        <v>761</v>
      </c>
    </row>
    <row r="552" spans="1:22" s="14" customFormat="1" ht="13.5" customHeight="1" ns3:dyDescent="0.25">
      <c r="A552" s="13" t="s">
        <v>190</v>
      </c>
      <c r="B552" s="25" t="str">
        <f t="shared" si="32"/>
      </c>
      <c r="C552" s="13" t="s">
        <v>102</v>
      </c>
      <c r="D552" s="13" t="s">
        <v>17</v>
      </c>
      <c r="E552" s="13" t="s">
        <v>8</v>
      </c>
      <c r="F552" s="13" t="s">
        <v>515</v>
      </c>
      <c r="G552" s="13" t="s">
        <v>10</v>
      </c>
      <c r="H552" s="13" t="str">
        <f>IFERROR(VLOOKUP(#REF!552,'정보화기기 명부'!A$2:B$187,2,FALSE),"")</f>
        <v/>
      </c>
      <c r="I552" s="13"/>
      <c r="J552" s="13"/>
      <c r="K552" s="13"/>
      <c r="L552" s="13">
        <v>20070510</v>
      </c>
      <c r="M552" s="13" t="s">
        <v>488</v>
      </c>
      <c r="N552" s="13" t="s">
        <v>1186</v>
      </c>
      <c r="O552" s="208">
        <v>411</v>
      </c>
      <c r="P552" s="13" t="s">
        <v>495</v>
      </c>
      <c r="Q552" s="13" t="s">
        <v>1196</v>
      </c>
      <c r="R552" s="13" t="s">
        <v>735</v>
      </c>
      <c r="S552" s="13" t="s">
        <v>761</v>
      </c>
    </row>
    <row r="553" spans="1:22" s="14" customFormat="1" ht="13.5" customHeight="1" ns3:dyDescent="0.25">
      <c r="A553" s="13" t="s">
        <v>177</v>
      </c>
      <c r="B553" s="25" t="str">
        <f t="shared" si="32"/>
      </c>
      <c r="C553" s="13" t="s">
        <v>102</v>
      </c>
      <c r="D553" s="13" t="s">
        <v>17</v>
      </c>
      <c r="E553" s="13" t="s">
        <v>8</v>
      </c>
      <c r="F553" s="13" t="s">
        <v>515</v>
      </c>
      <c r="G553" s="13" t="s">
        <v>10</v>
      </c>
      <c r="H553" s="13" t="str">
        <f>IFERROR(VLOOKUP(#REF!553,'정보화기기 명부'!A$2:B$187,2,FALSE),"")</f>
        <v/>
      </c>
      <c r="I553" s="13"/>
      <c r="J553" s="13"/>
      <c r="K553" s="13"/>
      <c r="L553" s="13">
        <v>20070510</v>
      </c>
      <c r="M553" s="13" t="s">
        <v>488</v>
      </c>
      <c r="N553" s="13" t="s">
        <v>1186</v>
      </c>
      <c r="O553" s="208">
        <v>410</v>
      </c>
      <c r="P553" s="13" t="s">
        <v>495</v>
      </c>
      <c r="Q553" s="13" t="s">
        <v>1196</v>
      </c>
      <c r="R553" s="13" t="s">
        <v>735</v>
      </c>
      <c r="S553" s="13" t="s">
        <v>761</v>
      </c>
    </row>
    <row r="554" spans="1:22" s="14" customFormat="1" ht="13.5" customHeight="1" ns3:dyDescent="0.25">
      <c r="A554" s="13" t="s">
        <v>165</v>
      </c>
      <c r="B554" s="25" t="str">
        <f t="shared" si="32"/>
      </c>
      <c r="C554" s="13" t="s">
        <v>102</v>
      </c>
      <c r="D554" s="13" t="s">
        <v>17</v>
      </c>
      <c r="E554" s="13" t="s">
        <v>8</v>
      </c>
      <c r="F554" s="13" t="s">
        <v>515</v>
      </c>
      <c r="G554" s="13" t="s">
        <v>10</v>
      </c>
      <c r="H554" s="13" t="str">
        <f>IFERROR(VLOOKUP(#REF!554,'정보화기기 명부'!A$2:B$187,2,FALSE),"")</f>
        <v/>
      </c>
      <c r="I554" s="13"/>
      <c r="J554" s="13"/>
      <c r="K554" s="13"/>
      <c r="L554" s="13">
        <v>20070510</v>
      </c>
      <c r="M554" s="13" t="s">
        <v>488</v>
      </c>
      <c r="N554" s="13" t="s">
        <v>1186</v>
      </c>
      <c r="O554" s="208">
        <v>409</v>
      </c>
      <c r="P554" s="13" t="s">
        <v>495</v>
      </c>
      <c r="Q554" s="13" t="s">
        <v>1196</v>
      </c>
      <c r="R554" s="13" t="s">
        <v>735</v>
      </c>
      <c r="S554" s="13" t="s">
        <v>761</v>
      </c>
    </row>
    <row r="555" spans="1:22" s="14" customFormat="1" ht="13.5" customHeight="1" ns3:dyDescent="0.25">
      <c r="A555" s="13" t="s">
        <v>156</v>
      </c>
      <c r="B555" s="25" t="str">
        <f t="shared" si="32"/>
      </c>
      <c r="C555" s="13" t="s">
        <v>102</v>
      </c>
      <c r="D555" s="13" t="s">
        <v>17</v>
      </c>
      <c r="E555" s="13" t="s">
        <v>8</v>
      </c>
      <c r="F555" s="13" t="s">
        <v>515</v>
      </c>
      <c r="G555" s="13" t="s">
        <v>10</v>
      </c>
      <c r="H555" s="13" t="str">
        <f>IFERROR(VLOOKUP(#REF!555,'정보화기기 명부'!A$2:B$187,2,FALSE),"")</f>
        <v/>
      </c>
      <c r="I555" s="13"/>
      <c r="J555" s="13"/>
      <c r="K555" s="13"/>
      <c r="L555" s="13">
        <v>20070510</v>
      </c>
      <c r="M555" s="13" t="s">
        <v>488</v>
      </c>
      <c r="N555" s="13" t="s">
        <v>1186</v>
      </c>
      <c r="O555" s="208">
        <v>408</v>
      </c>
      <c r="P555" s="13" t="s">
        <v>495</v>
      </c>
      <c r="Q555" s="13" t="s">
        <v>1196</v>
      </c>
      <c r="R555" s="13" t="s">
        <v>735</v>
      </c>
      <c r="S555" s="13" t="s">
        <v>761</v>
      </c>
    </row>
    <row r="556" spans="1:22" s="14" customFormat="1" ht="13.5" customHeight="1" ns3:dyDescent="0.25">
      <c r="A556" s="13" t="s">
        <v>141</v>
      </c>
      <c r="B556" s="25" t="str">
        <f t="shared" si="32"/>
      </c>
      <c r="C556" s="13" t="s">
        <v>102</v>
      </c>
      <c r="D556" s="13" t="s">
        <v>17</v>
      </c>
      <c r="E556" s="13" t="s">
        <v>8</v>
      </c>
      <c r="F556" s="13" t="s">
        <v>515</v>
      </c>
      <c r="G556" s="13" t="s">
        <v>10</v>
      </c>
      <c r="H556" s="13" t="str">
        <f>IFERROR(VLOOKUP(#REF!556,'정보화기기 명부'!A$2:B$187,2,FALSE),"")</f>
        <v/>
      </c>
      <c r="I556" s="13"/>
      <c r="J556" s="13"/>
      <c r="K556" s="13"/>
      <c r="L556" s="13">
        <v>20070510</v>
      </c>
      <c r="M556" s="13" t="s">
        <v>488</v>
      </c>
      <c r="N556" s="13" t="s">
        <v>1186</v>
      </c>
      <c r="O556" s="208">
        <v>407</v>
      </c>
      <c r="P556" s="13" t="s">
        <v>495</v>
      </c>
      <c r="Q556" s="13" t="s">
        <v>1196</v>
      </c>
      <c r="R556" s="13" t="s">
        <v>735</v>
      </c>
      <c r="S556" s="13" t="s">
        <v>761</v>
      </c>
    </row>
    <row r="557" spans="1:22" s="14" customFormat="1" ht="13.5" customHeight="1" ns3:dyDescent="0.25">
      <c r="A557" s="13" t="s">
        <v>171</v>
      </c>
      <c r="B557" s="25" t="str">
        <f t="shared" si="32"/>
      </c>
      <c r="C557" s="13" t="s">
        <v>102</v>
      </c>
      <c r="D557" s="13" t="s">
        <v>17</v>
      </c>
      <c r="E557" s="13" t="s">
        <v>8</v>
      </c>
      <c r="F557" s="13" t="s">
        <v>515</v>
      </c>
      <c r="G557" s="13" t="s">
        <v>10</v>
      </c>
      <c r="H557" s="13" t="str">
        <f>IFERROR(VLOOKUP(#REF!557,'정보화기기 명부'!A$2:B$187,2,FALSE),"")</f>
        <v/>
      </c>
      <c r="I557" s="13"/>
      <c r="J557" s="13"/>
      <c r="K557" s="13"/>
      <c r="L557" s="13">
        <v>20070510</v>
      </c>
      <c r="M557" s="13" t="s">
        <v>488</v>
      </c>
      <c r="N557" s="13" t="s">
        <v>1186</v>
      </c>
      <c r="O557" s="208">
        <v>406</v>
      </c>
      <c r="P557" s="13" t="s">
        <v>495</v>
      </c>
      <c r="Q557" s="13" t="s">
        <v>1196</v>
      </c>
      <c r="R557" s="13" t="s">
        <v>735</v>
      </c>
      <c r="S557" s="13" t="s">
        <v>761</v>
      </c>
    </row>
    <row r="558" spans="1:22" s="14" customFormat="1" ht="13.5" hidden="1" customHeight="1" ns3:dyDescent="0.25">
      <c r="A558" s="13" t="s">
        <v>767</v>
      </c>
      <c r="B558" s="25" t="str">
        <f t="shared" si="32"/>
      </c>
      <c r="C558" s="13" t="s">
        <v>1147</v>
      </c>
      <c r="D558" s="13" t="s">
        <v>17</v>
      </c>
      <c r="E558" s="13" t="s">
        <v>8</v>
      </c>
      <c r="F558" s="13" t="s">
        <v>749</v>
      </c>
      <c r="G558" s="13" t="s">
        <v>117</v>
      </c>
      <c r="H558" s="13" t="str">
        <f>IFERROR(VLOOKUP(#REF!558,'정보화기기 명부'!A$2:B$187,2,FALSE),"")</f>
        <v/>
      </c>
      <c r="I558" s="13"/>
      <c r="J558" s="13"/>
      <c r="K558" s="13"/>
      <c r="L558" s="13">
        <v>20070328</v>
      </c>
      <c r="M558" s="13" t="s">
        <v>499</v>
      </c>
      <c r="N558" s="13" t="s">
        <v>1191</v>
      </c>
      <c r="O558" s="208">
        <v>535</v>
      </c>
      <c r="P558" s="13" t="s">
        <v>495</v>
      </c>
      <c r="Q558" s="13" t="s">
        <v>730</v>
      </c>
      <c r="R558" s="13" t="s">
        <v>735</v>
      </c>
      <c r="S558" s="13" t="s">
        <v>743</v>
      </c>
    </row>
    <row r="559" spans="1:22" s="14" customFormat="1" ht="13.5" hidden="1" customHeight="1" ns3:dyDescent="0.25">
      <c r="A559" s="13" t="s">
        <v>155</v>
      </c>
      <c r="B559" s="25" t="str">
        <f t="shared" si="32"/>
      </c>
      <c r="C559" s="13" t="s">
        <v>1147</v>
      </c>
      <c r="D559" s="13" t="s">
        <v>17</v>
      </c>
      <c r="E559" s="13" t="s">
        <v>55</v>
      </c>
      <c r="F559" s="13" t="s">
        <v>1670</v>
      </c>
      <c r="G559" s="13" t="s">
        <v>117</v>
      </c>
      <c r="H559" s="13" t="str">
        <f>IFERROR(VLOOKUP(#REF!559,'정보화기기 명부'!A$2:B$187,2,FALSE),"")</f>
        <v/>
      </c>
      <c r="I559" s="13"/>
      <c r="J559" s="13" t="s">
        <v>738</v>
      </c>
      <c r="K559" s="13"/>
      <c r="L559" s="13">
        <v>20061228</v>
      </c>
      <c r="M559" s="13" t="s">
        <v>747</v>
      </c>
      <c r="N559" s="13" t="s">
        <v>1186</v>
      </c>
      <c r="O559" s="208">
        <v>405</v>
      </c>
      <c r="P559" s="13" t="s">
        <v>495</v>
      </c>
      <c r="Q559" s="13" t="s">
        <v>917</v>
      </c>
      <c r="R559" s="13" t="s">
        <v>763</v>
      </c>
      <c r="S559" s="13" t="s">
        <v>910</v>
      </c>
    </row>
    <row r="560" spans="1:22" s="14" customFormat="1" ht="13.5" hidden="1" customHeight="1" ns3:dyDescent="0.25">
      <c r="A560" s="13" t="s">
        <v>155</v>
      </c>
      <c r="B560" s="25" t="str">
        <f t="shared" si="32"/>
      </c>
      <c r="C560" s="13" t="s">
        <v>1147</v>
      </c>
      <c r="D560" s="13" t="s">
        <v>17</v>
      </c>
      <c r="E560" s="13" t="s">
        <v>55</v>
      </c>
      <c r="F560" s="13" t="s">
        <v>1670</v>
      </c>
      <c r="G560" s="13" t="s">
        <v>117</v>
      </c>
      <c r="H560" s="13" t="str">
        <f>IFERROR(VLOOKUP(#REF!560,'정보화기기 명부'!A$2:B$187,2,FALSE),"")</f>
        <v/>
      </c>
      <c r="I560" s="13"/>
      <c r="J560" s="13" t="s">
        <v>738</v>
      </c>
      <c r="K560" s="13"/>
      <c r="L560" s="13">
        <v>20061228</v>
      </c>
      <c r="M560" s="13" t="s">
        <v>747</v>
      </c>
      <c r="N560" s="13" t="s">
        <v>1186</v>
      </c>
      <c r="O560" s="208">
        <v>404</v>
      </c>
      <c r="P560" s="13" t="s">
        <v>495</v>
      </c>
      <c r="Q560" s="13" t="s">
        <v>917</v>
      </c>
      <c r="R560" s="13" t="s">
        <v>763</v>
      </c>
      <c r="S560" s="13" t="s">
        <v>910</v>
      </c>
    </row>
    <row r="561" spans="1:22" s="14" customFormat="1" ht="13.5" hidden="1" customHeight="1" ns3:dyDescent="0.25">
      <c r="A561" s="13" t="s">
        <v>155</v>
      </c>
      <c r="B561" s="25" t="str">
        <f t="shared" si="32"/>
      </c>
      <c r="C561" s="13" t="s">
        <v>1147</v>
      </c>
      <c r="D561" s="13" t="s">
        <v>17</v>
      </c>
      <c r="E561" s="13" t="s">
        <v>55</v>
      </c>
      <c r="F561" s="13" t="s">
        <v>1670</v>
      </c>
      <c r="G561" s="13" t="s">
        <v>117</v>
      </c>
      <c r="H561" s="13" t="str">
        <f>IFERROR(VLOOKUP(#REF!561,'정보화기기 명부'!A$2:B$187,2,FALSE),"")</f>
        <v/>
      </c>
      <c r="I561" s="13"/>
      <c r="J561" s="13" t="s">
        <v>738</v>
      </c>
      <c r="K561" s="13"/>
      <c r="L561" s="13">
        <v>20061228</v>
      </c>
      <c r="M561" s="13" t="s">
        <v>747</v>
      </c>
      <c r="N561" s="13" t="s">
        <v>1186</v>
      </c>
      <c r="O561" s="208">
        <v>403</v>
      </c>
      <c r="P561" s="13" t="s">
        <v>495</v>
      </c>
      <c r="Q561" s="13" t="s">
        <v>917</v>
      </c>
      <c r="R561" s="13" t="s">
        <v>763</v>
      </c>
      <c r="S561" s="13" t="s">
        <v>910</v>
      </c>
    </row>
    <row r="562" spans="1:22" s="14" customFormat="1" ht="13.5" hidden="1" customHeight="1" ns3:dyDescent="0.25">
      <c r="A562" s="13" t="s">
        <v>164</v>
      </c>
      <c r="B562" s="25" t="str">
        <f t="shared" ref="B562:B625" si="35">LEFT(L562,6)&amp;"-"&amp;TEXT(O562,"0000")</f>
      </c>
      <c r="C562" s="13" t="s">
        <v>1147</v>
      </c>
      <c r="D562" s="13" t="s">
        <v>17</v>
      </c>
      <c r="E562" s="13" t="s">
        <v>55</v>
      </c>
      <c r="F562" s="13" t="s">
        <v>1670</v>
      </c>
      <c r="G562" s="13" t="s">
        <v>117</v>
      </c>
      <c r="H562" s="13" t="str">
        <f>IFERROR(VLOOKUP(#REF!562,'정보화기기 명부'!A$2:B$187,2,FALSE),"")</f>
        <v/>
      </c>
      <c r="I562" s="13"/>
      <c r="J562" s="13" t="s">
        <v>738</v>
      </c>
      <c r="K562" s="13"/>
      <c r="L562" s="13">
        <v>20061228</v>
      </c>
      <c r="M562" s="13" t="s">
        <v>747</v>
      </c>
      <c r="N562" s="13" t="s">
        <v>1186</v>
      </c>
      <c r="O562" s="208">
        <v>402</v>
      </c>
      <c r="P562" s="13" t="s">
        <v>495</v>
      </c>
      <c r="Q562" s="13" t="s">
        <v>917</v>
      </c>
      <c r="R562" s="13" t="s">
        <v>763</v>
      </c>
      <c r="S562" s="13" t="s">
        <v>910</v>
      </c>
    </row>
    <row r="563" spans="1:22" s="14" customFormat="1" ht="13.5" hidden="1" customHeight="1" ns3:dyDescent="0.25">
      <c r="A563" s="13" t="s">
        <v>164</v>
      </c>
      <c r="B563" s="25" t="str">
        <f t="shared" si="35"/>
      </c>
      <c r="C563" s="13" t="s">
        <v>1147</v>
      </c>
      <c r="D563" s="13" t="s">
        <v>17</v>
      </c>
      <c r="E563" s="13" t="s">
        <v>55</v>
      </c>
      <c r="F563" s="13" t="s">
        <v>1670</v>
      </c>
      <c r="G563" s="13" t="s">
        <v>117</v>
      </c>
      <c r="H563" s="13" t="str">
        <f>IFERROR(VLOOKUP(#REF!563,'정보화기기 명부'!A$2:B$187,2,FALSE),"")</f>
        <v/>
      </c>
      <c r="I563" s="13"/>
      <c r="J563" s="13" t="s">
        <v>738</v>
      </c>
      <c r="K563" s="13"/>
      <c r="L563" s="13">
        <v>20061228</v>
      </c>
      <c r="M563" s="13" t="s">
        <v>747</v>
      </c>
      <c r="N563" s="13" t="s">
        <v>1186</v>
      </c>
      <c r="O563" s="208">
        <v>401</v>
      </c>
      <c r="P563" s="13" t="s">
        <v>495</v>
      </c>
      <c r="Q563" s="13" t="s">
        <v>917</v>
      </c>
      <c r="R563" s="13" t="s">
        <v>763</v>
      </c>
      <c r="S563" s="13" t="s">
        <v>910</v>
      </c>
    </row>
    <row r="564" spans="1:22" s="14" customFormat="1" ht="13.5" hidden="1" customHeight="1" ns3:dyDescent="0.25">
      <c r="A564" s="13" t="s">
        <v>164</v>
      </c>
      <c r="B564" s="25" t="str">
        <f t="shared" si="35"/>
      </c>
      <c r="C564" s="13" t="s">
        <v>1147</v>
      </c>
      <c r="D564" s="13" t="s">
        <v>17</v>
      </c>
      <c r="E564" s="13" t="s">
        <v>55</v>
      </c>
      <c r="F564" s="13" t="s">
        <v>1670</v>
      </c>
      <c r="G564" s="13" t="s">
        <v>117</v>
      </c>
      <c r="H564" s="13" t="str">
        <f>IFERROR(VLOOKUP(#REF!564,'정보화기기 명부'!A$2:B$187,2,FALSE),"")</f>
        <v/>
      </c>
      <c r="I564" s="13"/>
      <c r="J564" s="13" t="s">
        <v>738</v>
      </c>
      <c r="K564" s="13"/>
      <c r="L564" s="13">
        <v>20061228</v>
      </c>
      <c r="M564" s="13" t="s">
        <v>747</v>
      </c>
      <c r="N564" s="13" t="s">
        <v>1186</v>
      </c>
      <c r="O564" s="208">
        <v>400</v>
      </c>
      <c r="P564" s="13" t="s">
        <v>495</v>
      </c>
      <c r="Q564" s="13" t="s">
        <v>917</v>
      </c>
      <c r="R564" s="13" t="s">
        <v>763</v>
      </c>
      <c r="S564" s="13" t="s">
        <v>910</v>
      </c>
    </row>
    <row r="565" spans="1:22" s="14" customFormat="1" ht="13.5" hidden="1" customHeight="1" ns3:dyDescent="0.25">
      <c r="A565" s="13" t="s">
        <v>164</v>
      </c>
      <c r="B565" s="25" t="str">
        <f t="shared" si="35"/>
      </c>
      <c r="C565" s="13" t="s">
        <v>1147</v>
      </c>
      <c r="D565" s="13" t="s">
        <v>17</v>
      </c>
      <c r="E565" s="13" t="s">
        <v>55</v>
      </c>
      <c r="F565" s="13" t="s">
        <v>1670</v>
      </c>
      <c r="G565" s="13" t="s">
        <v>117</v>
      </c>
      <c r="H565" s="13" t="str">
        <f>IFERROR(VLOOKUP(#REF!565,'정보화기기 명부'!A$2:B$187,2,FALSE),"")</f>
        <v/>
      </c>
      <c r="I565" s="13"/>
      <c r="J565" s="13" t="s">
        <v>738</v>
      </c>
      <c r="K565" s="13"/>
      <c r="L565" s="13">
        <v>20061228</v>
      </c>
      <c r="M565" s="13" t="s">
        <v>747</v>
      </c>
      <c r="N565" s="13" t="s">
        <v>1186</v>
      </c>
      <c r="O565" s="208">
        <v>399</v>
      </c>
      <c r="P565" s="13" t="s">
        <v>495</v>
      </c>
      <c r="Q565" s="13" t="s">
        <v>917</v>
      </c>
      <c r="R565" s="13" t="s">
        <v>763</v>
      </c>
      <c r="S565" s="13" t="s">
        <v>910</v>
      </c>
    </row>
    <row r="566" spans="1:22" s="14" customFormat="1" ht="13.5" customHeight="1" ns3:dyDescent="0.25">
      <c r="A566" s="13" t="s">
        <v>757</v>
      </c>
      <c r="B566" s="25" t="str">
        <f t="shared" si="35"/>
      </c>
      <c r="C566" s="13" t="s">
        <v>102</v>
      </c>
      <c r="D566" s="13" t="s">
        <v>17</v>
      </c>
      <c r="E566" s="13" t="s">
        <v>120</v>
      </c>
      <c r="F566" s="13" t="s">
        <v>529</v>
      </c>
      <c r="G566" s="13" t="s">
        <v>10</v>
      </c>
      <c r="H566" s="13" t="str">
        <f>IFERROR(VLOOKUP(#REF!566,'정보화기기 명부'!A$2:B$187,2,FALSE),"")</f>
        <v/>
      </c>
      <c r="I566" s="13"/>
      <c r="J566" s="13"/>
      <c r="K566" s="13"/>
      <c r="L566" s="13">
        <v>20061228</v>
      </c>
      <c r="M566" s="13" t="s">
        <v>505</v>
      </c>
      <c r="N566" s="13" t="s">
        <v>1186</v>
      </c>
      <c r="O566" s="208">
        <v>398</v>
      </c>
      <c r="P566" s="13" t="s">
        <v>495</v>
      </c>
      <c r="Q566" s="13" t="s">
        <v>748</v>
      </c>
      <c r="R566" s="13" t="s">
        <v>735</v>
      </c>
      <c r="S566" s="13" t="s">
        <v>722</v>
      </c>
    </row>
    <row r="567" spans="1:22" s="14" customFormat="1" ht="13.5" customHeight="1" ns3:dyDescent="0.25">
      <c r="A567" s="13" t="s">
        <v>528</v>
      </c>
      <c r="B567" s="25" t="str">
        <f t="shared" si="35"/>
      </c>
      <c r="C567" s="13" t="s">
        <v>102</v>
      </c>
      <c r="D567" s="13" t="s">
        <v>17</v>
      </c>
      <c r="E567" s="13" t="s">
        <v>120</v>
      </c>
      <c r="F567" s="13" t="s">
        <v>529</v>
      </c>
      <c r="G567" s="13" t="s">
        <v>10</v>
      </c>
      <c r="H567" s="13" t="str">
        <f>IFERROR(VLOOKUP(#REF!567,'정보화기기 명부'!A$2:B$187,2,FALSE),"")</f>
        <v/>
      </c>
      <c r="I567" s="13"/>
      <c r="J567" s="13"/>
      <c r="K567" s="13"/>
      <c r="L567" s="13">
        <v>20061228</v>
      </c>
      <c r="M567" s="13" t="s">
        <v>505</v>
      </c>
      <c r="N567" s="13" t="s">
        <v>1186</v>
      </c>
      <c r="O567" s="208">
        <v>397</v>
      </c>
      <c r="P567" s="13" t="s">
        <v>495</v>
      </c>
      <c r="Q567" s="13" t="s">
        <v>748</v>
      </c>
      <c r="R567" s="13" t="s">
        <v>735</v>
      </c>
      <c r="S567" s="13" t="s">
        <v>722</v>
      </c>
    </row>
    <row r="568" spans="1:22" s="14" customFormat="1" ht="13.5" customHeight="1" ns3:dyDescent="0.25">
      <c r="A568" s="13" t="s">
        <v>507</v>
      </c>
      <c r="B568" s="25" t="str">
        <f t="shared" si="35"/>
      </c>
      <c r="C568" s="13" t="s">
        <v>102</v>
      </c>
      <c r="D568" s="13" t="s">
        <v>17</v>
      </c>
      <c r="E568" s="13" t="s">
        <v>120</v>
      </c>
      <c r="F568" s="13" t="s">
        <v>529</v>
      </c>
      <c r="G568" s="13" t="s">
        <v>10</v>
      </c>
      <c r="H568" s="13" t="str">
        <f>IFERROR(VLOOKUP(#REF!568,'정보화기기 명부'!A$2:B$187,2,FALSE),"")</f>
        <v/>
      </c>
      <c r="I568" s="13"/>
      <c r="J568" s="13"/>
      <c r="K568" s="13"/>
      <c r="L568" s="13">
        <v>20061228</v>
      </c>
      <c r="M568" s="13" t="s">
        <v>505</v>
      </c>
      <c r="N568" s="13" t="s">
        <v>1186</v>
      </c>
      <c r="O568" s="208">
        <v>396</v>
      </c>
      <c r="P568" s="13" t="s">
        <v>495</v>
      </c>
      <c r="Q568" s="13" t="s">
        <v>748</v>
      </c>
      <c r="R568" s="13" t="s">
        <v>735</v>
      </c>
      <c r="S568" s="13" t="s">
        <v>722</v>
      </c>
    </row>
    <row r="569" spans="1:22" s="14" customFormat="1" ht="13.5" customHeight="1" ns3:dyDescent="0.25">
      <c r="A569" s="13" t="s">
        <v>522</v>
      </c>
      <c r="B569" s="25" t="str">
        <f t="shared" si="35"/>
      </c>
      <c r="C569" s="13" t="s">
        <v>102</v>
      </c>
      <c r="D569" s="13" t="s">
        <v>17</v>
      </c>
      <c r="E569" s="13" t="s">
        <v>120</v>
      </c>
      <c r="F569" s="13" t="s">
        <v>529</v>
      </c>
      <c r="G569" s="13" t="s">
        <v>10</v>
      </c>
      <c r="H569" s="13" t="str">
        <f>IFERROR(VLOOKUP(#REF!569,'정보화기기 명부'!A$2:B$187,2,FALSE),"")</f>
        <v/>
      </c>
      <c r="I569" s="13"/>
      <c r="J569" s="13"/>
      <c r="K569" s="13"/>
      <c r="L569" s="13">
        <v>20061228</v>
      </c>
      <c r="M569" s="13" t="s">
        <v>505</v>
      </c>
      <c r="N569" s="13" t="s">
        <v>1186</v>
      </c>
      <c r="O569" s="208">
        <v>395</v>
      </c>
      <c r="P569" s="13" t="s">
        <v>495</v>
      </c>
      <c r="Q569" s="13" t="s">
        <v>748</v>
      </c>
      <c r="R569" s="13" t="s">
        <v>735</v>
      </c>
      <c r="S569" s="13" t="s">
        <v>722</v>
      </c>
    </row>
    <row r="570" spans="1:22" s="14" customFormat="1" ht="13.5" customHeight="1" ns3:dyDescent="0.25">
      <c r="A570" s="13" t="s">
        <v>198</v>
      </c>
      <c r="B570" s="25" t="str">
        <f t="shared" si="35"/>
      </c>
      <c r="C570" s="13" t="s">
        <v>102</v>
      </c>
      <c r="D570" s="13" t="s">
        <v>17</v>
      </c>
      <c r="E570" s="13" t="s">
        <v>120</v>
      </c>
      <c r="F570" s="13" t="s">
        <v>529</v>
      </c>
      <c r="G570" s="13" t="s">
        <v>10</v>
      </c>
      <c r="H570" s="13" t="str">
        <f>IFERROR(VLOOKUP(#REF!570,'정보화기기 명부'!A$2:B$187,2,FALSE),"")</f>
        <v/>
      </c>
      <c r="I570" s="13"/>
      <c r="J570" s="13"/>
      <c r="K570" s="13"/>
      <c r="L570" s="13">
        <v>20061228</v>
      </c>
      <c r="M570" s="13" t="s">
        <v>505</v>
      </c>
      <c r="N570" s="13" t="s">
        <v>1186</v>
      </c>
      <c r="O570" s="208">
        <v>394</v>
      </c>
      <c r="P570" s="13" t="s">
        <v>495</v>
      </c>
      <c r="Q570" s="13" t="s">
        <v>748</v>
      </c>
      <c r="R570" s="13" t="s">
        <v>735</v>
      </c>
      <c r="S570" s="13" t="s">
        <v>722</v>
      </c>
    </row>
    <row r="571" spans="1:22" s="14" customFormat="1" ht="13.5" customHeight="1" ns3:dyDescent="0.25">
      <c r="A571" s="13" t="s">
        <v>506</v>
      </c>
      <c r="B571" s="25" t="str">
        <f t="shared" si="35"/>
      </c>
      <c r="C571" s="13" t="s">
        <v>102</v>
      </c>
      <c r="D571" s="13" t="s">
        <v>17</v>
      </c>
      <c r="E571" s="13" t="s">
        <v>120</v>
      </c>
      <c r="F571" s="13" t="s">
        <v>529</v>
      </c>
      <c r="G571" s="13" t="s">
        <v>10</v>
      </c>
      <c r="H571" s="13" t="str">
        <f>IFERROR(VLOOKUP(#REF!571,'정보화기기 명부'!A$2:B$187,2,FALSE),"")</f>
        <v/>
      </c>
      <c r="I571" s="13"/>
      <c r="J571" s="13"/>
      <c r="K571" s="13"/>
      <c r="L571" s="13">
        <v>20061228</v>
      </c>
      <c r="M571" s="13" t="s">
        <v>505</v>
      </c>
      <c r="N571" s="13" t="s">
        <v>1186</v>
      </c>
      <c r="O571" s="208">
        <v>393</v>
      </c>
      <c r="P571" s="13" t="s">
        <v>495</v>
      </c>
      <c r="Q571" s="13" t="s">
        <v>748</v>
      </c>
      <c r="R571" s="13" t="s">
        <v>735</v>
      </c>
      <c r="S571" s="13" t="s">
        <v>722</v>
      </c>
    </row>
    <row r="572" spans="1:22" s="14" customFormat="1" ht="13.5" customHeight="1" ns3:dyDescent="0.25">
      <c r="A572" s="13" t="s">
        <v>1682</v>
      </c>
      <c r="B572" s="25" t="str">
        <f t="shared" si="35"/>
      </c>
      <c r="C572" s="13" t="s">
        <v>102</v>
      </c>
      <c r="D572" s="13" t="s">
        <v>17</v>
      </c>
      <c r="E572" s="13" t="s">
        <v>120</v>
      </c>
      <c r="F572" s="13" t="s">
        <v>529</v>
      </c>
      <c r="G572" s="13" t="s">
        <v>10</v>
      </c>
      <c r="H572" s="13" t="str">
        <f>IFERROR(VLOOKUP(#REF!572,'정보화기기 명부'!A$2:B$187,2,FALSE),"")</f>
        <v/>
      </c>
      <c r="I572" s="13"/>
      <c r="J572" s="13"/>
      <c r="K572" s="13"/>
      <c r="L572" s="13">
        <v>20061118</v>
      </c>
      <c r="M572" s="13" t="s">
        <v>519</v>
      </c>
      <c r="N572" s="13" t="s">
        <v>1186</v>
      </c>
      <c r="O572" s="208">
        <v>392</v>
      </c>
      <c r="P572" s="13" t="s">
        <v>495</v>
      </c>
      <c r="Q572" s="13" t="s">
        <v>748</v>
      </c>
      <c r="R572" s="13" t="s">
        <v>735</v>
      </c>
      <c r="S572" s="13" t="s">
        <v>722</v>
      </c>
    </row>
    <row r="573" spans="1:22" s="14" customFormat="1" ht="13.5" customHeight="1" ns3:dyDescent="0.25">
      <c r="A573" s="13" t="s">
        <v>504</v>
      </c>
      <c r="B573" s="25" t="str">
        <f t="shared" si="35"/>
      </c>
      <c r="C573" s="13" t="s">
        <v>102</v>
      </c>
      <c r="D573" s="13" t="s">
        <v>17</v>
      </c>
      <c r="E573" s="13" t="s">
        <v>120</v>
      </c>
      <c r="F573" s="13" t="s">
        <v>529</v>
      </c>
      <c r="G573" s="13" t="s">
        <v>10</v>
      </c>
      <c r="H573" s="13" t="str">
        <f>IFERROR(VLOOKUP(#REF!573,'정보화기기 명부'!A$2:B$187,2,FALSE),"")</f>
        <v/>
      </c>
      <c r="I573" s="13"/>
      <c r="J573" s="13"/>
      <c r="K573" s="13"/>
      <c r="L573" s="13">
        <v>20061118</v>
      </c>
      <c r="M573" s="13" t="s">
        <v>519</v>
      </c>
      <c r="N573" s="13" t="s">
        <v>1186</v>
      </c>
      <c r="O573" s="208">
        <v>391</v>
      </c>
      <c r="P573" s="13" t="s">
        <v>495</v>
      </c>
      <c r="Q573" s="13" t="s">
        <v>748</v>
      </c>
      <c r="R573" s="13" t="s">
        <v>735</v>
      </c>
      <c r="S573" s="13" t="s">
        <v>722</v>
      </c>
    </row>
    <row r="574" spans="1:22" s="14" customFormat="1" ht="13.5" customHeight="1" ns3:dyDescent="0.25">
      <c r="A574" s="13" t="s">
        <v>166</v>
      </c>
      <c r="B574" s="25" t="str">
        <f t="shared" si="35"/>
      </c>
      <c r="C574" s="13" t="s">
        <v>102</v>
      </c>
      <c r="D574" s="13" t="s">
        <v>17</v>
      </c>
      <c r="E574" s="13" t="s">
        <v>120</v>
      </c>
      <c r="F574" s="13" t="s">
        <v>529</v>
      </c>
      <c r="G574" s="13" t="s">
        <v>10</v>
      </c>
      <c r="H574" s="13" t="str">
        <f>IFERROR(VLOOKUP(#REF!574,'정보화기기 명부'!A$2:B$187,2,FALSE),"")</f>
        <v/>
      </c>
      <c r="I574" s="13"/>
      <c r="J574" s="13"/>
      <c r="K574" s="13"/>
      <c r="L574" s="13">
        <v>20061118</v>
      </c>
      <c r="M574" s="13" t="s">
        <v>519</v>
      </c>
      <c r="N574" s="13" t="s">
        <v>1186</v>
      </c>
      <c r="O574" s="208">
        <v>390</v>
      </c>
      <c r="P574" s="13" t="s">
        <v>495</v>
      </c>
      <c r="Q574" s="13" t="s">
        <v>748</v>
      </c>
      <c r="R574" s="13" t="s">
        <v>735</v>
      </c>
      <c r="S574" s="13" t="s">
        <v>722</v>
      </c>
    </row>
    <row r="575" spans="1:22" s="14" customFormat="1" ht="13.5" customHeight="1" ns3:dyDescent="0.25">
      <c r="A575" s="13" t="s">
        <v>501</v>
      </c>
      <c r="B575" s="25" t="str">
        <f t="shared" si="35"/>
      </c>
      <c r="C575" s="13" t="s">
        <v>102</v>
      </c>
      <c r="D575" s="13" t="s">
        <v>17</v>
      </c>
      <c r="E575" s="13" t="s">
        <v>120</v>
      </c>
      <c r="F575" s="13" t="s">
        <v>529</v>
      </c>
      <c r="G575" s="13" t="s">
        <v>10</v>
      </c>
      <c r="H575" s="13" t="str">
        <f>IFERROR(VLOOKUP(#REF!575,'정보화기기 명부'!A$2:B$187,2,FALSE),"")</f>
        <v/>
      </c>
      <c r="I575" s="13"/>
      <c r="J575" s="13"/>
      <c r="K575" s="13"/>
      <c r="L575" s="13">
        <v>20061118</v>
      </c>
      <c r="M575" s="13" t="s">
        <v>519</v>
      </c>
      <c r="N575" s="13" t="s">
        <v>1186</v>
      </c>
      <c r="O575" s="208">
        <v>389</v>
      </c>
      <c r="P575" s="13" t="s">
        <v>495</v>
      </c>
      <c r="Q575" s="13" t="s">
        <v>748</v>
      </c>
      <c r="R575" s="13" t="s">
        <v>735</v>
      </c>
      <c r="S575" s="13" t="s">
        <v>722</v>
      </c>
    </row>
    <row r="576" spans="1:22" s="14" customFormat="1" ht="13.5" customHeight="1" ns3:dyDescent="0.25">
      <c r="A576" s="13" t="s">
        <v>518</v>
      </c>
      <c r="B576" s="25" t="str">
        <f t="shared" si="35"/>
      </c>
      <c r="C576" s="13" t="s">
        <v>102</v>
      </c>
      <c r="D576" s="13" t="s">
        <v>17</v>
      </c>
      <c r="E576" s="13" t="s">
        <v>120</v>
      </c>
      <c r="F576" s="13" t="s">
        <v>529</v>
      </c>
      <c r="G576" s="13" t="s">
        <v>10</v>
      </c>
      <c r="H576" s="13" t="str">
        <f>IFERROR(VLOOKUP(#REF!576,'정보화기기 명부'!A$2:B$187,2,FALSE),"")</f>
        <v/>
      </c>
      <c r="I576" s="13"/>
      <c r="J576" s="13"/>
      <c r="K576" s="13"/>
      <c r="L576" s="13">
        <v>20061118</v>
      </c>
      <c r="M576" s="13" t="s">
        <v>519</v>
      </c>
      <c r="N576" s="13" t="s">
        <v>1186</v>
      </c>
      <c r="O576" s="208">
        <v>388</v>
      </c>
      <c r="P576" s="13" t="s">
        <v>495</v>
      </c>
      <c r="Q576" s="13" t="s">
        <v>748</v>
      </c>
      <c r="R576" s="13" t="s">
        <v>735</v>
      </c>
      <c r="S576" s="13" t="s">
        <v>722</v>
      </c>
    </row>
    <row r="577" spans="1:22" s="14" customFormat="1" ht="13.5" customHeight="1" ns3:dyDescent="0.25">
      <c r="A577" s="13" t="s">
        <v>1004</v>
      </c>
      <c r="B577" s="25" t="str">
        <f t="shared" si="35"/>
      </c>
      <c r="C577" s="13" t="s">
        <v>102</v>
      </c>
      <c r="D577" s="13" t="s">
        <v>17</v>
      </c>
      <c r="E577" s="13" t="s">
        <v>120</v>
      </c>
      <c r="F577" s="13" t="s">
        <v>529</v>
      </c>
      <c r="G577" s="13" t="s">
        <v>10</v>
      </c>
      <c r="H577" s="13" t="str">
        <f>IFERROR(VLOOKUP(#REF!577,'정보화기기 명부'!A$2:B$187,2,FALSE),"")</f>
        <v/>
      </c>
      <c r="I577" s="13"/>
      <c r="J577" s="13"/>
      <c r="K577" s="13"/>
      <c r="L577" s="13">
        <v>20061118</v>
      </c>
      <c r="M577" s="13" t="s">
        <v>519</v>
      </c>
      <c r="N577" s="13" t="s">
        <v>1186</v>
      </c>
      <c r="O577" s="208">
        <v>387</v>
      </c>
      <c r="P577" s="13" t="s">
        <v>495</v>
      </c>
      <c r="Q577" s="13" t="s">
        <v>748</v>
      </c>
      <c r="R577" s="13" t="s">
        <v>735</v>
      </c>
      <c r="S577" s="13" t="s">
        <v>722</v>
      </c>
    </row>
    <row r="578" spans="1:22" s="14" customFormat="1" ht="13.5" customHeight="1" ns3:dyDescent="0.25">
      <c r="A578" s="13" t="s">
        <v>521</v>
      </c>
      <c r="B578" s="25" t="str">
        <f t="shared" si="35"/>
      </c>
      <c r="C578" s="13" t="s">
        <v>102</v>
      </c>
      <c r="D578" s="13" t="s">
        <v>17</v>
      </c>
      <c r="E578" s="13" t="s">
        <v>120</v>
      </c>
      <c r="F578" s="13" t="s">
        <v>529</v>
      </c>
      <c r="G578" s="13" t="s">
        <v>10</v>
      </c>
      <c r="H578" s="13" t="str">
        <f>IFERROR(VLOOKUP(#REF!578,'정보화기기 명부'!A$2:B$187,2,FALSE),"")</f>
        <v/>
      </c>
      <c r="I578" s="13"/>
      <c r="J578" s="13"/>
      <c r="K578" s="13"/>
      <c r="L578" s="13">
        <v>20061118</v>
      </c>
      <c r="M578" s="13" t="s">
        <v>519</v>
      </c>
      <c r="N578" s="13" t="s">
        <v>1186</v>
      </c>
      <c r="O578" s="208">
        <v>386</v>
      </c>
      <c r="P578" s="13" t="s">
        <v>495</v>
      </c>
      <c r="Q578" s="13" t="s">
        <v>748</v>
      </c>
      <c r="R578" s="13" t="s">
        <v>735</v>
      </c>
      <c r="S578" s="13" t="s">
        <v>722</v>
      </c>
    </row>
    <row r="579" spans="1:22" s="14" customFormat="1" ht="13.5" customHeight="1" ns3:dyDescent="0.25">
      <c r="A579" s="13" t="s">
        <v>1263</v>
      </c>
      <c r="B579" s="25" t="str">
        <f t="shared" si="35"/>
      </c>
      <c r="C579" s="13" t="s">
        <v>102</v>
      </c>
      <c r="D579" s="13" t="s">
        <v>17</v>
      </c>
      <c r="E579" s="13" t="s">
        <v>120</v>
      </c>
      <c r="F579" s="13" t="s">
        <v>529</v>
      </c>
      <c r="G579" s="13" t="s">
        <v>10</v>
      </c>
      <c r="H579" s="13" t="str">
        <f>IFERROR(VLOOKUP(#REF!579,'정보화기기 명부'!A$2:B$187,2,FALSE),"")</f>
        <v/>
      </c>
      <c r="I579" s="13"/>
      <c r="J579" s="13"/>
      <c r="K579" s="13"/>
      <c r="L579" s="13">
        <v>20061118</v>
      </c>
      <c r="M579" s="13" t="s">
        <v>519</v>
      </c>
      <c r="N579" s="13" t="s">
        <v>1186</v>
      </c>
      <c r="O579" s="208">
        <v>385</v>
      </c>
      <c r="P579" s="13" t="s">
        <v>495</v>
      </c>
      <c r="Q579" s="13" t="s">
        <v>748</v>
      </c>
      <c r="R579" s="13" t="s">
        <v>735</v>
      </c>
      <c r="S579" s="13" t="s">
        <v>722</v>
      </c>
    </row>
    <row r="580" spans="1:22" s="14" customFormat="1" ht="13.5" customHeight="1" ns3:dyDescent="0.25">
      <c r="A580" s="13" t="s">
        <v>539</v>
      </c>
      <c r="B580" s="25" t="str">
        <f t="shared" si="35"/>
      </c>
      <c r="C580" s="13" t="s">
        <v>102</v>
      </c>
      <c r="D580" s="13" t="s">
        <v>17</v>
      </c>
      <c r="E580" s="13" t="s">
        <v>8</v>
      </c>
      <c r="F580" s="13" t="s">
        <v>535</v>
      </c>
      <c r="G580" s="13" t="s">
        <v>10</v>
      </c>
      <c r="H580" s="13" t="str">
        <f>IFERROR(VLOOKUP(#REF!580,'정보화기기 명부'!A$2:B$187,2,FALSE),"")</f>
        <v/>
      </c>
      <c r="I580" s="13"/>
      <c r="J580" s="13"/>
      <c r="K580" s="13"/>
      <c r="L580" s="13">
        <v>20060520</v>
      </c>
      <c r="M580" s="13" t="s">
        <v>524</v>
      </c>
      <c r="N580" s="13" t="s">
        <v>1191</v>
      </c>
      <c r="O580" s="208">
        <v>384</v>
      </c>
      <c r="P580" s="13" t="s">
        <v>495</v>
      </c>
      <c r="Q580" s="13" t="s">
        <v>1196</v>
      </c>
      <c r="R580" s="13" t="s">
        <v>768</v>
      </c>
      <c r="S580" s="13" t="s">
        <v>173</v>
      </c>
    </row>
    <row r="581" spans="1:22" s="14" customFormat="1" ht="13.5" customHeight="1" ns3:dyDescent="0.25">
      <c r="A581" s="13" t="s">
        <v>516</v>
      </c>
      <c r="B581" s="25" t="str">
        <f t="shared" si="35"/>
      </c>
      <c r="C581" s="13" t="s">
        <v>102</v>
      </c>
      <c r="D581" s="13" t="s">
        <v>17</v>
      </c>
      <c r="E581" s="13" t="s">
        <v>8</v>
      </c>
      <c r="F581" s="13" t="s">
        <v>535</v>
      </c>
      <c r="G581" s="13" t="s">
        <v>10</v>
      </c>
      <c r="H581" s="13" t="str">
        <f>IFERROR(VLOOKUP(#REF!581,'정보화기기 명부'!A$2:B$187,2,FALSE),"")</f>
        <v/>
      </c>
      <c r="I581" s="13"/>
      <c r="J581" s="13"/>
      <c r="K581" s="13"/>
      <c r="L581" s="13">
        <v>20060520</v>
      </c>
      <c r="M581" s="13" t="s">
        <v>524</v>
      </c>
      <c r="N581" s="13" t="s">
        <v>1191</v>
      </c>
      <c r="O581" s="208">
        <v>383</v>
      </c>
      <c r="P581" s="13" t="s">
        <v>495</v>
      </c>
      <c r="Q581" s="13" t="s">
        <v>1196</v>
      </c>
      <c r="R581" s="13" t="s">
        <v>768</v>
      </c>
      <c r="S581" s="13" t="s">
        <v>173</v>
      </c>
    </row>
    <row r="582" spans="1:22" s="14" customFormat="1" ht="13.5" customHeight="1" ns3:dyDescent="0.25">
      <c r="A582" s="13" t="s">
        <v>170</v>
      </c>
      <c r="B582" s="25" t="str">
        <f t="shared" si="35"/>
      </c>
      <c r="C582" s="13" t="s">
        <v>102</v>
      </c>
      <c r="D582" s="13" t="s">
        <v>17</v>
      </c>
      <c r="E582" s="13" t="s">
        <v>8</v>
      </c>
      <c r="F582" s="13" t="s">
        <v>535</v>
      </c>
      <c r="G582" s="13" t="s">
        <v>10</v>
      </c>
      <c r="H582" s="13" t="str">
        <f>IFERROR(VLOOKUP(#REF!582,'정보화기기 명부'!A$2:B$187,2,FALSE),"")</f>
        <v/>
      </c>
      <c r="I582" s="13"/>
      <c r="J582" s="13"/>
      <c r="K582" s="13"/>
      <c r="L582" s="13">
        <v>20060520</v>
      </c>
      <c r="M582" s="13" t="s">
        <v>524</v>
      </c>
      <c r="N582" s="13" t="s">
        <v>1191</v>
      </c>
      <c r="O582" s="208">
        <v>382</v>
      </c>
      <c r="P582" s="13" t="s">
        <v>495</v>
      </c>
      <c r="Q582" s="13" t="s">
        <v>1196</v>
      </c>
      <c r="R582" s="13" t="s">
        <v>768</v>
      </c>
      <c r="S582" s="13" t="s">
        <v>173</v>
      </c>
    </row>
    <row r="583" spans="1:22" s="14" customFormat="1" ht="13.5" customHeight="1" ns3:dyDescent="0.25">
      <c r="A583" s="13" t="s">
        <v>533</v>
      </c>
      <c r="B583" s="25" t="str">
        <f t="shared" si="35"/>
      </c>
      <c r="C583" s="13" t="s">
        <v>102</v>
      </c>
      <c r="D583" s="13" t="s">
        <v>17</v>
      </c>
      <c r="E583" s="13" t="s">
        <v>8</v>
      </c>
      <c r="F583" s="13" t="s">
        <v>535</v>
      </c>
      <c r="G583" s="13" t="s">
        <v>10</v>
      </c>
      <c r="H583" s="13" t="str">
        <f>IFERROR(VLOOKUP(#REF!583,'정보화기기 명부'!A$2:B$187,2,FALSE),"")</f>
        <v/>
      </c>
      <c r="I583" s="13"/>
      <c r="J583" s="13"/>
      <c r="K583" s="13"/>
      <c r="L583" s="13">
        <v>20060520</v>
      </c>
      <c r="M583" s="13" t="s">
        <v>524</v>
      </c>
      <c r="N583" s="13" t="s">
        <v>1191</v>
      </c>
      <c r="O583" s="208">
        <v>381</v>
      </c>
      <c r="P583" s="13" t="s">
        <v>495</v>
      </c>
      <c r="Q583" s="13" t="s">
        <v>1196</v>
      </c>
      <c r="R583" s="13" t="s">
        <v>768</v>
      </c>
      <c r="S583" s="13" t="s">
        <v>173</v>
      </c>
    </row>
    <row r="584" spans="1:22" s="14" customFormat="1" ht="13.5" customHeight="1" ns3:dyDescent="0.25">
      <c r="A584" s="13" t="s">
        <v>195</v>
      </c>
      <c r="B584" s="25" t="str">
        <f t="shared" si="35"/>
      </c>
      <c r="C584" s="13" t="s">
        <v>102</v>
      </c>
      <c r="D584" s="13" t="s">
        <v>17</v>
      </c>
      <c r="E584" s="13" t="s">
        <v>8</v>
      </c>
      <c r="F584" s="13" t="s">
        <v>523</v>
      </c>
      <c r="G584" s="13" t="s">
        <v>117</v>
      </c>
      <c r="H584" s="13" t="str">
        <f>IFERROR(VLOOKUP(#REF!584,'정보화기기 명부'!A$2:B$187,2,FALSE),"")</f>
        <v/>
      </c>
      <c r="I584" s="13"/>
      <c r="J584" s="13"/>
      <c r="K584" s="13"/>
      <c r="L584" s="13">
        <v>20060520</v>
      </c>
      <c r="M584" s="13" t="s">
        <v>530</v>
      </c>
      <c r="N584" s="13" t="s">
        <v>1186</v>
      </c>
      <c r="O584" s="208">
        <v>376</v>
      </c>
      <c r="P584" s="13" t="s">
        <v>495</v>
      </c>
      <c r="Q584" s="13" t="s">
        <v>737</v>
      </c>
      <c r="R584" s="13" t="s">
        <v>735</v>
      </c>
      <c r="S584" s="13" t="s">
        <v>761</v>
      </c>
    </row>
    <row r="585" spans="1:22" s="14" customFormat="1" ht="13.5" hidden="1" customHeight="1" ns3:dyDescent="0.25">
      <c r="A585" s="13" t="s">
        <v>164</v>
      </c>
      <c r="B585" s="25" t="str">
        <f t="shared" si="35"/>
      </c>
      <c r="C585" s="13" t="s">
        <v>1147</v>
      </c>
      <c r="D585" s="13" t="s">
        <v>17</v>
      </c>
      <c r="E585" s="13" t="s">
        <v>8</v>
      </c>
      <c r="F585" s="13" t="s">
        <v>1692</v>
      </c>
      <c r="G585" s="13" t="s">
        <v>117</v>
      </c>
      <c r="H585" s="13" t="str">
        <f>IFERROR(VLOOKUP(#REF!585,'정보화기기 명부'!A$2:B$187,2,FALSE),"")</f>
        <v/>
      </c>
      <c r="I585" s="13"/>
      <c r="J585" s="13"/>
      <c r="K585" s="13"/>
      <c r="L585" s="13">
        <v>20060508</v>
      </c>
      <c r="M585" s="13" t="s">
        <v>780</v>
      </c>
      <c r="N585" s="13" t="s">
        <v>1186</v>
      </c>
      <c r="O585" s="208">
        <v>379</v>
      </c>
      <c r="P585" s="13" t="s">
        <v>495</v>
      </c>
      <c r="Q585" s="13" t="s">
        <v>741</v>
      </c>
      <c r="R585" s="13" t="s">
        <v>763</v>
      </c>
      <c r="S585" s="13" t="s">
        <v>781</v>
      </c>
    </row>
    <row r="586" spans="1:22" s="14" customFormat="1" ht="13.5" hidden="1" customHeight="1" ns3:dyDescent="0.25">
      <c r="A586" s="13" t="s">
        <v>182</v>
      </c>
      <c r="B586" s="25" t="str">
        <f t="shared" si="35"/>
      </c>
      <c r="C586" s="13" t="s">
        <v>1147</v>
      </c>
      <c r="D586" s="13" t="s">
        <v>17</v>
      </c>
      <c r="E586" s="13" t="s">
        <v>8</v>
      </c>
      <c r="F586" s="13" t="s">
        <v>1692</v>
      </c>
      <c r="G586" s="13" t="s">
        <v>117</v>
      </c>
      <c r="H586" s="13" t="str">
        <f>IFERROR(VLOOKUP(#REF!586,'정보화기기 명부'!A$2:B$187,2,FALSE),"")</f>
        <v/>
      </c>
      <c r="I586" s="13"/>
      <c r="J586" s="13"/>
      <c r="K586" s="13"/>
      <c r="L586" s="13">
        <v>20060508</v>
      </c>
      <c r="M586" s="13" t="s">
        <v>780</v>
      </c>
      <c r="N586" s="13" t="s">
        <v>1186</v>
      </c>
      <c r="O586" s="208">
        <v>378</v>
      </c>
      <c r="P586" s="13" t="s">
        <v>495</v>
      </c>
      <c r="Q586" s="13" t="s">
        <v>741</v>
      </c>
      <c r="R586" s="13" t="s">
        <v>763</v>
      </c>
      <c r="S586" s="13" t="s">
        <v>781</v>
      </c>
    </row>
    <row r="587" spans="1:22" s="14" customFormat="1" ht="13.5" hidden="1" customHeight="1" ns3:dyDescent="0.25">
      <c r="A587" s="13" t="s">
        <v>155</v>
      </c>
      <c r="B587" s="25" t="str">
        <f t="shared" si="35"/>
      </c>
      <c r="C587" s="13" t="s">
        <v>1147</v>
      </c>
      <c r="D587" s="13" t="s">
        <v>17</v>
      </c>
      <c r="E587" s="13" t="s">
        <v>8</v>
      </c>
      <c r="F587" s="13" t="s">
        <v>1692</v>
      </c>
      <c r="G587" s="13" t="s">
        <v>117</v>
      </c>
      <c r="H587" s="13" t="str">
        <f>IFERROR(VLOOKUP(#REF!587,'정보화기기 명부'!A$2:B$187,2,FALSE),"")</f>
        <v/>
      </c>
      <c r="I587" s="13"/>
      <c r="J587" s="13"/>
      <c r="K587" s="13"/>
      <c r="L587" s="13">
        <v>20060502</v>
      </c>
      <c r="M587" s="13" t="s">
        <v>780</v>
      </c>
      <c r="N587" s="13" t="s">
        <v>1186</v>
      </c>
      <c r="O587" s="208">
        <v>375</v>
      </c>
      <c r="P587" s="13" t="s">
        <v>495</v>
      </c>
      <c r="Q587" s="13" t="s">
        <v>741</v>
      </c>
      <c r="R587" s="13" t="s">
        <v>763</v>
      </c>
      <c r="S587" s="13" t="s">
        <v>781</v>
      </c>
    </row>
    <row r="588" spans="1:22" s="14" customFormat="1" ht="13.5" hidden="1" customHeight="1" ns3:dyDescent="0.25">
      <c r="A588" s="13" t="s">
        <v>155</v>
      </c>
      <c r="B588" s="25" t="str">
        <f t="shared" si="35"/>
      </c>
      <c r="C588" s="13" t="s">
        <v>1147</v>
      </c>
      <c r="D588" s="13" t="s">
        <v>17</v>
      </c>
      <c r="E588" s="13" t="s">
        <v>8</v>
      </c>
      <c r="F588" s="13" t="s">
        <v>1692</v>
      </c>
      <c r="G588" s="13" t="s">
        <v>117</v>
      </c>
      <c r="H588" s="13" t="str">
        <f>IFERROR(VLOOKUP(#REF!588,'정보화기기 명부'!A$2:B$187,2,FALSE),"")</f>
        <v/>
      </c>
      <c r="I588" s="13"/>
      <c r="J588" s="13"/>
      <c r="K588" s="13"/>
      <c r="L588" s="13">
        <v>20060502</v>
      </c>
      <c r="M588" s="13" t="s">
        <v>780</v>
      </c>
      <c r="N588" s="13" t="s">
        <v>1186</v>
      </c>
      <c r="O588" s="208">
        <v>374</v>
      </c>
      <c r="P588" s="13" t="s">
        <v>495</v>
      </c>
      <c r="Q588" s="13" t="s">
        <v>741</v>
      </c>
      <c r="R588" s="13" t="s">
        <v>763</v>
      </c>
      <c r="S588" s="13" t="s">
        <v>781</v>
      </c>
    </row>
    <row r="589" spans="1:22" s="14" customFormat="1" ht="13.5" hidden="1" customHeight="1" ns3:dyDescent="0.25">
      <c r="A589" s="13" t="s">
        <v>155</v>
      </c>
      <c r="B589" s="25" t="str">
        <f t="shared" si="35"/>
      </c>
      <c r="C589" s="13" t="s">
        <v>1147</v>
      </c>
      <c r="D589" s="13" t="s">
        <v>17</v>
      </c>
      <c r="E589" s="13" t="s">
        <v>55</v>
      </c>
      <c r="F589" s="13" t="s">
        <v>1692</v>
      </c>
      <c r="G589" s="13" t="s">
        <v>117</v>
      </c>
      <c r="H589" s="13" t="str">
        <f>IFERROR(VLOOKUP(#REF!589,'정보화기기 명부'!A$2:B$187,2,FALSE),"")</f>
        <v/>
      </c>
      <c r="I589" s="13"/>
      <c r="J589" s="13" t="s">
        <v>738</v>
      </c>
      <c r="K589" s="13"/>
      <c r="L589" s="13">
        <v>20060502</v>
      </c>
      <c r="M589" s="13" t="s">
        <v>780</v>
      </c>
      <c r="N589" s="13" t="s">
        <v>1186</v>
      </c>
      <c r="O589" s="208">
        <v>373</v>
      </c>
      <c r="P589" s="13" t="s">
        <v>495</v>
      </c>
      <c r="Q589" s="13" t="s">
        <v>741</v>
      </c>
      <c r="R589" s="13" t="s">
        <v>763</v>
      </c>
      <c r="S589" s="13" t="s">
        <v>781</v>
      </c>
    </row>
    <row r="590" spans="1:22" s="14" customFormat="1" ht="13.5" hidden="1" customHeight="1" ns3:dyDescent="0.25">
      <c r="A590" s="13" t="s">
        <v>164</v>
      </c>
      <c r="B590" s="25" t="str">
        <f t="shared" si="35"/>
      </c>
      <c r="C590" s="13" t="s">
        <v>1147</v>
      </c>
      <c r="D590" s="13" t="s">
        <v>17</v>
      </c>
      <c r="E590" s="13" t="s">
        <v>55</v>
      </c>
      <c r="F590" s="13" t="s">
        <v>1692</v>
      </c>
      <c r="G590" s="13" t="s">
        <v>117</v>
      </c>
      <c r="H590" s="13" t="str">
        <f>IFERROR(VLOOKUP(#REF!590,'정보화기기 명부'!A$2:B$187,2,FALSE),"")</f>
        <v/>
      </c>
      <c r="I590" s="13"/>
      <c r="J590" s="13" t="s">
        <v>738</v>
      </c>
      <c r="K590" s="13"/>
      <c r="L590" s="13">
        <v>20060502</v>
      </c>
      <c r="M590" s="13" t="s">
        <v>780</v>
      </c>
      <c r="N590" s="13" t="s">
        <v>1186</v>
      </c>
      <c r="O590" s="208">
        <v>372</v>
      </c>
      <c r="P590" s="13" t="s">
        <v>495</v>
      </c>
      <c r="Q590" s="13" t="s">
        <v>741</v>
      </c>
      <c r="R590" s="13" t="s">
        <v>763</v>
      </c>
      <c r="S590" s="13" t="s">
        <v>781</v>
      </c>
    </row>
    <row r="591" spans="1:22" s="14" customFormat="1" ht="13.5" hidden="1" customHeight="1" ns3:dyDescent="0.25">
      <c r="A591" s="13" t="s">
        <v>164</v>
      </c>
      <c r="B591" s="25" t="str">
        <f t="shared" si="35"/>
      </c>
      <c r="C591" s="13" t="s">
        <v>1147</v>
      </c>
      <c r="D591" s="13" t="s">
        <v>17</v>
      </c>
      <c r="E591" s="13" t="s">
        <v>55</v>
      </c>
      <c r="F591" s="13" t="s">
        <v>1692</v>
      </c>
      <c r="G591" s="13" t="s">
        <v>117</v>
      </c>
      <c r="H591" s="13" t="str">
        <f>IFERROR(VLOOKUP(#REF!591,'정보화기기 명부'!A$2:B$187,2,FALSE),"")</f>
        <v/>
      </c>
      <c r="I591" s="13"/>
      <c r="J591" s="13" t="s">
        <v>738</v>
      </c>
      <c r="K591" s="13"/>
      <c r="L591" s="13">
        <v>20060502</v>
      </c>
      <c r="M591" s="13" t="s">
        <v>780</v>
      </c>
      <c r="N591" s="13" t="s">
        <v>1186</v>
      </c>
      <c r="O591" s="208">
        <v>371</v>
      </c>
      <c r="P591" s="13" t="s">
        <v>495</v>
      </c>
      <c r="Q591" s="13" t="s">
        <v>741</v>
      </c>
      <c r="R591" s="13" t="s">
        <v>763</v>
      </c>
      <c r="S591" s="13" t="s">
        <v>781</v>
      </c>
    </row>
    <row r="592" spans="1:22" s="14" customFormat="1" ht="13.5" hidden="1" customHeight="1" ns3:dyDescent="0.25">
      <c r="A592" s="13" t="s">
        <v>22</v>
      </c>
      <c r="B592" s="25" t="str">
        <f t="shared" si="35"/>
      </c>
      <c r="C592" s="13" t="s">
        <v>1147</v>
      </c>
      <c r="D592" s="13" t="s">
        <v>17</v>
      </c>
      <c r="E592" s="13" t="s">
        <v>55</v>
      </c>
      <c r="F592" s="13" t="s">
        <v>1692</v>
      </c>
      <c r="G592" s="13" t="s">
        <v>117</v>
      </c>
      <c r="H592" s="13" t="str">
        <f>IFERROR(VLOOKUP(#REF!592,'정보화기기 명부'!A$2:B$187,2,FALSE),"")</f>
        <v/>
      </c>
      <c r="I592" s="13"/>
      <c r="J592" s="13" t="s">
        <v>738</v>
      </c>
      <c r="K592" s="13"/>
      <c r="L592" s="13">
        <v>20060502</v>
      </c>
      <c r="M592" s="13" t="s">
        <v>780</v>
      </c>
      <c r="N592" s="13" t="s">
        <v>1186</v>
      </c>
      <c r="O592" s="208">
        <v>370</v>
      </c>
      <c r="P592" s="13" t="s">
        <v>495</v>
      </c>
      <c r="Q592" s="13" t="s">
        <v>741</v>
      </c>
      <c r="R592" s="13" t="s">
        <v>763</v>
      </c>
      <c r="S592" s="13" t="s">
        <v>781</v>
      </c>
    </row>
    <row r="593" spans="1:22" s="14" customFormat="1" ht="13.5" hidden="1" customHeight="1" ns3:dyDescent="0.25">
      <c r="A593" s="13" t="s">
        <v>164</v>
      </c>
      <c r="B593" s="25" t="str">
        <f t="shared" si="35"/>
      </c>
      <c r="C593" s="13" t="s">
        <v>1147</v>
      </c>
      <c r="D593" s="13" t="s">
        <v>17</v>
      </c>
      <c r="E593" s="13" t="s">
        <v>55</v>
      </c>
      <c r="F593" s="13" t="s">
        <v>1692</v>
      </c>
      <c r="G593" s="13" t="s">
        <v>117</v>
      </c>
      <c r="H593" s="13" t="str">
        <f>IFERROR(VLOOKUP(#REF!593,'정보화기기 명부'!A$2:B$187,2,FALSE),"")</f>
        <v/>
      </c>
      <c r="I593" s="13"/>
      <c r="J593" s="13" t="s">
        <v>738</v>
      </c>
      <c r="K593" s="13"/>
      <c r="L593" s="13">
        <v>20060502</v>
      </c>
      <c r="M593" s="13" t="s">
        <v>780</v>
      </c>
      <c r="N593" s="13" t="s">
        <v>1186</v>
      </c>
      <c r="O593" s="208">
        <v>369</v>
      </c>
      <c r="P593" s="13" t="s">
        <v>495</v>
      </c>
      <c r="Q593" s="13" t="s">
        <v>741</v>
      </c>
      <c r="R593" s="13" t="s">
        <v>763</v>
      </c>
      <c r="S593" s="13" t="s">
        <v>781</v>
      </c>
    </row>
    <row r="594" spans="1:22" s="14" customFormat="1" ht="13.5" hidden="1" customHeight="1" ns3:dyDescent="0.25">
      <c r="A594" s="13" t="s">
        <v>164</v>
      </c>
      <c r="B594" s="25" t="str">
        <f t="shared" si="35"/>
      </c>
      <c r="C594" s="13" t="s">
        <v>1147</v>
      </c>
      <c r="D594" s="13" t="s">
        <v>17</v>
      </c>
      <c r="E594" s="13" t="s">
        <v>55</v>
      </c>
      <c r="F594" s="13" t="s">
        <v>1692</v>
      </c>
      <c r="G594" s="13" t="s">
        <v>117</v>
      </c>
      <c r="H594" s="13" t="str">
        <f>IFERROR(VLOOKUP(#REF!594,'정보화기기 명부'!A$2:B$187,2,FALSE),"")</f>
        <v/>
      </c>
      <c r="I594" s="13"/>
      <c r="J594" s="13" t="s">
        <v>738</v>
      </c>
      <c r="K594" s="13"/>
      <c r="L594" s="13">
        <v>20060502</v>
      </c>
      <c r="M594" s="13" t="s">
        <v>780</v>
      </c>
      <c r="N594" s="13" t="s">
        <v>1186</v>
      </c>
      <c r="O594" s="208">
        <v>368</v>
      </c>
      <c r="P594" s="13" t="s">
        <v>495</v>
      </c>
      <c r="Q594" s="13" t="s">
        <v>741</v>
      </c>
      <c r="R594" s="13" t="s">
        <v>763</v>
      </c>
      <c r="S594" s="13" t="s">
        <v>781</v>
      </c>
    </row>
    <row r="595" spans="1:22" s="14" customFormat="1" ht="13.5" hidden="1" customHeight="1" ns3:dyDescent="0.25">
      <c r="A595" s="13" t="s">
        <v>164</v>
      </c>
      <c r="B595" s="25" t="str">
        <f t="shared" si="35"/>
      </c>
      <c r="C595" s="13" t="s">
        <v>1147</v>
      </c>
      <c r="D595" s="13" t="s">
        <v>17</v>
      </c>
      <c r="E595" s="13" t="s">
        <v>55</v>
      </c>
      <c r="F595" s="13" t="s">
        <v>1692</v>
      </c>
      <c r="G595" s="13" t="s">
        <v>117</v>
      </c>
      <c r="H595" s="13" t="str">
        <f>IFERROR(VLOOKUP(#REF!595,'정보화기기 명부'!A$2:B$187,2,FALSE),"")</f>
        <v/>
      </c>
      <c r="I595" s="13"/>
      <c r="J595" s="13" t="s">
        <v>738</v>
      </c>
      <c r="K595" s="13"/>
      <c r="L595" s="13">
        <v>20060502</v>
      </c>
      <c r="M595" s="13" t="s">
        <v>780</v>
      </c>
      <c r="N595" s="13" t="s">
        <v>1186</v>
      </c>
      <c r="O595" s="208">
        <v>367</v>
      </c>
      <c r="P595" s="13" t="s">
        <v>495</v>
      </c>
      <c r="Q595" s="13" t="s">
        <v>741</v>
      </c>
      <c r="R595" s="13" t="s">
        <v>763</v>
      </c>
      <c r="S595" s="13" t="s">
        <v>781</v>
      </c>
    </row>
    <row r="596" spans="1:22" s="14" customFormat="1" ht="13.5" hidden="1" customHeight="1" ns3:dyDescent="0.25">
      <c r="A596" s="13" t="s">
        <v>164</v>
      </c>
      <c r="B596" s="25" t="str">
        <f t="shared" si="35"/>
      </c>
      <c r="C596" s="13" t="s">
        <v>1147</v>
      </c>
      <c r="D596" s="13" t="s">
        <v>17</v>
      </c>
      <c r="E596" s="13" t="s">
        <v>55</v>
      </c>
      <c r="F596" s="13" t="s">
        <v>1692</v>
      </c>
      <c r="G596" s="13" t="s">
        <v>117</v>
      </c>
      <c r="H596" s="13" t="str">
        <f>IFERROR(VLOOKUP(#REF!596,'정보화기기 명부'!A$2:B$187,2,FALSE),"")</f>
        <v/>
      </c>
      <c r="I596" s="13"/>
      <c r="J596" s="13" t="s">
        <v>738</v>
      </c>
      <c r="K596" s="13"/>
      <c r="L596" s="13">
        <v>20060502</v>
      </c>
      <c r="M596" s="13" t="s">
        <v>780</v>
      </c>
      <c r="N596" s="13" t="s">
        <v>1186</v>
      </c>
      <c r="O596" s="208">
        <v>366</v>
      </c>
      <c r="P596" s="13" t="s">
        <v>495</v>
      </c>
      <c r="Q596" s="13" t="s">
        <v>741</v>
      </c>
      <c r="R596" s="13" t="s">
        <v>763</v>
      </c>
      <c r="S596" s="13" t="s">
        <v>781</v>
      </c>
    </row>
    <row r="597" spans="1:22" s="14" customFormat="1" ht="13.5" hidden="1" customHeight="1" ns3:dyDescent="0.25">
      <c r="A597" s="13" t="s">
        <v>164</v>
      </c>
      <c r="B597" s="25" t="str">
        <f t="shared" si="35"/>
      </c>
      <c r="C597" s="13" t="s">
        <v>1147</v>
      </c>
      <c r="D597" s="13" t="s">
        <v>17</v>
      </c>
      <c r="E597" s="13" t="s">
        <v>55</v>
      </c>
      <c r="F597" s="13" t="s">
        <v>1692</v>
      </c>
      <c r="G597" s="13" t="s">
        <v>117</v>
      </c>
      <c r="H597" s="13" t="str">
        <f>IFERROR(VLOOKUP(#REF!597,'정보화기기 명부'!A$2:B$187,2,FALSE),"")</f>
        <v/>
      </c>
      <c r="I597" s="13"/>
      <c r="J597" s="13" t="s">
        <v>738</v>
      </c>
      <c r="K597" s="13"/>
      <c r="L597" s="13">
        <v>20060502</v>
      </c>
      <c r="M597" s="13" t="s">
        <v>780</v>
      </c>
      <c r="N597" s="13" t="s">
        <v>1186</v>
      </c>
      <c r="O597" s="208">
        <v>365</v>
      </c>
      <c r="P597" s="13" t="s">
        <v>495</v>
      </c>
      <c r="Q597" s="13" t="s">
        <v>741</v>
      </c>
      <c r="R597" s="13" t="s">
        <v>763</v>
      </c>
      <c r="S597" s="13" t="s">
        <v>781</v>
      </c>
    </row>
    <row r="598" spans="1:22" s="14" customFormat="1" ht="13.5" hidden="1" customHeight="1" ns3:dyDescent="0.25">
      <c r="A598" s="13" t="s">
        <v>164</v>
      </c>
      <c r="B598" s="25" t="str">
        <f t="shared" si="35"/>
      </c>
      <c r="C598" s="13" t="s">
        <v>1147</v>
      </c>
      <c r="D598" s="13" t="s">
        <v>17</v>
      </c>
      <c r="E598" s="13" t="s">
        <v>55</v>
      </c>
      <c r="F598" s="13" t="s">
        <v>1692</v>
      </c>
      <c r="G598" s="13" t="s">
        <v>117</v>
      </c>
      <c r="H598" s="13" t="str">
        <f>IFERROR(VLOOKUP(#REF!598,'정보화기기 명부'!A$2:B$187,2,FALSE),"")</f>
        <v/>
      </c>
      <c r="I598" s="13"/>
      <c r="J598" s="13" t="s">
        <v>738</v>
      </c>
      <c r="K598" s="13"/>
      <c r="L598" s="13">
        <v>20060502</v>
      </c>
      <c r="M598" s="13" t="s">
        <v>780</v>
      </c>
      <c r="N598" s="13" t="s">
        <v>1186</v>
      </c>
      <c r="O598" s="208">
        <v>364</v>
      </c>
      <c r="P598" s="13" t="s">
        <v>495</v>
      </c>
      <c r="Q598" s="13" t="s">
        <v>741</v>
      </c>
      <c r="R598" s="13" t="s">
        <v>763</v>
      </c>
      <c r="S598" s="13" t="s">
        <v>781</v>
      </c>
    </row>
    <row r="599" spans="1:22" s="14" customFormat="1" ht="13.5" hidden="1" customHeight="1" ns3:dyDescent="0.25">
      <c r="A599" s="13" t="s">
        <v>164</v>
      </c>
      <c r="B599" s="25" t="str">
        <f t="shared" si="35"/>
      </c>
      <c r="C599" s="13" t="s">
        <v>1147</v>
      </c>
      <c r="D599" s="13" t="s">
        <v>17</v>
      </c>
      <c r="E599" s="13" t="s">
        <v>55</v>
      </c>
      <c r="F599" s="13" t="s">
        <v>1692</v>
      </c>
      <c r="G599" s="13" t="s">
        <v>117</v>
      </c>
      <c r="H599" s="13" t="str">
        <f>IFERROR(VLOOKUP(#REF!599,'정보화기기 명부'!A$2:B$187,2,FALSE),"")</f>
        <v/>
      </c>
      <c r="I599" s="13"/>
      <c r="J599" s="13" t="s">
        <v>738</v>
      </c>
      <c r="K599" s="13"/>
      <c r="L599" s="13">
        <v>20060502</v>
      </c>
      <c r="M599" s="13" t="s">
        <v>780</v>
      </c>
      <c r="N599" s="13" t="s">
        <v>1186</v>
      </c>
      <c r="O599" s="208">
        <v>363</v>
      </c>
      <c r="P599" s="13" t="s">
        <v>495</v>
      </c>
      <c r="Q599" s="13" t="s">
        <v>741</v>
      </c>
      <c r="R599" s="13" t="s">
        <v>763</v>
      </c>
      <c r="S599" s="13" t="s">
        <v>781</v>
      </c>
    </row>
    <row r="600" spans="1:22" s="14" customFormat="1" ht="13.5" hidden="1" customHeight="1" ns3:dyDescent="0.25">
      <c r="A600" s="13" t="s">
        <v>164</v>
      </c>
      <c r="B600" s="25" t="str">
        <f t="shared" si="35"/>
      </c>
      <c r="C600" s="13" t="s">
        <v>1147</v>
      </c>
      <c r="D600" s="13" t="s">
        <v>17</v>
      </c>
      <c r="E600" s="13" t="s">
        <v>55</v>
      </c>
      <c r="F600" s="13" t="s">
        <v>1692</v>
      </c>
      <c r="G600" s="13" t="s">
        <v>117</v>
      </c>
      <c r="H600" s="13" t="str">
        <f>IFERROR(VLOOKUP(#REF!600,'정보화기기 명부'!A$2:B$187,2,FALSE),"")</f>
        <v/>
      </c>
      <c r="I600" s="13"/>
      <c r="J600" s="13" t="s">
        <v>738</v>
      </c>
      <c r="K600" s="13"/>
      <c r="L600" s="13">
        <v>20060502</v>
      </c>
      <c r="M600" s="13" t="s">
        <v>780</v>
      </c>
      <c r="N600" s="13" t="s">
        <v>1186</v>
      </c>
      <c r="O600" s="208">
        <v>362</v>
      </c>
      <c r="P600" s="13" t="s">
        <v>495</v>
      </c>
      <c r="Q600" s="13" t="s">
        <v>741</v>
      </c>
      <c r="R600" s="13" t="s">
        <v>763</v>
      </c>
      <c r="S600" s="13" t="s">
        <v>781</v>
      </c>
    </row>
    <row r="601" spans="1:22" s="14" customFormat="1" ht="13.5" hidden="1" customHeight="1" ns3:dyDescent="0.25">
      <c r="A601" s="13" t="s">
        <v>164</v>
      </c>
      <c r="B601" s="25" t="str">
        <f t="shared" si="35"/>
      </c>
      <c r="C601" s="13" t="s">
        <v>1147</v>
      </c>
      <c r="D601" s="13" t="s">
        <v>17</v>
      </c>
      <c r="E601" s="13" t="s">
        <v>55</v>
      </c>
      <c r="F601" s="13" t="s">
        <v>1692</v>
      </c>
      <c r="G601" s="13" t="s">
        <v>117</v>
      </c>
      <c r="H601" s="13" t="str">
        <f>IFERROR(VLOOKUP(#REF!601,'정보화기기 명부'!A$2:B$187,2,FALSE),"")</f>
        <v/>
      </c>
      <c r="I601" s="13"/>
      <c r="J601" s="13" t="s">
        <v>738</v>
      </c>
      <c r="K601" s="13"/>
      <c r="L601" s="13">
        <v>20060502</v>
      </c>
      <c r="M601" s="13" t="s">
        <v>780</v>
      </c>
      <c r="N601" s="13" t="s">
        <v>1186</v>
      </c>
      <c r="O601" s="208">
        <v>361</v>
      </c>
      <c r="P601" s="13" t="s">
        <v>495</v>
      </c>
      <c r="Q601" s="13" t="s">
        <v>741</v>
      </c>
      <c r="R601" s="13" t="s">
        <v>763</v>
      </c>
      <c r="S601" s="13" t="s">
        <v>781</v>
      </c>
    </row>
    <row r="602" spans="1:22" s="14" customFormat="1" ht="13.5" hidden="1" customHeight="1" ns3:dyDescent="0.25">
      <c r="A602" s="13" t="s">
        <v>164</v>
      </c>
      <c r="B602" s="25" t="str">
        <f t="shared" si="35"/>
      </c>
      <c r="C602" s="13" t="s">
        <v>1147</v>
      </c>
      <c r="D602" s="13" t="s">
        <v>17</v>
      </c>
      <c r="E602" s="13" t="s">
        <v>55</v>
      </c>
      <c r="F602" s="13" t="s">
        <v>1692</v>
      </c>
      <c r="G602" s="13" t="s">
        <v>117</v>
      </c>
      <c r="H602" s="13" t="str">
        <f>IFERROR(VLOOKUP(#REF!602,'정보화기기 명부'!A$2:B$187,2,FALSE),"")</f>
        <v/>
      </c>
      <c r="I602" s="13"/>
      <c r="J602" s="13" t="s">
        <v>738</v>
      </c>
      <c r="K602" s="13"/>
      <c r="L602" s="13">
        <v>20060502</v>
      </c>
      <c r="M602" s="13" t="s">
        <v>780</v>
      </c>
      <c r="N602" s="13" t="s">
        <v>1186</v>
      </c>
      <c r="O602" s="208">
        <v>360</v>
      </c>
      <c r="P602" s="13" t="s">
        <v>495</v>
      </c>
      <c r="Q602" s="13" t="s">
        <v>741</v>
      </c>
      <c r="R602" s="13" t="s">
        <v>763</v>
      </c>
      <c r="S602" s="13" t="s">
        <v>781</v>
      </c>
    </row>
    <row r="603" spans="1:22" s="14" customFormat="1" ht="13.5" hidden="1" customHeight="1" ns3:dyDescent="0.25">
      <c r="A603" s="13" t="s">
        <v>164</v>
      </c>
      <c r="B603" s="25" t="str">
        <f t="shared" si="35"/>
      </c>
      <c r="C603" s="13" t="s">
        <v>1147</v>
      </c>
      <c r="D603" s="13" t="s">
        <v>17</v>
      </c>
      <c r="E603" s="13" t="s">
        <v>55</v>
      </c>
      <c r="F603" s="13" t="s">
        <v>1692</v>
      </c>
      <c r="G603" s="13" t="s">
        <v>117</v>
      </c>
      <c r="H603" s="13" t="str">
        <f>IFERROR(VLOOKUP(#REF!603,'정보화기기 명부'!A$2:B$187,2,FALSE),"")</f>
        <v/>
      </c>
      <c r="I603" s="13"/>
      <c r="J603" s="13" t="s">
        <v>738</v>
      </c>
      <c r="K603" s="13"/>
      <c r="L603" s="13">
        <v>20060502</v>
      </c>
      <c r="M603" s="13" t="s">
        <v>780</v>
      </c>
      <c r="N603" s="13" t="s">
        <v>1186</v>
      </c>
      <c r="O603" s="208">
        <v>359</v>
      </c>
      <c r="P603" s="13" t="s">
        <v>495</v>
      </c>
      <c r="Q603" s="13" t="s">
        <v>741</v>
      </c>
      <c r="R603" s="13" t="s">
        <v>763</v>
      </c>
      <c r="S603" s="13" t="s">
        <v>781</v>
      </c>
    </row>
    <row r="604" spans="1:22" s="14" customFormat="1" ht="13.5" hidden="1" customHeight="1" ns3:dyDescent="0.25">
      <c r="A604" s="13" t="s">
        <v>164</v>
      </c>
      <c r="B604" s="25" t="str">
        <f t="shared" si="35"/>
      </c>
      <c r="C604" s="13" t="s">
        <v>1147</v>
      </c>
      <c r="D604" s="13" t="s">
        <v>17</v>
      </c>
      <c r="E604" s="13" t="s">
        <v>55</v>
      </c>
      <c r="F604" s="13" t="s">
        <v>1692</v>
      </c>
      <c r="G604" s="13" t="s">
        <v>117</v>
      </c>
      <c r="H604" s="13" t="str">
        <f>IFERROR(VLOOKUP(#REF!604,'정보화기기 명부'!A$2:B$187,2,FALSE),"")</f>
        <v/>
      </c>
      <c r="I604" s="13"/>
      <c r="J604" s="13" t="s">
        <v>738</v>
      </c>
      <c r="K604" s="13"/>
      <c r="L604" s="13">
        <v>20060502</v>
      </c>
      <c r="M604" s="13" t="s">
        <v>780</v>
      </c>
      <c r="N604" s="13" t="s">
        <v>1186</v>
      </c>
      <c r="O604" s="208">
        <v>358</v>
      </c>
      <c r="P604" s="13" t="s">
        <v>495</v>
      </c>
      <c r="Q604" s="13" t="s">
        <v>741</v>
      </c>
      <c r="R604" s="13" t="s">
        <v>763</v>
      </c>
      <c r="S604" s="13" t="s">
        <v>781</v>
      </c>
    </row>
    <row r="605" spans="1:22" s="14" customFormat="1" ht="13.5" hidden="1" customHeight="1" ns3:dyDescent="0.25">
      <c r="A605" s="13" t="s">
        <v>164</v>
      </c>
      <c r="B605" s="25" t="str">
        <f t="shared" si="35"/>
      </c>
      <c r="C605" s="13" t="s">
        <v>1147</v>
      </c>
      <c r="D605" s="13" t="s">
        <v>17</v>
      </c>
      <c r="E605" s="13" t="s">
        <v>55</v>
      </c>
      <c r="F605" s="13" t="s">
        <v>1692</v>
      </c>
      <c r="G605" s="13" t="s">
        <v>117</v>
      </c>
      <c r="H605" s="13" t="str">
        <f>IFERROR(VLOOKUP(#REF!605,'정보화기기 명부'!A$2:B$187,2,FALSE),"")</f>
        <v/>
      </c>
      <c r="I605" s="13"/>
      <c r="J605" s="13" t="s">
        <v>738</v>
      </c>
      <c r="K605" s="13"/>
      <c r="L605" s="13">
        <v>20060502</v>
      </c>
      <c r="M605" s="13" t="s">
        <v>780</v>
      </c>
      <c r="N605" s="13" t="s">
        <v>1186</v>
      </c>
      <c r="O605" s="208">
        <v>357</v>
      </c>
      <c r="P605" s="13" t="s">
        <v>495</v>
      </c>
      <c r="Q605" s="13" t="s">
        <v>741</v>
      </c>
      <c r="R605" s="13" t="s">
        <v>763</v>
      </c>
      <c r="S605" s="13" t="s">
        <v>781</v>
      </c>
    </row>
    <row r="606" spans="1:22" s="14" customFormat="1" ht="13.5" hidden="1" customHeight="1" ns3:dyDescent="0.25">
      <c r="A606" s="13" t="s">
        <v>162</v>
      </c>
      <c r="B606" s="25" t="str">
        <f t="shared" si="35"/>
      </c>
      <c r="C606" s="13" t="s">
        <v>1147</v>
      </c>
      <c r="D606" s="13" t="s">
        <v>17</v>
      </c>
      <c r="E606" s="13" t="s">
        <v>55</v>
      </c>
      <c r="F606" s="13" t="s">
        <v>1692</v>
      </c>
      <c r="G606" s="13" t="s">
        <v>117</v>
      </c>
      <c r="H606" s="13" t="str">
        <f>IFERROR(VLOOKUP(#REF!606,'정보화기기 명부'!A$2:B$187,2,FALSE),"")</f>
        <v/>
      </c>
      <c r="I606" s="13"/>
      <c r="J606" s="13" t="s">
        <v>738</v>
      </c>
      <c r="K606" s="13"/>
      <c r="L606" s="13">
        <v>20060502</v>
      </c>
      <c r="M606" s="13" t="s">
        <v>780</v>
      </c>
      <c r="N606" s="13" t="s">
        <v>1186</v>
      </c>
      <c r="O606" s="208">
        <v>356</v>
      </c>
      <c r="P606" s="13" t="s">
        <v>495</v>
      </c>
      <c r="Q606" s="13" t="s">
        <v>741</v>
      </c>
      <c r="R606" s="13" t="s">
        <v>763</v>
      </c>
      <c r="S606" s="13" t="s">
        <v>781</v>
      </c>
    </row>
    <row r="607" spans="1:22" s="14" customFormat="1" ht="13.5" hidden="1" customHeight="1" ns3:dyDescent="0.25">
      <c r="A607" s="13" t="s">
        <v>164</v>
      </c>
      <c r="B607" s="25" t="str">
        <f t="shared" si="35"/>
      </c>
      <c r="C607" s="13" t="s">
        <v>1147</v>
      </c>
      <c r="D607" s="13" t="s">
        <v>17</v>
      </c>
      <c r="E607" s="13" t="s">
        <v>55</v>
      </c>
      <c r="F607" s="13" t="s">
        <v>1692</v>
      </c>
      <c r="G607" s="13" t="s">
        <v>117</v>
      </c>
      <c r="H607" s="13" t="str">
        <f>IFERROR(VLOOKUP(#REF!607,'정보화기기 명부'!A$2:B$187,2,FALSE),"")</f>
        <v/>
      </c>
      <c r="I607" s="13"/>
      <c r="J607" s="13" t="s">
        <v>738</v>
      </c>
      <c r="K607" s="13"/>
      <c r="L607" s="13">
        <v>20060502</v>
      </c>
      <c r="M607" s="13" t="s">
        <v>780</v>
      </c>
      <c r="N607" s="13" t="s">
        <v>1186</v>
      </c>
      <c r="O607" s="208">
        <v>355</v>
      </c>
      <c r="P607" s="13" t="s">
        <v>495</v>
      </c>
      <c r="Q607" s="13" t="s">
        <v>741</v>
      </c>
      <c r="R607" s="13" t="s">
        <v>763</v>
      </c>
      <c r="S607" s="13" t="s">
        <v>781</v>
      </c>
    </row>
    <row r="608" spans="1:22" s="14" customFormat="1" ht="13.5" hidden="1" customHeight="1" ns3:dyDescent="0.25">
      <c r="A608" s="13" t="s">
        <v>164</v>
      </c>
      <c r="B608" s="25" t="str">
        <f t="shared" si="35"/>
      </c>
      <c r="C608" s="13" t="s">
        <v>1147</v>
      </c>
      <c r="D608" s="13" t="s">
        <v>17</v>
      </c>
      <c r="E608" s="13" t="s">
        <v>55</v>
      </c>
      <c r="F608" s="13" t="s">
        <v>1692</v>
      </c>
      <c r="G608" s="13" t="s">
        <v>117</v>
      </c>
      <c r="H608" s="13" t="str">
        <f>IFERROR(VLOOKUP(#REF!608,'정보화기기 명부'!A$2:B$187,2,FALSE),"")</f>
        <v/>
      </c>
      <c r="I608" s="13"/>
      <c r="J608" s="13" t="s">
        <v>738</v>
      </c>
      <c r="K608" s="13"/>
      <c r="L608" s="13">
        <v>20060502</v>
      </c>
      <c r="M608" s="13" t="s">
        <v>780</v>
      </c>
      <c r="N608" s="13" t="s">
        <v>1186</v>
      </c>
      <c r="O608" s="208">
        <v>354</v>
      </c>
      <c r="P608" s="13" t="s">
        <v>495</v>
      </c>
      <c r="Q608" s="13" t="s">
        <v>741</v>
      </c>
      <c r="R608" s="13" t="s">
        <v>763</v>
      </c>
      <c r="S608" s="13" t="s">
        <v>781</v>
      </c>
    </row>
    <row r="609" spans="1:22" s="14" customFormat="1" ht="13.5" hidden="1" customHeight="1" ns3:dyDescent="0.25">
      <c r="A609" s="13" t="s">
        <v>164</v>
      </c>
      <c r="B609" s="25" t="str">
        <f t="shared" si="35"/>
      </c>
      <c r="C609" s="13" t="s">
        <v>1147</v>
      </c>
      <c r="D609" s="13" t="s">
        <v>17</v>
      </c>
      <c r="E609" s="13" t="s">
        <v>55</v>
      </c>
      <c r="F609" s="13" t="s">
        <v>1692</v>
      </c>
      <c r="G609" s="13" t="s">
        <v>117</v>
      </c>
      <c r="H609" s="13" t="str">
        <f>IFERROR(VLOOKUP(#REF!609,'정보화기기 명부'!A$2:B$187,2,FALSE),"")</f>
        <v/>
      </c>
      <c r="I609" s="13"/>
      <c r="J609" s="13" t="s">
        <v>738</v>
      </c>
      <c r="K609" s="13"/>
      <c r="L609" s="13">
        <v>20060502</v>
      </c>
      <c r="M609" s="13" t="s">
        <v>780</v>
      </c>
      <c r="N609" s="13" t="s">
        <v>1186</v>
      </c>
      <c r="O609" s="208">
        <v>353</v>
      </c>
      <c r="P609" s="13" t="s">
        <v>495</v>
      </c>
      <c r="Q609" s="13" t="s">
        <v>741</v>
      </c>
      <c r="R609" s="13" t="s">
        <v>763</v>
      </c>
      <c r="S609" s="13" t="s">
        <v>781</v>
      </c>
    </row>
    <row r="610" spans="1:22" s="14" customFormat="1" ht="13.5" hidden="1" customHeight="1" ns3:dyDescent="0.25">
      <c r="A610" s="13" t="s">
        <v>164</v>
      </c>
      <c r="B610" s="25" t="str">
        <f t="shared" si="35"/>
      </c>
      <c r="C610" s="13" t="s">
        <v>1147</v>
      </c>
      <c r="D610" s="13" t="s">
        <v>17</v>
      </c>
      <c r="E610" s="13" t="s">
        <v>55</v>
      </c>
      <c r="F610" s="13" t="s">
        <v>1692</v>
      </c>
      <c r="G610" s="13" t="s">
        <v>117</v>
      </c>
      <c r="H610" s="13" t="str">
        <f>IFERROR(VLOOKUP(#REF!610,'정보화기기 명부'!A$2:B$187,2,FALSE),"")</f>
        <v/>
      </c>
      <c r="I610" s="13"/>
      <c r="J610" s="13" t="s">
        <v>738</v>
      </c>
      <c r="K610" s="13"/>
      <c r="L610" s="13">
        <v>20060502</v>
      </c>
      <c r="M610" s="13" t="s">
        <v>780</v>
      </c>
      <c r="N610" s="13" t="s">
        <v>1186</v>
      </c>
      <c r="O610" s="208">
        <v>352</v>
      </c>
      <c r="P610" s="13" t="s">
        <v>495</v>
      </c>
      <c r="Q610" s="13" t="s">
        <v>741</v>
      </c>
      <c r="R610" s="13" t="s">
        <v>763</v>
      </c>
      <c r="S610" s="13" t="s">
        <v>781</v>
      </c>
    </row>
    <row r="611" spans="1:22" s="14" customFormat="1" ht="13.5" hidden="1" customHeight="1" ns3:dyDescent="0.25">
      <c r="A611" s="13" t="s">
        <v>164</v>
      </c>
      <c r="B611" s="25" t="str">
        <f t="shared" si="35"/>
      </c>
      <c r="C611" s="13" t="s">
        <v>1147</v>
      </c>
      <c r="D611" s="13" t="s">
        <v>17</v>
      </c>
      <c r="E611" s="13" t="s">
        <v>55</v>
      </c>
      <c r="F611" s="13" t="s">
        <v>1692</v>
      </c>
      <c r="G611" s="13" t="s">
        <v>117</v>
      </c>
      <c r="H611" s="13" t="str">
        <f>IFERROR(VLOOKUP(#REF!611,'정보화기기 명부'!A$2:B$187,2,FALSE),"")</f>
        <v/>
      </c>
      <c r="I611" s="13"/>
      <c r="J611" s="13" t="s">
        <v>738</v>
      </c>
      <c r="K611" s="13"/>
      <c r="L611" s="13">
        <v>20060502</v>
      </c>
      <c r="M611" s="13" t="s">
        <v>780</v>
      </c>
      <c r="N611" s="13" t="s">
        <v>1186</v>
      </c>
      <c r="O611" s="208">
        <v>351</v>
      </c>
      <c r="P611" s="13" t="s">
        <v>495</v>
      </c>
      <c r="Q611" s="13" t="s">
        <v>741</v>
      </c>
      <c r="R611" s="13" t="s">
        <v>763</v>
      </c>
      <c r="S611" s="13" t="s">
        <v>781</v>
      </c>
    </row>
    <row r="612" spans="1:22" s="14" customFormat="1" ht="13.5" hidden="1" customHeight="1" ns3:dyDescent="0.25">
      <c r="A612" s="13" t="s">
        <v>164</v>
      </c>
      <c r="B612" s="25" t="str">
        <f t="shared" si="35"/>
      </c>
      <c r="C612" s="13" t="s">
        <v>1147</v>
      </c>
      <c r="D612" s="13" t="s">
        <v>17</v>
      </c>
      <c r="E612" s="13" t="s">
        <v>55</v>
      </c>
      <c r="F612" s="13" t="s">
        <v>1692</v>
      </c>
      <c r="G612" s="13" t="s">
        <v>117</v>
      </c>
      <c r="H612" s="13" t="str">
        <f>IFERROR(VLOOKUP(#REF!612,'정보화기기 명부'!A$2:B$187,2,FALSE),"")</f>
        <v/>
      </c>
      <c r="I612" s="13"/>
      <c r="J612" s="13" t="s">
        <v>738</v>
      </c>
      <c r="K612" s="13"/>
      <c r="L612" s="13">
        <v>20060502</v>
      </c>
      <c r="M612" s="13" t="s">
        <v>780</v>
      </c>
      <c r="N612" s="13" t="s">
        <v>1186</v>
      </c>
      <c r="O612" s="208">
        <v>350</v>
      </c>
      <c r="P612" s="13" t="s">
        <v>495</v>
      </c>
      <c r="Q612" s="13" t="s">
        <v>741</v>
      </c>
      <c r="R612" s="13" t="s">
        <v>763</v>
      </c>
      <c r="S612" s="13" t="s">
        <v>781</v>
      </c>
    </row>
    <row r="613" spans="1:22" s="14" customFormat="1" ht="13.5" hidden="1" customHeight="1" ns3:dyDescent="0.25">
      <c r="A613" s="13" t="s">
        <v>164</v>
      </c>
      <c r="B613" s="25" t="str">
        <f t="shared" si="35"/>
      </c>
      <c r="C613" s="13" t="s">
        <v>1147</v>
      </c>
      <c r="D613" s="13" t="s">
        <v>17</v>
      </c>
      <c r="E613" s="13" t="s">
        <v>55</v>
      </c>
      <c r="F613" s="13" t="s">
        <v>1692</v>
      </c>
      <c r="G613" s="13" t="s">
        <v>117</v>
      </c>
      <c r="H613" s="13" t="str">
        <f>IFERROR(VLOOKUP(#REF!613,'정보화기기 명부'!A$2:B$187,2,FALSE),"")</f>
        <v/>
      </c>
      <c r="I613" s="13"/>
      <c r="J613" s="13" t="s">
        <v>738</v>
      </c>
      <c r="K613" s="13"/>
      <c r="L613" s="13">
        <v>20060502</v>
      </c>
      <c r="M613" s="13" t="s">
        <v>780</v>
      </c>
      <c r="N613" s="13" t="s">
        <v>1186</v>
      </c>
      <c r="O613" s="208">
        <v>349</v>
      </c>
      <c r="P613" s="13" t="s">
        <v>495</v>
      </c>
      <c r="Q613" s="13" t="s">
        <v>741</v>
      </c>
      <c r="R613" s="13" t="s">
        <v>763</v>
      </c>
      <c r="S613" s="13" t="s">
        <v>781</v>
      </c>
    </row>
    <row r="614" spans="1:22" s="14" customFormat="1" ht="13.5" hidden="1" customHeight="1" ns3:dyDescent="0.25">
      <c r="A614" s="13" t="s">
        <v>164</v>
      </c>
      <c r="B614" s="25" t="str">
        <f t="shared" si="35"/>
      </c>
      <c r="C614" s="13" t="s">
        <v>1147</v>
      </c>
      <c r="D614" s="13" t="s">
        <v>17</v>
      </c>
      <c r="E614" s="13" t="s">
        <v>55</v>
      </c>
      <c r="F614" s="13" t="s">
        <v>1692</v>
      </c>
      <c r="G614" s="13" t="s">
        <v>117</v>
      </c>
      <c r="H614" s="13" t="str">
        <f>IFERROR(VLOOKUP(#REF!614,'정보화기기 명부'!A$2:B$187,2,FALSE),"")</f>
        <v/>
      </c>
      <c r="I614" s="13"/>
      <c r="J614" s="13" t="s">
        <v>738</v>
      </c>
      <c r="K614" s="13"/>
      <c r="L614" s="13">
        <v>20060502</v>
      </c>
      <c r="M614" s="13" t="s">
        <v>780</v>
      </c>
      <c r="N614" s="13" t="s">
        <v>1186</v>
      </c>
      <c r="O614" s="208">
        <v>348</v>
      </c>
      <c r="P614" s="13" t="s">
        <v>495</v>
      </c>
      <c r="Q614" s="13" t="s">
        <v>741</v>
      </c>
      <c r="R614" s="13" t="s">
        <v>763</v>
      </c>
      <c r="S614" s="13" t="s">
        <v>781</v>
      </c>
    </row>
    <row r="615" spans="1:22" s="14" customFormat="1" ht="13.5" hidden="1" customHeight="1" ns3:dyDescent="0.25">
      <c r="A615" s="13" t="s">
        <v>164</v>
      </c>
      <c r="B615" s="25" t="str">
        <f t="shared" si="35"/>
      </c>
      <c r="C615" s="13" t="s">
        <v>1147</v>
      </c>
      <c r="D615" s="13" t="s">
        <v>17</v>
      </c>
      <c r="E615" s="13" t="s">
        <v>55</v>
      </c>
      <c r="F615" s="13" t="s">
        <v>1692</v>
      </c>
      <c r="G615" s="13" t="s">
        <v>117</v>
      </c>
      <c r="H615" s="13" t="str">
        <f>IFERROR(VLOOKUP(#REF!615,'정보화기기 명부'!A$2:B$187,2,FALSE),"")</f>
        <v/>
      </c>
      <c r="I615" s="13"/>
      <c r="J615" s="13" t="s">
        <v>738</v>
      </c>
      <c r="K615" s="13"/>
      <c r="L615" s="13">
        <v>20060502</v>
      </c>
      <c r="M615" s="13" t="s">
        <v>780</v>
      </c>
      <c r="N615" s="13" t="s">
        <v>1186</v>
      </c>
      <c r="O615" s="208">
        <v>347</v>
      </c>
      <c r="P615" s="13" t="s">
        <v>495</v>
      </c>
      <c r="Q615" s="13" t="s">
        <v>741</v>
      </c>
      <c r="R615" s="13" t="s">
        <v>763</v>
      </c>
      <c r="S615" s="13" t="s">
        <v>781</v>
      </c>
    </row>
    <row r="616" spans="1:22" s="14" customFormat="1" ht="13.5" hidden="1" customHeight="1" ns3:dyDescent="0.25">
      <c r="A616" s="13" t="s">
        <v>164</v>
      </c>
      <c r="B616" s="25" t="str">
        <f t="shared" si="35"/>
      </c>
      <c r="C616" s="13" t="s">
        <v>1147</v>
      </c>
      <c r="D616" s="13" t="s">
        <v>17</v>
      </c>
      <c r="E616" s="13" t="s">
        <v>55</v>
      </c>
      <c r="F616" s="13" t="s">
        <v>1692</v>
      </c>
      <c r="G616" s="13" t="s">
        <v>117</v>
      </c>
      <c r="H616" s="13" t="str">
        <f>IFERROR(VLOOKUP(#REF!616,'정보화기기 명부'!A$2:B$187,2,FALSE),"")</f>
        <v/>
      </c>
      <c r="I616" s="13"/>
      <c r="J616" s="13" t="s">
        <v>738</v>
      </c>
      <c r="K616" s="13"/>
      <c r="L616" s="13">
        <v>20060502</v>
      </c>
      <c r="M616" s="13" t="s">
        <v>780</v>
      </c>
      <c r="N616" s="13" t="s">
        <v>1186</v>
      </c>
      <c r="O616" s="208">
        <v>346</v>
      </c>
      <c r="P616" s="13" t="s">
        <v>495</v>
      </c>
      <c r="Q616" s="13" t="s">
        <v>741</v>
      </c>
      <c r="R616" s="13" t="s">
        <v>763</v>
      </c>
      <c r="S616" s="13" t="s">
        <v>781</v>
      </c>
    </row>
    <row r="617" spans="1:22" s="14" customFormat="1" ht="13.5" hidden="1" customHeight="1" ns3:dyDescent="0.25">
      <c r="A617" s="13" t="s">
        <v>164</v>
      </c>
      <c r="B617" s="25" t="str">
        <f t="shared" si="35"/>
      </c>
      <c r="C617" s="13" t="s">
        <v>1147</v>
      </c>
      <c r="D617" s="13" t="s">
        <v>17</v>
      </c>
      <c r="E617" s="13" t="s">
        <v>55</v>
      </c>
      <c r="F617" s="13" t="s">
        <v>1692</v>
      </c>
      <c r="G617" s="13" t="s">
        <v>117</v>
      </c>
      <c r="H617" s="13" t="str">
        <f>IFERROR(VLOOKUP(#REF!617,'정보화기기 명부'!A$2:B$187,2,FALSE),"")</f>
        <v/>
      </c>
      <c r="I617" s="13"/>
      <c r="J617" s="13" t="s">
        <v>738</v>
      </c>
      <c r="K617" s="13"/>
      <c r="L617" s="13">
        <v>20060502</v>
      </c>
      <c r="M617" s="13" t="s">
        <v>780</v>
      </c>
      <c r="N617" s="13" t="s">
        <v>1186</v>
      </c>
      <c r="O617" s="208">
        <v>345</v>
      </c>
      <c r="P617" s="13" t="s">
        <v>495</v>
      </c>
      <c r="Q617" s="13" t="s">
        <v>741</v>
      </c>
      <c r="R617" s="13" t="s">
        <v>763</v>
      </c>
      <c r="S617" s="13" t="s">
        <v>781</v>
      </c>
    </row>
    <row r="618" spans="1:22" s="14" customFormat="1" ht="13.5" hidden="1" customHeight="1" ns3:dyDescent="0.25">
      <c r="A618" s="13" t="s">
        <v>164</v>
      </c>
      <c r="B618" s="25" t="str">
        <f t="shared" si="35"/>
      </c>
      <c r="C618" s="13" t="s">
        <v>1147</v>
      </c>
      <c r="D618" s="13" t="s">
        <v>17</v>
      </c>
      <c r="E618" s="13" t="s">
        <v>55</v>
      </c>
      <c r="F618" s="13" t="s">
        <v>1692</v>
      </c>
      <c r="G618" s="13" t="s">
        <v>117</v>
      </c>
      <c r="H618" s="13" t="str">
        <f>IFERROR(VLOOKUP(#REF!618,'정보화기기 명부'!A$2:B$187,2,FALSE),"")</f>
        <v/>
      </c>
      <c r="I618" s="13"/>
      <c r="J618" s="13" t="s">
        <v>738</v>
      </c>
      <c r="K618" s="13"/>
      <c r="L618" s="13">
        <v>20060502</v>
      </c>
      <c r="M618" s="13" t="s">
        <v>780</v>
      </c>
      <c r="N618" s="13" t="s">
        <v>1186</v>
      </c>
      <c r="O618" s="208">
        <v>344</v>
      </c>
      <c r="P618" s="13" t="s">
        <v>495</v>
      </c>
      <c r="Q618" s="13" t="s">
        <v>741</v>
      </c>
      <c r="R618" s="13" t="s">
        <v>763</v>
      </c>
      <c r="S618" s="13" t="s">
        <v>781</v>
      </c>
    </row>
    <row r="619" spans="1:22" s="14" customFormat="1" ht="13.5" hidden="1" customHeight="1" ns3:dyDescent="0.25">
      <c r="A619" s="13" t="s">
        <v>164</v>
      </c>
      <c r="B619" s="25" t="str">
        <f t="shared" si="35"/>
      </c>
      <c r="C619" s="13" t="s">
        <v>1147</v>
      </c>
      <c r="D619" s="13" t="s">
        <v>17</v>
      </c>
      <c r="E619" s="13" t="s">
        <v>55</v>
      </c>
      <c r="F619" s="13" t="s">
        <v>1692</v>
      </c>
      <c r="G619" s="13" t="s">
        <v>117</v>
      </c>
      <c r="H619" s="13" t="str">
        <f>IFERROR(VLOOKUP(#REF!619,'정보화기기 명부'!A$2:B$187,2,FALSE),"")</f>
        <v/>
      </c>
      <c r="I619" s="13"/>
      <c r="J619" s="13" t="s">
        <v>738</v>
      </c>
      <c r="K619" s="13"/>
      <c r="L619" s="13">
        <v>20060502</v>
      </c>
      <c r="M619" s="13" t="s">
        <v>780</v>
      </c>
      <c r="N619" s="13" t="s">
        <v>1186</v>
      </c>
      <c r="O619" s="208">
        <v>343</v>
      </c>
      <c r="P619" s="13" t="s">
        <v>495</v>
      </c>
      <c r="Q619" s="13" t="s">
        <v>741</v>
      </c>
      <c r="R619" s="13" t="s">
        <v>763</v>
      </c>
      <c r="S619" s="13" t="s">
        <v>781</v>
      </c>
    </row>
    <row r="620" spans="1:22" s="14" customFormat="1" ht="13.5" hidden="1" customHeight="1" ns3:dyDescent="0.25">
      <c r="A620" s="13" t="s">
        <v>164</v>
      </c>
      <c r="B620" s="25" t="str">
        <f t="shared" si="35"/>
      </c>
      <c r="C620" s="13" t="s">
        <v>1147</v>
      </c>
      <c r="D620" s="13" t="s">
        <v>17</v>
      </c>
      <c r="E620" s="13" t="s">
        <v>55</v>
      </c>
      <c r="F620" s="13" t="s">
        <v>1692</v>
      </c>
      <c r="G620" s="13" t="s">
        <v>117</v>
      </c>
      <c r="H620" s="13" t="str">
        <f>IFERROR(VLOOKUP(#REF!620,'정보화기기 명부'!A$2:B$187,2,FALSE),"")</f>
        <v/>
      </c>
      <c r="I620" s="13"/>
      <c r="J620" s="13" t="s">
        <v>738</v>
      </c>
      <c r="K620" s="13"/>
      <c r="L620" s="13">
        <v>20060502</v>
      </c>
      <c r="M620" s="13" t="s">
        <v>780</v>
      </c>
      <c r="N620" s="13" t="s">
        <v>1186</v>
      </c>
      <c r="O620" s="208">
        <v>342</v>
      </c>
      <c r="P620" s="13" t="s">
        <v>495</v>
      </c>
      <c r="Q620" s="13" t="s">
        <v>741</v>
      </c>
      <c r="R620" s="13" t="s">
        <v>763</v>
      </c>
      <c r="S620" s="13" t="s">
        <v>781</v>
      </c>
    </row>
    <row r="621" spans="1:22" s="14" customFormat="1" ht="13.5" hidden="1" customHeight="1" ns3:dyDescent="0.25">
      <c r="A621" s="13" t="s">
        <v>164</v>
      </c>
      <c r="B621" s="25" t="str">
        <f t="shared" si="35"/>
      </c>
      <c r="C621" s="13" t="s">
        <v>1147</v>
      </c>
      <c r="D621" s="13" t="s">
        <v>17</v>
      </c>
      <c r="E621" s="13" t="s">
        <v>55</v>
      </c>
      <c r="F621" s="13" t="s">
        <v>1692</v>
      </c>
      <c r="G621" s="13" t="s">
        <v>117</v>
      </c>
      <c r="H621" s="13" t="str">
        <f>IFERROR(VLOOKUP(#REF!621,'정보화기기 명부'!A$2:B$187,2,FALSE),"")</f>
        <v/>
      </c>
      <c r="I621" s="13"/>
      <c r="J621" s="13" t="s">
        <v>738</v>
      </c>
      <c r="K621" s="13"/>
      <c r="L621" s="13">
        <v>20060502</v>
      </c>
      <c r="M621" s="13" t="s">
        <v>780</v>
      </c>
      <c r="N621" s="13" t="s">
        <v>1186</v>
      </c>
      <c r="O621" s="208">
        <v>341</v>
      </c>
      <c r="P621" s="13" t="s">
        <v>495</v>
      </c>
      <c r="Q621" s="13" t="s">
        <v>741</v>
      </c>
      <c r="R621" s="13" t="s">
        <v>763</v>
      </c>
      <c r="S621" s="13" t="s">
        <v>781</v>
      </c>
    </row>
    <row r="622" spans="1:22" s="14" customFormat="1" ht="13.5" hidden="1" customHeight="1" ns3:dyDescent="0.25">
      <c r="A622" s="13" t="s">
        <v>164</v>
      </c>
      <c r="B622" s="25" t="str">
        <f t="shared" si="35"/>
      </c>
      <c r="C622" s="13" t="s">
        <v>1147</v>
      </c>
      <c r="D622" s="13" t="s">
        <v>17</v>
      </c>
      <c r="E622" s="13" t="s">
        <v>55</v>
      </c>
      <c r="F622" s="13" t="s">
        <v>1692</v>
      </c>
      <c r="G622" s="13" t="s">
        <v>117</v>
      </c>
      <c r="H622" s="13" t="str">
        <f>IFERROR(VLOOKUP(#REF!622,'정보화기기 명부'!A$2:B$187,2,FALSE),"")</f>
        <v/>
      </c>
      <c r="I622" s="13"/>
      <c r="J622" s="13" t="s">
        <v>738</v>
      </c>
      <c r="K622" s="13"/>
      <c r="L622" s="13">
        <v>20060502</v>
      </c>
      <c r="M622" s="13" t="s">
        <v>780</v>
      </c>
      <c r="N622" s="13" t="s">
        <v>1186</v>
      </c>
      <c r="O622" s="208">
        <v>340</v>
      </c>
      <c r="P622" s="13" t="s">
        <v>495</v>
      </c>
      <c r="Q622" s="13" t="s">
        <v>741</v>
      </c>
      <c r="R622" s="13" t="s">
        <v>763</v>
      </c>
      <c r="S622" s="13" t="s">
        <v>781</v>
      </c>
    </row>
    <row r="623" spans="1:22" s="14" customFormat="1" ht="13.5" hidden="1" customHeight="1" ns3:dyDescent="0.25">
      <c r="A623" s="13" t="s">
        <v>164</v>
      </c>
      <c r="B623" s="25" t="str">
        <f t="shared" si="35"/>
      </c>
      <c r="C623" s="13" t="s">
        <v>1147</v>
      </c>
      <c r="D623" s="13" t="s">
        <v>17</v>
      </c>
      <c r="E623" s="13" t="s">
        <v>55</v>
      </c>
      <c r="F623" s="13" t="s">
        <v>1692</v>
      </c>
      <c r="G623" s="13" t="s">
        <v>117</v>
      </c>
      <c r="H623" s="13" t="str">
        <f>IFERROR(VLOOKUP(#REF!623,'정보화기기 명부'!A$2:B$187,2,FALSE),"")</f>
        <v/>
      </c>
      <c r="I623" s="13"/>
      <c r="J623" s="13" t="s">
        <v>738</v>
      </c>
      <c r="K623" s="13"/>
      <c r="L623" s="13">
        <v>20060502</v>
      </c>
      <c r="M623" s="13" t="s">
        <v>780</v>
      </c>
      <c r="N623" s="13" t="s">
        <v>1186</v>
      </c>
      <c r="O623" s="208">
        <v>339</v>
      </c>
      <c r="P623" s="13" t="s">
        <v>495</v>
      </c>
      <c r="Q623" s="13" t="s">
        <v>741</v>
      </c>
      <c r="R623" s="13" t="s">
        <v>763</v>
      </c>
      <c r="S623" s="13" t="s">
        <v>781</v>
      </c>
    </row>
    <row r="624" spans="1:22" s="14" customFormat="1" ht="13.5" hidden="1" customHeight="1" ns3:dyDescent="0.25">
      <c r="A624" s="13" t="s">
        <v>22</v>
      </c>
      <c r="B624" s="25" t="str">
        <f t="shared" si="35"/>
      </c>
      <c r="C624" s="13" t="s">
        <v>1147</v>
      </c>
      <c r="D624" s="13" t="s">
        <v>17</v>
      </c>
      <c r="E624" s="13" t="s">
        <v>55</v>
      </c>
      <c r="F624" s="13" t="s">
        <v>1692</v>
      </c>
      <c r="G624" s="13" t="s">
        <v>117</v>
      </c>
      <c r="H624" s="13" t="str">
        <f>IFERROR(VLOOKUP(#REF!624,'정보화기기 명부'!A$2:B$187,2,FALSE),"")</f>
        <v/>
      </c>
      <c r="I624" s="13"/>
      <c r="J624" s="13" t="s">
        <v>738</v>
      </c>
      <c r="K624" s="13"/>
      <c r="L624" s="13">
        <v>20060502</v>
      </c>
      <c r="M624" s="13" t="s">
        <v>780</v>
      </c>
      <c r="N624" s="13" t="s">
        <v>1186</v>
      </c>
      <c r="O624" s="208">
        <v>338</v>
      </c>
      <c r="P624" s="13" t="s">
        <v>495</v>
      </c>
      <c r="Q624" s="13" t="s">
        <v>741</v>
      </c>
      <c r="R624" s="13" t="s">
        <v>763</v>
      </c>
      <c r="S624" s="13" t="s">
        <v>781</v>
      </c>
    </row>
    <row r="625" spans="1:22" s="14" customFormat="1" ht="13.5" hidden="1" customHeight="1" ns3:dyDescent="0.25">
      <c r="A625" s="13" t="s">
        <v>164</v>
      </c>
      <c r="B625" s="25" t="str">
        <f t="shared" si="35"/>
      </c>
      <c r="C625" s="13" t="s">
        <v>1147</v>
      </c>
      <c r="D625" s="13" t="s">
        <v>17</v>
      </c>
      <c r="E625" s="13" t="s">
        <v>55</v>
      </c>
      <c r="F625" s="13" t="s">
        <v>1692</v>
      </c>
      <c r="G625" s="13" t="s">
        <v>117</v>
      </c>
      <c r="H625" s="13" t="str">
        <f>IFERROR(VLOOKUP(#REF!625,'정보화기기 명부'!A$2:B$187,2,FALSE),"")</f>
        <v/>
      </c>
      <c r="I625" s="13"/>
      <c r="J625" s="13" t="s">
        <v>738</v>
      </c>
      <c r="K625" s="13"/>
      <c r="L625" s="13">
        <v>20060502</v>
      </c>
      <c r="M625" s="13" t="s">
        <v>780</v>
      </c>
      <c r="N625" s="13" t="s">
        <v>1186</v>
      </c>
      <c r="O625" s="208">
        <v>337</v>
      </c>
      <c r="P625" s="13" t="s">
        <v>495</v>
      </c>
      <c r="Q625" s="13" t="s">
        <v>741</v>
      </c>
      <c r="R625" s="13" t="s">
        <v>763</v>
      </c>
      <c r="S625" s="13" t="s">
        <v>781</v>
      </c>
    </row>
    <row r="626" spans="1:22" s="14" customFormat="1" ht="13.5" hidden="1" customHeight="1" ns3:dyDescent="0.25">
      <c r="A626" s="13" t="s">
        <v>164</v>
      </c>
      <c r="B626" s="25" t="str">
        <f t="shared" ref="B626:B689" si="37">LEFT(L626,6)&amp;"-"&amp;TEXT(O626,"0000")</f>
      </c>
      <c r="C626" s="13" t="s">
        <v>1147</v>
      </c>
      <c r="D626" s="13" t="s">
        <v>17</v>
      </c>
      <c r="E626" s="13" t="s">
        <v>55</v>
      </c>
      <c r="F626" s="13" t="s">
        <v>1692</v>
      </c>
      <c r="G626" s="13" t="s">
        <v>117</v>
      </c>
      <c r="H626" s="13" t="str">
        <f>IFERROR(VLOOKUP(#REF!626,'정보화기기 명부'!A$2:B$187,2,FALSE),"")</f>
        <v/>
      </c>
      <c r="I626" s="13"/>
      <c r="J626" s="13" t="s">
        <v>738</v>
      </c>
      <c r="K626" s="13"/>
      <c r="L626" s="13">
        <v>20060502</v>
      </c>
      <c r="M626" s="13" t="s">
        <v>780</v>
      </c>
      <c r="N626" s="13" t="s">
        <v>1186</v>
      </c>
      <c r="O626" s="208">
        <v>336</v>
      </c>
      <c r="P626" s="13" t="s">
        <v>495</v>
      </c>
      <c r="Q626" s="13" t="s">
        <v>741</v>
      </c>
      <c r="R626" s="13" t="s">
        <v>763</v>
      </c>
      <c r="S626" s="13" t="s">
        <v>781</v>
      </c>
    </row>
    <row r="627" spans="1:22" s="14" customFormat="1" ht="13.5" hidden="1" customHeight="1" ns3:dyDescent="0.25">
      <c r="A627" s="13" t="s">
        <v>164</v>
      </c>
      <c r="B627" s="25" t="str">
        <f t="shared" si="37"/>
      </c>
      <c r="C627" s="13" t="s">
        <v>1147</v>
      </c>
      <c r="D627" s="13" t="s">
        <v>17</v>
      </c>
      <c r="E627" s="13" t="s">
        <v>55</v>
      </c>
      <c r="F627" s="13" t="s">
        <v>1692</v>
      </c>
      <c r="G627" s="13" t="s">
        <v>117</v>
      </c>
      <c r="H627" s="13" t="str">
        <f>IFERROR(VLOOKUP(#REF!627,'정보화기기 명부'!A$2:B$187,2,FALSE),"")</f>
        <v/>
      </c>
      <c r="I627" s="13"/>
      <c r="J627" s="13" t="s">
        <v>738</v>
      </c>
      <c r="K627" s="13"/>
      <c r="L627" s="13">
        <v>20060502</v>
      </c>
      <c r="M627" s="13" t="s">
        <v>780</v>
      </c>
      <c r="N627" s="13" t="s">
        <v>1186</v>
      </c>
      <c r="O627" s="208">
        <v>335</v>
      </c>
      <c r="P627" s="13" t="s">
        <v>495</v>
      </c>
      <c r="Q627" s="13" t="s">
        <v>741</v>
      </c>
      <c r="R627" s="13" t="s">
        <v>763</v>
      </c>
      <c r="S627" s="13" t="s">
        <v>781</v>
      </c>
    </row>
    <row r="628" spans="1:22" s="14" customFormat="1" ht="13.5" hidden="1" customHeight="1" ns3:dyDescent="0.25">
      <c r="A628" s="13" t="s">
        <v>164</v>
      </c>
      <c r="B628" s="25" t="str">
        <f t="shared" si="37"/>
      </c>
      <c r="C628" s="13" t="s">
        <v>1147</v>
      </c>
      <c r="D628" s="13" t="s">
        <v>17</v>
      </c>
      <c r="E628" s="13" t="s">
        <v>55</v>
      </c>
      <c r="F628" s="13" t="s">
        <v>1692</v>
      </c>
      <c r="G628" s="13" t="s">
        <v>117</v>
      </c>
      <c r="H628" s="13" t="str">
        <f>IFERROR(VLOOKUP(#REF!628,'정보화기기 명부'!A$2:B$187,2,FALSE),"")</f>
        <v/>
      </c>
      <c r="I628" s="13"/>
      <c r="J628" s="13" t="s">
        <v>738</v>
      </c>
      <c r="K628" s="13"/>
      <c r="L628" s="13">
        <v>20060502</v>
      </c>
      <c r="M628" s="13" t="s">
        <v>780</v>
      </c>
      <c r="N628" s="13" t="s">
        <v>1186</v>
      </c>
      <c r="O628" s="208">
        <v>334</v>
      </c>
      <c r="P628" s="13" t="s">
        <v>495</v>
      </c>
      <c r="Q628" s="13" t="s">
        <v>741</v>
      </c>
      <c r="R628" s="13" t="s">
        <v>763</v>
      </c>
      <c r="S628" s="13" t="s">
        <v>781</v>
      </c>
    </row>
    <row r="629" spans="1:22" s="14" customFormat="1" ht="13.5" hidden="1" customHeight="1" ns3:dyDescent="0.25">
      <c r="A629" s="13" t="s">
        <v>172</v>
      </c>
      <c r="B629" s="25" t="str">
        <f t="shared" si="37"/>
      </c>
      <c r="C629" s="13" t="s">
        <v>1147</v>
      </c>
      <c r="D629" s="13" t="s">
        <v>17</v>
      </c>
      <c r="E629" s="13" t="s">
        <v>8</v>
      </c>
      <c r="F629" s="13" t="s">
        <v>1669</v>
      </c>
      <c r="G629" s="13" t="s">
        <v>117</v>
      </c>
      <c r="H629" s="13" t="str">
        <f>IFERROR(VLOOKUP(#REF!629,'정보화기기 명부'!A$2:B$187,2,FALSE),"")</f>
        <v/>
      </c>
      <c r="I629" s="13"/>
      <c r="J629" s="13"/>
      <c r="K629" s="13"/>
      <c r="L629" s="13">
        <v>20060411</v>
      </c>
      <c r="M629" s="13" t="s">
        <v>780</v>
      </c>
      <c r="N629" s="13" t="s">
        <v>1186</v>
      </c>
      <c r="O629" s="208">
        <v>380</v>
      </c>
      <c r="P629" s="13" t="s">
        <v>495</v>
      </c>
      <c r="Q629" s="13" t="s">
        <v>741</v>
      </c>
      <c r="R629" s="13" t="s">
        <v>1013</v>
      </c>
      <c r="S629" s="13" t="s">
        <v>781</v>
      </c>
    </row>
    <row r="630" spans="1:22" s="14" customFormat="1" ht="13.5" hidden="1" customHeight="1" ns3:dyDescent="0.25">
      <c r="A630" s="13" t="s">
        <v>155</v>
      </c>
      <c r="B630" s="25" t="str">
        <f t="shared" si="37"/>
      </c>
      <c r="C630" s="13" t="s">
        <v>1147</v>
      </c>
      <c r="D630" s="13" t="s">
        <v>17</v>
      </c>
      <c r="E630" s="13" t="s">
        <v>8</v>
      </c>
      <c r="F630" s="13" t="s">
        <v>1692</v>
      </c>
      <c r="G630" s="13" t="s">
        <v>117</v>
      </c>
      <c r="H630" s="13" t="str">
        <f>IFERROR(VLOOKUP(#REF!630,'정보화기기 명부'!A$2:B$187,2,FALSE),"")</f>
        <v/>
      </c>
      <c r="I630" s="13"/>
      <c r="J630" s="13"/>
      <c r="K630" s="13"/>
      <c r="L630" s="13">
        <v>20051110</v>
      </c>
      <c r="M630" s="13" t="s">
        <v>527</v>
      </c>
      <c r="N630" s="13" t="s">
        <v>1186</v>
      </c>
      <c r="O630" s="208">
        <v>263</v>
      </c>
      <c r="P630" s="13" t="s">
        <v>495</v>
      </c>
      <c r="Q630" s="13" t="s">
        <v>741</v>
      </c>
      <c r="R630" s="13" t="s">
        <v>188</v>
      </c>
      <c r="S630" s="13" t="s">
        <v>208</v>
      </c>
    </row>
    <row r="631" spans="1:22" s="14" customFormat="1" ht="13.5" customHeight="1" ns3:dyDescent="0.25">
      <c r="A631" s="13" t="s">
        <v>184</v>
      </c>
      <c r="B631" s="25" t="str">
        <f t="shared" si="37"/>
      </c>
      <c r="C631" s="13" t="s">
        <v>102</v>
      </c>
      <c r="D631" s="13" t="s">
        <v>17</v>
      </c>
      <c r="E631" s="13" t="s">
        <v>8</v>
      </c>
      <c r="F631" s="13" t="s">
        <v>736</v>
      </c>
      <c r="G631" s="13" t="s">
        <v>117</v>
      </c>
      <c r="H631" s="13" t="str">
        <f>IFERROR(VLOOKUP(#REF!631,'정보화기기 명부'!A$2:B$187,2,FALSE),"")</f>
        <v/>
      </c>
      <c r="I631" s="13"/>
      <c r="J631" s="13"/>
      <c r="K631" s="13"/>
      <c r="L631" s="13">
        <v>20050930</v>
      </c>
      <c r="M631" s="13" t="s">
        <v>543</v>
      </c>
      <c r="N631" s="13" t="s">
        <v>1186</v>
      </c>
      <c r="O631" s="208">
        <v>377</v>
      </c>
      <c r="P631" s="13" t="s">
        <v>495</v>
      </c>
      <c r="Q631" s="13" t="s">
        <v>1187</v>
      </c>
      <c r="R631" s="13" t="s">
        <v>188</v>
      </c>
      <c r="S631" s="13" t="s">
        <v>213</v>
      </c>
    </row>
    <row r="632" spans="1:22" s="14" customFormat="1" ht="13.5" hidden="1" customHeight="1" ns3:dyDescent="0.25">
      <c r="A632" s="13" t="s">
        <v>228</v>
      </c>
      <c r="B632" s="25" t="str">
        <f t="shared" si="37"/>
      </c>
      <c r="C632" s="13" t="s">
        <v>1147</v>
      </c>
      <c r="D632" s="13" t="s">
        <v>17</v>
      </c>
      <c r="E632" s="13" t="s">
        <v>8</v>
      </c>
      <c r="F632" s="13" t="s">
        <v>431</v>
      </c>
      <c r="G632" s="13" t="s">
        <v>117</v>
      </c>
      <c r="H632" s="13" t="str">
        <f>IFERROR(VLOOKUP(#REF!632,'정보화기기 명부'!A$2:B$187,2,FALSE),"")</f>
        <v/>
      </c>
      <c r="I632" s="13"/>
      <c r="J632" s="13"/>
      <c r="K632" s="13"/>
      <c r="L632" s="13">
        <v>20050730</v>
      </c>
      <c r="M632" s="13" t="s">
        <v>765</v>
      </c>
      <c r="N632" s="13" t="s">
        <v>1191</v>
      </c>
      <c r="O632" s="208">
        <v>258</v>
      </c>
      <c r="P632" s="13" t="s">
        <v>495</v>
      </c>
      <c r="Q632" s="13" t="s">
        <v>741</v>
      </c>
      <c r="R632" s="13" t="s">
        <v>174</v>
      </c>
      <c r="S632" s="13" t="s">
        <v>169</v>
      </c>
    </row>
    <row r="633" spans="1:22" s="14" customFormat="1" ht="13.5" hidden="1" customHeight="1" ns3:dyDescent="0.25">
      <c r="A633" s="13" t="s">
        <v>206</v>
      </c>
      <c r="B633" s="25" t="str">
        <f t="shared" si="37"/>
      </c>
      <c r="C633" s="13" t="s">
        <v>1147</v>
      </c>
      <c r="D633" s="13" t="s">
        <v>17</v>
      </c>
      <c r="E633" s="13" t="s">
        <v>8</v>
      </c>
      <c r="F633" s="13" t="s">
        <v>431</v>
      </c>
      <c r="G633" s="13" t="s">
        <v>117</v>
      </c>
      <c r="H633" s="13" t="str">
        <f>IFERROR(VLOOKUP(#REF!633,'정보화기기 명부'!A$2:B$187,2,FALSE),"")</f>
        <v/>
      </c>
      <c r="I633" s="13"/>
      <c r="J633" s="13"/>
      <c r="K633" s="13"/>
      <c r="L633" s="13">
        <v>20050730</v>
      </c>
      <c r="M633" s="13" t="s">
        <v>765</v>
      </c>
      <c r="N633" s="13" t="s">
        <v>1191</v>
      </c>
      <c r="O633" s="208">
        <v>256</v>
      </c>
      <c r="P633" s="13" t="s">
        <v>495</v>
      </c>
      <c r="Q633" s="13" t="s">
        <v>741</v>
      </c>
      <c r="R633" s="13" t="s">
        <v>174</v>
      </c>
      <c r="S633" s="13" t="s">
        <v>169</v>
      </c>
    </row>
    <row r="634" spans="1:22" s="14" customFormat="1" ht="13.5" hidden="1" customHeight="1" ns3:dyDescent="0.25">
      <c r="A634" s="13" t="s">
        <v>155</v>
      </c>
      <c r="B634" s="25" t="str">
        <f t="shared" si="37"/>
      </c>
      <c r="C634" s="13" t="s">
        <v>1147</v>
      </c>
      <c r="D634" s="13" t="s">
        <v>17</v>
      </c>
      <c r="E634" s="13" t="s">
        <v>8</v>
      </c>
      <c r="F634" s="13" t="s">
        <v>431</v>
      </c>
      <c r="G634" s="13" t="s">
        <v>117</v>
      </c>
      <c r="H634" s="13" t="str">
        <f>IFERROR(VLOOKUP(#REF!634,'정보화기기 명부'!A$2:B$187,2,FALSE),"")</f>
        <v/>
      </c>
      <c r="I634" s="13"/>
      <c r="J634" s="13"/>
      <c r="K634" s="13"/>
      <c r="L634" s="13">
        <v>20050730</v>
      </c>
      <c r="M634" s="13" t="s">
        <v>765</v>
      </c>
      <c r="N634" s="13" t="s">
        <v>1191</v>
      </c>
      <c r="O634" s="208">
        <v>255</v>
      </c>
      <c r="P634" s="13" t="s">
        <v>495</v>
      </c>
      <c r="Q634" s="13" t="s">
        <v>741</v>
      </c>
      <c r="R634" s="13" t="s">
        <v>174</v>
      </c>
      <c r="S634" s="13" t="s">
        <v>169</v>
      </c>
    </row>
    <row r="635" spans="1:22" s="14" customFormat="1" ht="13.5" customHeight="1" ns3:dyDescent="0.25">
      <c r="A635" s="13" t="s">
        <v>155</v>
      </c>
      <c r="B635" s="25" t="str">
        <f t="shared" si="37"/>
      </c>
      <c r="C635" s="13" t="s">
        <v>102</v>
      </c>
      <c r="D635" s="13" t="s">
        <v>17</v>
      </c>
      <c r="E635" s="13" t="s">
        <v>8</v>
      </c>
      <c r="F635" s="13" t="s">
        <v>736</v>
      </c>
      <c r="G635" s="13" t="s">
        <v>117</v>
      </c>
      <c r="H635" s="13" t="str">
        <f>IFERROR(VLOOKUP(#REF!635,'정보화기기 명부'!A$2:B$187,2,FALSE),"")</f>
        <v/>
      </c>
      <c r="I635" s="13"/>
      <c r="J635" s="13"/>
      <c r="K635" s="13"/>
      <c r="L635" s="13">
        <v>20050728</v>
      </c>
      <c r="M635" s="13" t="s">
        <v>534</v>
      </c>
      <c r="N635" s="13" t="s">
        <v>1191</v>
      </c>
      <c r="O635" s="208">
        <v>283</v>
      </c>
      <c r="P635" s="13" t="s">
        <v>495</v>
      </c>
      <c r="Q635" s="13" t="s">
        <v>1187</v>
      </c>
      <c r="R635" s="13" t="s">
        <v>188</v>
      </c>
      <c r="S635" s="13" t="s">
        <v>213</v>
      </c>
    </row>
    <row r="636" spans="1:22" s="14" customFormat="1" ht="13.5" customHeight="1" ns3:dyDescent="0.25">
      <c r="A636" s="13" t="s">
        <v>155</v>
      </c>
      <c r="B636" s="25" t="str">
        <f t="shared" si="37"/>
      </c>
      <c r="C636" s="13" t="s">
        <v>102</v>
      </c>
      <c r="D636" s="13" t="s">
        <v>17</v>
      </c>
      <c r="E636" s="13" t="s">
        <v>8</v>
      </c>
      <c r="F636" s="13" t="s">
        <v>736</v>
      </c>
      <c r="G636" s="13" t="s">
        <v>117</v>
      </c>
      <c r="H636" s="13" t="str">
        <f>IFERROR(VLOOKUP(#REF!636,'정보화기기 명부'!A$2:B$187,2,FALSE),"")</f>
        <v/>
      </c>
      <c r="I636" s="13"/>
      <c r="J636" s="13"/>
      <c r="K636" s="13"/>
      <c r="L636" s="13">
        <v>20050728</v>
      </c>
      <c r="M636" s="13" t="s">
        <v>534</v>
      </c>
      <c r="N636" s="13" t="s">
        <v>1191</v>
      </c>
      <c r="O636" s="208">
        <v>282</v>
      </c>
      <c r="P636" s="13" t="s">
        <v>495</v>
      </c>
      <c r="Q636" s="13" t="s">
        <v>1187</v>
      </c>
      <c r="R636" s="13" t="s">
        <v>188</v>
      </c>
      <c r="S636" s="13" t="s">
        <v>213</v>
      </c>
    </row>
    <row r="637" spans="1:22" s="14" customFormat="1" ht="13.5" customHeight="1" ns3:dyDescent="0.25">
      <c r="A637" s="13" t="s">
        <v>155</v>
      </c>
      <c r="B637" s="25" t="str">
        <f t="shared" si="37"/>
      </c>
      <c r="C637" s="13" t="s">
        <v>102</v>
      </c>
      <c r="D637" s="13" t="s">
        <v>17</v>
      </c>
      <c r="E637" s="13" t="s">
        <v>8</v>
      </c>
      <c r="F637" s="13" t="s">
        <v>736</v>
      </c>
      <c r="G637" s="13" t="s">
        <v>117</v>
      </c>
      <c r="H637" s="13" t="str">
        <f>IFERROR(VLOOKUP(#REF!637,'정보화기기 명부'!A$2:B$187,2,FALSE),"")</f>
        <v/>
      </c>
      <c r="I637" s="13"/>
      <c r="J637" s="13"/>
      <c r="K637" s="13"/>
      <c r="L637" s="13">
        <v>20050728</v>
      </c>
      <c r="M637" s="13" t="s">
        <v>534</v>
      </c>
      <c r="N637" s="13" t="s">
        <v>1191</v>
      </c>
      <c r="O637" s="208">
        <v>281</v>
      </c>
      <c r="P637" s="13" t="s">
        <v>495</v>
      </c>
      <c r="Q637" s="13" t="s">
        <v>1187</v>
      </c>
      <c r="R637" s="13" t="s">
        <v>188</v>
      </c>
      <c r="S637" s="13" t="s">
        <v>213</v>
      </c>
    </row>
    <row r="638" spans="1:22" s="14" customFormat="1" ht="13.5" customHeight="1" ns3:dyDescent="0.25">
      <c r="A638" s="13" t="s">
        <v>155</v>
      </c>
      <c r="B638" s="25" t="str">
        <f t="shared" si="37"/>
      </c>
      <c r="C638" s="13" t="s">
        <v>102</v>
      </c>
      <c r="D638" s="13" t="s">
        <v>17</v>
      </c>
      <c r="E638" s="13" t="s">
        <v>8</v>
      </c>
      <c r="F638" s="13" t="s">
        <v>736</v>
      </c>
      <c r="G638" s="13" t="s">
        <v>117</v>
      </c>
      <c r="H638" s="13" t="str">
        <f>IFERROR(VLOOKUP(#REF!638,'정보화기기 명부'!A$2:B$187,2,FALSE),"")</f>
        <v/>
      </c>
      <c r="I638" s="13"/>
      <c r="J638" s="13"/>
      <c r="K638" s="13"/>
      <c r="L638" s="13">
        <v>20050728</v>
      </c>
      <c r="M638" s="13" t="s">
        <v>534</v>
      </c>
      <c r="N638" s="13" t="s">
        <v>1191</v>
      </c>
      <c r="O638" s="208">
        <v>280</v>
      </c>
      <c r="P638" s="13" t="s">
        <v>495</v>
      </c>
      <c r="Q638" s="13" t="s">
        <v>1187</v>
      </c>
      <c r="R638" s="13" t="s">
        <v>188</v>
      </c>
      <c r="S638" s="13" t="s">
        <v>213</v>
      </c>
    </row>
    <row r="639" spans="1:22" s="14" customFormat="1" ht="13.5" customHeight="1" ns3:dyDescent="0.25">
      <c r="A639" s="13" t="s">
        <v>155</v>
      </c>
      <c r="B639" s="25" t="str">
        <f t="shared" si="37"/>
      </c>
      <c r="C639" s="13" t="s">
        <v>102</v>
      </c>
      <c r="D639" s="13" t="s">
        <v>17</v>
      </c>
      <c r="E639" s="13" t="s">
        <v>8</v>
      </c>
      <c r="F639" s="13" t="s">
        <v>736</v>
      </c>
      <c r="G639" s="13" t="s">
        <v>117</v>
      </c>
      <c r="H639" s="13" t="str">
        <f>IFERROR(VLOOKUP(#REF!639,'정보화기기 명부'!A$2:B$187,2,FALSE),"")</f>
        <v/>
      </c>
      <c r="I639" s="13"/>
      <c r="J639" s="13"/>
      <c r="K639" s="13"/>
      <c r="L639" s="13">
        <v>20050728</v>
      </c>
      <c r="M639" s="13" t="s">
        <v>534</v>
      </c>
      <c r="N639" s="13" t="s">
        <v>1191</v>
      </c>
      <c r="O639" s="208">
        <v>279</v>
      </c>
      <c r="P639" s="13" t="s">
        <v>495</v>
      </c>
      <c r="Q639" s="13" t="s">
        <v>1187</v>
      </c>
      <c r="R639" s="13" t="s">
        <v>188</v>
      </c>
      <c r="S639" s="13" t="s">
        <v>213</v>
      </c>
    </row>
    <row r="640" spans="1:22" s="14" customFormat="1" ht="13.5" customHeight="1" ns3:dyDescent="0.25">
      <c r="A640" s="13" t="s">
        <v>155</v>
      </c>
      <c r="B640" s="25" t="str">
        <f t="shared" si="37"/>
      </c>
      <c r="C640" s="13" t="s">
        <v>102</v>
      </c>
      <c r="D640" s="13" t="s">
        <v>17</v>
      </c>
      <c r="E640" s="13" t="s">
        <v>8</v>
      </c>
      <c r="F640" s="13" t="s">
        <v>736</v>
      </c>
      <c r="G640" s="13" t="s">
        <v>117</v>
      </c>
      <c r="H640" s="13" t="str">
        <f>IFERROR(VLOOKUP(#REF!640,'정보화기기 명부'!A$2:B$187,2,FALSE),"")</f>
        <v/>
      </c>
      <c r="I640" s="13"/>
      <c r="J640" s="13"/>
      <c r="K640" s="13"/>
      <c r="L640" s="13">
        <v>20050728</v>
      </c>
      <c r="M640" s="13" t="s">
        <v>534</v>
      </c>
      <c r="N640" s="13" t="s">
        <v>1191</v>
      </c>
      <c r="O640" s="208">
        <v>278</v>
      </c>
      <c r="P640" s="13" t="s">
        <v>495</v>
      </c>
      <c r="Q640" s="13" t="s">
        <v>1187</v>
      </c>
      <c r="R640" s="13" t="s">
        <v>188</v>
      </c>
      <c r="S640" s="13" t="s">
        <v>213</v>
      </c>
    </row>
    <row r="641" spans="1:22" s="14" customFormat="1" ht="13.5" customHeight="1" ns3:dyDescent="0.25">
      <c r="A641" s="13" t="s">
        <v>155</v>
      </c>
      <c r="B641" s="25" t="str">
        <f t="shared" si="37"/>
      </c>
      <c r="C641" s="13" t="s">
        <v>102</v>
      </c>
      <c r="D641" s="13" t="s">
        <v>17</v>
      </c>
      <c r="E641" s="13" t="s">
        <v>8</v>
      </c>
      <c r="F641" s="13" t="s">
        <v>736</v>
      </c>
      <c r="G641" s="13" t="s">
        <v>117</v>
      </c>
      <c r="H641" s="13" t="str">
        <f>IFERROR(VLOOKUP(#REF!641,'정보화기기 명부'!A$2:B$187,2,FALSE),"")</f>
        <v/>
      </c>
      <c r="I641" s="13"/>
      <c r="J641" s="13"/>
      <c r="K641" s="13"/>
      <c r="L641" s="13">
        <v>20050728</v>
      </c>
      <c r="M641" s="13" t="s">
        <v>534</v>
      </c>
      <c r="N641" s="13" t="s">
        <v>1191</v>
      </c>
      <c r="O641" s="208">
        <v>277</v>
      </c>
      <c r="P641" s="13" t="s">
        <v>495</v>
      </c>
      <c r="Q641" s="13" t="s">
        <v>1187</v>
      </c>
      <c r="R641" s="13" t="s">
        <v>188</v>
      </c>
      <c r="S641" s="13" t="s">
        <v>213</v>
      </c>
    </row>
    <row r="642" spans="1:22" s="14" customFormat="1" ht="13.5" customHeight="1" ns3:dyDescent="0.25">
      <c r="A642" s="13" t="s">
        <v>155</v>
      </c>
      <c r="B642" s="25" t="str">
        <f t="shared" si="37"/>
      </c>
      <c r="C642" s="13" t="s">
        <v>102</v>
      </c>
      <c r="D642" s="13" t="s">
        <v>17</v>
      </c>
      <c r="E642" s="13" t="s">
        <v>8</v>
      </c>
      <c r="F642" s="13" t="s">
        <v>736</v>
      </c>
      <c r="G642" s="13" t="s">
        <v>117</v>
      </c>
      <c r="H642" s="13" t="str">
        <f>IFERROR(VLOOKUP(#REF!642,'정보화기기 명부'!A$2:B$187,2,FALSE),"")</f>
        <v/>
      </c>
      <c r="I642" s="13"/>
      <c r="J642" s="13"/>
      <c r="K642" s="13"/>
      <c r="L642" s="13">
        <v>20050728</v>
      </c>
      <c r="M642" s="13" t="s">
        <v>534</v>
      </c>
      <c r="N642" s="13" t="s">
        <v>1191</v>
      </c>
      <c r="O642" s="208">
        <v>276</v>
      </c>
      <c r="P642" s="13" t="s">
        <v>495</v>
      </c>
      <c r="Q642" s="13" t="s">
        <v>1187</v>
      </c>
      <c r="R642" s="13" t="s">
        <v>188</v>
      </c>
      <c r="S642" s="13" t="s">
        <v>213</v>
      </c>
    </row>
    <row r="643" spans="1:22" s="14" customFormat="1" ht="13.5" customHeight="1" ns3:dyDescent="0.25">
      <c r="A643" s="13" t="s">
        <v>155</v>
      </c>
      <c r="B643" s="25" t="str">
        <f t="shared" si="37"/>
      </c>
      <c r="C643" s="13" t="s">
        <v>102</v>
      </c>
      <c r="D643" s="13" t="s">
        <v>17</v>
      </c>
      <c r="E643" s="13" t="s">
        <v>8</v>
      </c>
      <c r="F643" s="13" t="s">
        <v>736</v>
      </c>
      <c r="G643" s="13" t="s">
        <v>117</v>
      </c>
      <c r="H643" s="13" t="str">
        <f>IFERROR(VLOOKUP(#REF!643,'정보화기기 명부'!A$2:B$187,2,FALSE),"")</f>
        <v/>
      </c>
      <c r="I643" s="13"/>
      <c r="J643" s="13"/>
      <c r="K643" s="13"/>
      <c r="L643" s="13">
        <v>20050728</v>
      </c>
      <c r="M643" s="13" t="s">
        <v>534</v>
      </c>
      <c r="N643" s="13" t="s">
        <v>1191</v>
      </c>
      <c r="O643" s="208">
        <v>275</v>
      </c>
      <c r="P643" s="13" t="s">
        <v>495</v>
      </c>
      <c r="Q643" s="13" t="s">
        <v>1187</v>
      </c>
      <c r="R643" s="13" t="s">
        <v>188</v>
      </c>
      <c r="S643" s="13" t="s">
        <v>213</v>
      </c>
    </row>
    <row r="644" spans="1:22" s="14" customFormat="1" ht="13.5" customHeight="1" ns3:dyDescent="0.25">
      <c r="A644" s="13" t="s">
        <v>155</v>
      </c>
      <c r="B644" s="25" t="str">
        <f t="shared" si="37"/>
      </c>
      <c r="C644" s="13" t="s">
        <v>102</v>
      </c>
      <c r="D644" s="13" t="s">
        <v>17</v>
      </c>
      <c r="E644" s="13" t="s">
        <v>8</v>
      </c>
      <c r="F644" s="13" t="s">
        <v>736</v>
      </c>
      <c r="G644" s="13" t="s">
        <v>117</v>
      </c>
      <c r="H644" s="13" t="str">
        <f>IFERROR(VLOOKUP(#REF!644,'정보화기기 명부'!A$2:B$187,2,FALSE),"")</f>
        <v/>
      </c>
      <c r="I644" s="13"/>
      <c r="J644" s="13"/>
      <c r="K644" s="13"/>
      <c r="L644" s="13">
        <v>20050728</v>
      </c>
      <c r="M644" s="13" t="s">
        <v>534</v>
      </c>
      <c r="N644" s="13" t="s">
        <v>1191</v>
      </c>
      <c r="O644" s="208">
        <v>274</v>
      </c>
      <c r="P644" s="13" t="s">
        <v>495</v>
      </c>
      <c r="Q644" s="13" t="s">
        <v>1187</v>
      </c>
      <c r="R644" s="13" t="s">
        <v>188</v>
      </c>
      <c r="S644" s="13" t="s">
        <v>213</v>
      </c>
    </row>
    <row r="645" spans="1:22" s="14" customFormat="1" ht="13.5" customHeight="1" ns3:dyDescent="0.25">
      <c r="A645" s="13" t="s">
        <v>155</v>
      </c>
      <c r="B645" s="25" t="str">
        <f t="shared" si="37"/>
      </c>
      <c r="C645" s="13" t="s">
        <v>102</v>
      </c>
      <c r="D645" s="13" t="s">
        <v>17</v>
      </c>
      <c r="E645" s="13" t="s">
        <v>8</v>
      </c>
      <c r="F645" s="13" t="s">
        <v>736</v>
      </c>
      <c r="G645" s="13" t="s">
        <v>117</v>
      </c>
      <c r="H645" s="13" t="str">
        <f>IFERROR(VLOOKUP(#REF!645,'정보화기기 명부'!A$2:B$187,2,FALSE),"")</f>
        <v/>
      </c>
      <c r="I645" s="13"/>
      <c r="J645" s="13"/>
      <c r="K645" s="13"/>
      <c r="L645" s="13">
        <v>20050728</v>
      </c>
      <c r="M645" s="13" t="s">
        <v>534</v>
      </c>
      <c r="N645" s="13" t="s">
        <v>1191</v>
      </c>
      <c r="O645" s="208">
        <v>273</v>
      </c>
      <c r="P645" s="13" t="s">
        <v>495</v>
      </c>
      <c r="Q645" s="13" t="s">
        <v>1187</v>
      </c>
      <c r="R645" s="13" t="s">
        <v>188</v>
      </c>
      <c r="S645" s="13" t="s">
        <v>213</v>
      </c>
    </row>
    <row r="646" spans="1:22" s="14" customFormat="1" ht="13.5" customHeight="1" ns3:dyDescent="0.25">
      <c r="A646" s="13" t="s">
        <v>155</v>
      </c>
      <c r="B646" s="25" t="str">
        <f t="shared" si="37"/>
      </c>
      <c r="C646" s="13" t="s">
        <v>102</v>
      </c>
      <c r="D646" s="13" t="s">
        <v>17</v>
      </c>
      <c r="E646" s="13" t="s">
        <v>8</v>
      </c>
      <c r="F646" s="13" t="s">
        <v>736</v>
      </c>
      <c r="G646" s="13" t="s">
        <v>117</v>
      </c>
      <c r="H646" s="13" t="str">
        <f>IFERROR(VLOOKUP(#REF!646,'정보화기기 명부'!A$2:B$187,2,FALSE),"")</f>
        <v/>
      </c>
      <c r="I646" s="13"/>
      <c r="J646" s="13"/>
      <c r="K646" s="13"/>
      <c r="L646" s="13">
        <v>20050728</v>
      </c>
      <c r="M646" s="13" t="s">
        <v>534</v>
      </c>
      <c r="N646" s="13" t="s">
        <v>1191</v>
      </c>
      <c r="O646" s="208">
        <v>251</v>
      </c>
      <c r="P646" s="13" t="s">
        <v>495</v>
      </c>
      <c r="Q646" s="13" t="s">
        <v>1187</v>
      </c>
      <c r="R646" s="13" t="s">
        <v>188</v>
      </c>
      <c r="S646" s="13" t="s">
        <v>213</v>
      </c>
    </row>
    <row r="647" spans="1:22" s="14" customFormat="1" ht="13.5" hidden="1" customHeight="1" ns3:dyDescent="0.25">
      <c r="A647" s="13" t="s">
        <v>779</v>
      </c>
      <c r="B647" s="25" t="str">
        <f t="shared" si="37"/>
      </c>
      <c r="C647" s="13" t="s">
        <v>1147</v>
      </c>
      <c r="D647" s="13" t="s">
        <v>745</v>
      </c>
      <c r="E647" s="13" t="s">
        <v>8</v>
      </c>
      <c r="F647" s="13" t="s">
        <v>526</v>
      </c>
      <c r="G647" s="13" t="s">
        <v>117</v>
      </c>
      <c r="H647" s="13" t="str">
        <f>IFERROR(VLOOKUP(#REF!647,'정보화기기 명부'!A$2:B$187,2,FALSE),"")</f>
        <v/>
      </c>
      <c r="I647" s="13"/>
      <c r="J647" s="13"/>
      <c r="K647" s="13"/>
      <c r="L647" s="13">
        <v>20050717</v>
      </c>
      <c r="M647" s="13" t="s">
        <v>517</v>
      </c>
      <c r="N647" s="13" t="s">
        <v>1191</v>
      </c>
      <c r="O647" s="208">
        <v>298</v>
      </c>
      <c r="P647" s="13" t="s">
        <v>495</v>
      </c>
      <c r="Q647" s="13" t="s">
        <v>741</v>
      </c>
      <c r="R647" s="13" t="s">
        <v>174</v>
      </c>
      <c r="S647" s="13" t="s">
        <v>204</v>
      </c>
    </row>
    <row r="648" spans="1:22" s="14" customFormat="1" ht="13.5" hidden="1" customHeight="1" ns3:dyDescent="0.25">
      <c r="A648" s="13" t="s">
        <v>427</v>
      </c>
      <c r="B648" s="25" t="str">
        <f t="shared" si="37"/>
      </c>
      <c r="C648" s="13" t="s">
        <v>1147</v>
      </c>
      <c r="D648" s="13" t="s">
        <v>745</v>
      </c>
      <c r="E648" s="13" t="s">
        <v>8</v>
      </c>
      <c r="F648" s="13" t="s">
        <v>1685</v>
      </c>
      <c r="G648" s="13" t="s">
        <v>117</v>
      </c>
      <c r="H648" s="13" t="str">
        <f>IFERROR(VLOOKUP(#REF!648,'정보화기기 명부'!A$2:B$187,2,FALSE),"")</f>
        <v/>
      </c>
      <c r="I648" s="13"/>
      <c r="J648" s="13"/>
      <c r="K648" s="13"/>
      <c r="L648" s="13">
        <v>20050715</v>
      </c>
      <c r="M648" s="13" t="s">
        <v>525</v>
      </c>
      <c r="N648" s="13" t="s">
        <v>1191</v>
      </c>
      <c r="O648" s="208">
        <v>333</v>
      </c>
      <c r="P648" s="13" t="s">
        <v>495</v>
      </c>
      <c r="Q648" s="13" t="s">
        <v>741</v>
      </c>
      <c r="R648" s="13" t="s">
        <v>188</v>
      </c>
      <c r="S648" s="13" t="s">
        <v>204</v>
      </c>
    </row>
    <row r="649" spans="1:22" s="14" customFormat="1" ht="13.5" hidden="1" customHeight="1" ns3:dyDescent="0.25">
      <c r="A649" s="13" t="s">
        <v>762</v>
      </c>
      <c r="B649" s="25" t="str">
        <f t="shared" si="37"/>
      </c>
      <c r="C649" s="13" t="s">
        <v>1147</v>
      </c>
      <c r="D649" s="13" t="s">
        <v>745</v>
      </c>
      <c r="E649" s="13" t="s">
        <v>8</v>
      </c>
      <c r="F649" s="13" t="s">
        <v>526</v>
      </c>
      <c r="G649" s="13" t="s">
        <v>117</v>
      </c>
      <c r="H649" s="13" t="str">
        <f>IFERROR(VLOOKUP(#REF!649,'정보화기기 명부'!A$2:B$187,2,FALSE),"")</f>
        <v/>
      </c>
      <c r="I649" s="13"/>
      <c r="J649" s="13"/>
      <c r="K649" s="13"/>
      <c r="L649" s="13">
        <v>20050715</v>
      </c>
      <c r="M649" s="13" t="s">
        <v>517</v>
      </c>
      <c r="N649" s="13" t="s">
        <v>1191</v>
      </c>
      <c r="O649" s="208">
        <v>332</v>
      </c>
      <c r="P649" s="13" t="s">
        <v>495</v>
      </c>
      <c r="Q649" s="13" t="s">
        <v>741</v>
      </c>
      <c r="R649" s="13" t="s">
        <v>174</v>
      </c>
      <c r="S649" s="13" t="s">
        <v>204</v>
      </c>
    </row>
    <row r="650" spans="1:22" s="14" customFormat="1" ht="13.5" hidden="1" customHeight="1" ns3:dyDescent="0.25">
      <c r="A650" s="13" t="s">
        <v>792</v>
      </c>
      <c r="B650" s="25" t="str">
        <f t="shared" si="37"/>
      </c>
      <c r="C650" s="13" t="s">
        <v>1147</v>
      </c>
      <c r="D650" s="13" t="s">
        <v>745</v>
      </c>
      <c r="E650" s="13" t="s">
        <v>8</v>
      </c>
      <c r="F650" s="13" t="s">
        <v>526</v>
      </c>
      <c r="G650" s="13" t="s">
        <v>117</v>
      </c>
      <c r="H650" s="13" t="str">
        <f>IFERROR(VLOOKUP(#REF!650,'정보화기기 명부'!A$2:B$187,2,FALSE),"")</f>
        <v/>
      </c>
      <c r="I650" s="13"/>
      <c r="J650" s="13"/>
      <c r="K650" s="13"/>
      <c r="L650" s="13">
        <v>20050715</v>
      </c>
      <c r="M650" s="13" t="s">
        <v>517</v>
      </c>
      <c r="N650" s="13" t="s">
        <v>1191</v>
      </c>
      <c r="O650" s="208">
        <v>331</v>
      </c>
      <c r="P650" s="13" t="s">
        <v>495</v>
      </c>
      <c r="Q650" s="13" t="s">
        <v>741</v>
      </c>
      <c r="R650" s="13" t="s">
        <v>174</v>
      </c>
      <c r="S650" s="13" t="s">
        <v>204</v>
      </c>
    </row>
    <row r="651" spans="1:22" s="14" customFormat="1" ht="13.5" hidden="1" customHeight="1" ns3:dyDescent="0.25">
      <c r="A651" s="13" t="s">
        <v>754</v>
      </c>
      <c r="B651" s="25" t="str">
        <f t="shared" si="37"/>
      </c>
      <c r="C651" s="13" t="s">
        <v>1147</v>
      </c>
      <c r="D651" s="13" t="s">
        <v>745</v>
      </c>
      <c r="E651" s="13" t="s">
        <v>8</v>
      </c>
      <c r="F651" s="13" t="s">
        <v>526</v>
      </c>
      <c r="G651" s="13" t="s">
        <v>117</v>
      </c>
      <c r="H651" s="13" t="str">
        <f>IFERROR(VLOOKUP(#REF!651,'정보화기기 명부'!A$2:B$187,2,FALSE),"")</f>
        <v/>
      </c>
      <c r="I651" s="13"/>
      <c r="J651" s="13"/>
      <c r="K651" s="13"/>
      <c r="L651" s="13">
        <v>20050715</v>
      </c>
      <c r="M651" s="13" t="s">
        <v>517</v>
      </c>
      <c r="N651" s="13" t="s">
        <v>1191</v>
      </c>
      <c r="O651" s="208">
        <v>330</v>
      </c>
      <c r="P651" s="13" t="s">
        <v>495</v>
      </c>
      <c r="Q651" s="13" t="s">
        <v>741</v>
      </c>
      <c r="R651" s="13" t="s">
        <v>174</v>
      </c>
      <c r="S651" s="13" t="s">
        <v>204</v>
      </c>
    </row>
    <row r="652" spans="1:22" s="14" customFormat="1" ht="13.5" hidden="1" customHeight="1" ns3:dyDescent="0.25">
      <c r="A652" s="13" t="s">
        <v>816</v>
      </c>
      <c r="B652" s="25" t="str">
        <f t="shared" si="37"/>
      </c>
      <c r="C652" s="13" t="s">
        <v>1147</v>
      </c>
      <c r="D652" s="13" t="s">
        <v>745</v>
      </c>
      <c r="E652" s="13" t="s">
        <v>8</v>
      </c>
      <c r="F652" s="13" t="s">
        <v>526</v>
      </c>
      <c r="G652" s="13" t="s">
        <v>117</v>
      </c>
      <c r="H652" s="13" t="str">
        <f>IFERROR(VLOOKUP(#REF!652,'정보화기기 명부'!A$2:B$187,2,FALSE),"")</f>
        <v/>
      </c>
      <c r="I652" s="13"/>
      <c r="J652" s="13"/>
      <c r="K652" s="13"/>
      <c r="L652" s="13">
        <v>20050715</v>
      </c>
      <c r="M652" s="13" t="s">
        <v>517</v>
      </c>
      <c r="N652" s="13" t="s">
        <v>1191</v>
      </c>
      <c r="O652" s="208">
        <v>329</v>
      </c>
      <c r="P652" s="13" t="s">
        <v>495</v>
      </c>
      <c r="Q652" s="13" t="s">
        <v>741</v>
      </c>
      <c r="R652" s="13" t="s">
        <v>174</v>
      </c>
      <c r="S652" s="13" t="s">
        <v>204</v>
      </c>
    </row>
    <row r="653" spans="1:22" s="14" customFormat="1" ht="13.5" hidden="1" customHeight="1" ns3:dyDescent="0.25">
      <c r="A653" s="13" t="s">
        <v>791</v>
      </c>
      <c r="B653" s="25" t="str">
        <f t="shared" si="37"/>
      </c>
      <c r="C653" s="13" t="s">
        <v>1147</v>
      </c>
      <c r="D653" s="13" t="s">
        <v>745</v>
      </c>
      <c r="E653" s="13" t="s">
        <v>8</v>
      </c>
      <c r="F653" s="13" t="s">
        <v>526</v>
      </c>
      <c r="G653" s="13" t="s">
        <v>117</v>
      </c>
      <c r="H653" s="13" t="str">
        <f>IFERROR(VLOOKUP(#REF!653,'정보화기기 명부'!A$2:B$187,2,FALSE),"")</f>
        <v/>
      </c>
      <c r="I653" s="13"/>
      <c r="J653" s="13"/>
      <c r="K653" s="13"/>
      <c r="L653" s="13">
        <v>20050715</v>
      </c>
      <c r="M653" s="13" t="s">
        <v>517</v>
      </c>
      <c r="N653" s="13" t="s">
        <v>1191</v>
      </c>
      <c r="O653" s="208">
        <v>328</v>
      </c>
      <c r="P653" s="13" t="s">
        <v>495</v>
      </c>
      <c r="Q653" s="13" t="s">
        <v>741</v>
      </c>
      <c r="R653" s="13" t="s">
        <v>174</v>
      </c>
      <c r="S653" s="13" t="s">
        <v>204</v>
      </c>
    </row>
    <row r="654" spans="1:22" s="14" customFormat="1" ht="13.5" hidden="1" customHeight="1" ns3:dyDescent="0.25">
      <c r="A654" s="13" t="s">
        <v>755</v>
      </c>
      <c r="B654" s="25" t="str">
        <f t="shared" si="37"/>
      </c>
      <c r="C654" s="13" t="s">
        <v>1147</v>
      </c>
      <c r="D654" s="13" t="s">
        <v>745</v>
      </c>
      <c r="E654" s="13" t="s">
        <v>8</v>
      </c>
      <c r="F654" s="13" t="s">
        <v>526</v>
      </c>
      <c r="G654" s="13" t="s">
        <v>117</v>
      </c>
      <c r="H654" s="13" t="str">
        <f>IFERROR(VLOOKUP(#REF!654,'정보화기기 명부'!A$2:B$187,2,FALSE),"")</f>
        <v/>
      </c>
      <c r="I654" s="13"/>
      <c r="J654" s="13"/>
      <c r="K654" s="13"/>
      <c r="L654" s="13">
        <v>20050715</v>
      </c>
      <c r="M654" s="13" t="s">
        <v>517</v>
      </c>
      <c r="N654" s="13" t="s">
        <v>1191</v>
      </c>
      <c r="O654" s="208">
        <v>327</v>
      </c>
      <c r="P654" s="13" t="s">
        <v>495</v>
      </c>
      <c r="Q654" s="13" t="s">
        <v>741</v>
      </c>
      <c r="R654" s="13" t="s">
        <v>174</v>
      </c>
      <c r="S654" s="13" t="s">
        <v>204</v>
      </c>
    </row>
    <row r="655" spans="1:22" s="14" customFormat="1" ht="13.5" hidden="1" customHeight="1" ns3:dyDescent="0.25">
      <c r="A655" s="13" t="s">
        <v>810</v>
      </c>
      <c r="B655" s="25" t="str">
        <f t="shared" si="37"/>
      </c>
      <c r="C655" s="13" t="s">
        <v>1147</v>
      </c>
      <c r="D655" s="13" t="s">
        <v>745</v>
      </c>
      <c r="E655" s="13" t="s">
        <v>8</v>
      </c>
      <c r="F655" s="13" t="s">
        <v>526</v>
      </c>
      <c r="G655" s="13" t="s">
        <v>117</v>
      </c>
      <c r="H655" s="13" t="str">
        <f>IFERROR(VLOOKUP(#REF!655,'정보화기기 명부'!A$2:B$187,2,FALSE),"")</f>
        <v/>
      </c>
      <c r="I655" s="13"/>
      <c r="J655" s="13"/>
      <c r="K655" s="13"/>
      <c r="L655" s="13">
        <v>20050715</v>
      </c>
      <c r="M655" s="13" t="s">
        <v>517</v>
      </c>
      <c r="N655" s="13" t="s">
        <v>1191</v>
      </c>
      <c r="O655" s="208">
        <v>326</v>
      </c>
      <c r="P655" s="13" t="s">
        <v>495</v>
      </c>
      <c r="Q655" s="13" t="s">
        <v>741</v>
      </c>
      <c r="R655" s="13" t="s">
        <v>174</v>
      </c>
      <c r="S655" s="13" t="s">
        <v>204</v>
      </c>
    </row>
    <row r="656" spans="1:22" s="14" customFormat="1" ht="13.5" hidden="1" customHeight="1" ns3:dyDescent="0.25">
      <c r="A656" s="13" t="s">
        <v>786</v>
      </c>
      <c r="B656" s="25" t="str">
        <f t="shared" si="37"/>
      </c>
      <c r="C656" s="13" t="s">
        <v>1147</v>
      </c>
      <c r="D656" s="13" t="s">
        <v>745</v>
      </c>
      <c r="E656" s="13" t="s">
        <v>8</v>
      </c>
      <c r="F656" s="13" t="s">
        <v>526</v>
      </c>
      <c r="G656" s="13" t="s">
        <v>117</v>
      </c>
      <c r="H656" s="13" t="str">
        <f>IFERROR(VLOOKUP(#REF!656,'정보화기기 명부'!A$2:B$187,2,FALSE),"")</f>
        <v/>
      </c>
      <c r="I656" s="13"/>
      <c r="J656" s="13"/>
      <c r="K656" s="13"/>
      <c r="L656" s="13">
        <v>20050715</v>
      </c>
      <c r="M656" s="13" t="s">
        <v>517</v>
      </c>
      <c r="N656" s="13" t="s">
        <v>1191</v>
      </c>
      <c r="O656" s="208">
        <v>325</v>
      </c>
      <c r="P656" s="13" t="s">
        <v>495</v>
      </c>
      <c r="Q656" s="13" t="s">
        <v>741</v>
      </c>
      <c r="R656" s="13" t="s">
        <v>174</v>
      </c>
      <c r="S656" s="13" t="s">
        <v>204</v>
      </c>
    </row>
    <row r="657" spans="1:22" s="14" customFormat="1" ht="13.5" hidden="1" customHeight="1" ns3:dyDescent="0.25">
      <c r="A657" s="13" t="s">
        <v>723</v>
      </c>
      <c r="B657" s="25" t="str">
        <f t="shared" si="37"/>
      </c>
      <c r="C657" s="13" t="s">
        <v>1147</v>
      </c>
      <c r="D657" s="13" t="s">
        <v>745</v>
      </c>
      <c r="E657" s="13" t="s">
        <v>8</v>
      </c>
      <c r="F657" s="13" t="s">
        <v>526</v>
      </c>
      <c r="G657" s="13" t="s">
        <v>117</v>
      </c>
      <c r="H657" s="13" t="str">
        <f>IFERROR(VLOOKUP(#REF!657,'정보화기기 명부'!A$2:B$187,2,FALSE),"")</f>
        <v/>
      </c>
      <c r="I657" s="13"/>
      <c r="J657" s="13"/>
      <c r="K657" s="13"/>
      <c r="L657" s="13">
        <v>20050715</v>
      </c>
      <c r="M657" s="13" t="s">
        <v>517</v>
      </c>
      <c r="N657" s="13" t="s">
        <v>1191</v>
      </c>
      <c r="O657" s="208">
        <v>324</v>
      </c>
      <c r="P657" s="13" t="s">
        <v>495</v>
      </c>
      <c r="Q657" s="13" t="s">
        <v>741</v>
      </c>
      <c r="R657" s="13" t="s">
        <v>174</v>
      </c>
      <c r="S657" s="13" t="s">
        <v>204</v>
      </c>
    </row>
    <row r="658" spans="1:22" s="14" customFormat="1" ht="13.5" hidden="1" customHeight="1" ns3:dyDescent="0.25">
      <c r="A658" s="13" t="s">
        <v>795</v>
      </c>
      <c r="B658" s="25" t="str">
        <f t="shared" si="37"/>
      </c>
      <c r="C658" s="13" t="s">
        <v>1147</v>
      </c>
      <c r="D658" s="13" t="s">
        <v>745</v>
      </c>
      <c r="E658" s="13" t="s">
        <v>8</v>
      </c>
      <c r="F658" s="13" t="s">
        <v>526</v>
      </c>
      <c r="G658" s="13" t="s">
        <v>117</v>
      </c>
      <c r="H658" s="13" t="str">
        <f>IFERROR(VLOOKUP(#REF!658,'정보화기기 명부'!A$2:B$187,2,FALSE),"")</f>
        <v/>
      </c>
      <c r="I658" s="13"/>
      <c r="J658" s="13"/>
      <c r="K658" s="13"/>
      <c r="L658" s="13">
        <v>20050715</v>
      </c>
      <c r="M658" s="13" t="s">
        <v>517</v>
      </c>
      <c r="N658" s="13" t="s">
        <v>1191</v>
      </c>
      <c r="O658" s="208">
        <v>323</v>
      </c>
      <c r="P658" s="13" t="s">
        <v>495</v>
      </c>
      <c r="Q658" s="13" t="s">
        <v>741</v>
      </c>
      <c r="R658" s="13" t="s">
        <v>174</v>
      </c>
      <c r="S658" s="13" t="s">
        <v>204</v>
      </c>
    </row>
    <row r="659" spans="1:22" s="14" customFormat="1" ht="13.5" hidden="1" customHeight="1" ns3:dyDescent="0.25">
      <c r="A659" s="13" t="s">
        <v>773</v>
      </c>
      <c r="B659" s="25" t="str">
        <f t="shared" si="37"/>
      </c>
      <c r="C659" s="13" t="s">
        <v>1147</v>
      </c>
      <c r="D659" s="13" t="s">
        <v>745</v>
      </c>
      <c r="E659" s="13" t="s">
        <v>8</v>
      </c>
      <c r="F659" s="13" t="s">
        <v>526</v>
      </c>
      <c r="G659" s="13" t="s">
        <v>117</v>
      </c>
      <c r="H659" s="13" t="str">
        <f>IFERROR(VLOOKUP(#REF!659,'정보화기기 명부'!A$2:B$187,2,FALSE),"")</f>
        <v/>
      </c>
      <c r="I659" s="13"/>
      <c r="J659" s="13"/>
      <c r="K659" s="13"/>
      <c r="L659" s="13">
        <v>20050715</v>
      </c>
      <c r="M659" s="13" t="s">
        <v>517</v>
      </c>
      <c r="N659" s="13" t="s">
        <v>1191</v>
      </c>
      <c r="O659" s="208">
        <v>322</v>
      </c>
      <c r="P659" s="13" t="s">
        <v>495</v>
      </c>
      <c r="Q659" s="13" t="s">
        <v>741</v>
      </c>
      <c r="R659" s="13" t="s">
        <v>174</v>
      </c>
      <c r="S659" s="13" t="s">
        <v>204</v>
      </c>
    </row>
    <row r="660" spans="1:22" s="14" customFormat="1" ht="13.5" hidden="1" customHeight="1" ns3:dyDescent="0.25">
      <c r="A660" s="13" t="s">
        <v>809</v>
      </c>
      <c r="B660" s="25" t="str">
        <f t="shared" si="37"/>
      </c>
      <c r="C660" s="13" t="s">
        <v>1147</v>
      </c>
      <c r="D660" s="13" t="s">
        <v>745</v>
      </c>
      <c r="E660" s="13" t="s">
        <v>8</v>
      </c>
      <c r="F660" s="13" t="s">
        <v>526</v>
      </c>
      <c r="G660" s="13" t="s">
        <v>117</v>
      </c>
      <c r="H660" s="13" t="str">
        <f>IFERROR(VLOOKUP(#REF!660,'정보화기기 명부'!A$2:B$187,2,FALSE),"")</f>
        <v/>
      </c>
      <c r="I660" s="13"/>
      <c r="J660" s="13"/>
      <c r="K660" s="13"/>
      <c r="L660" s="13">
        <v>20050715</v>
      </c>
      <c r="M660" s="13" t="s">
        <v>517</v>
      </c>
      <c r="N660" s="13" t="s">
        <v>1191</v>
      </c>
      <c r="O660" s="208">
        <v>321</v>
      </c>
      <c r="P660" s="13" t="s">
        <v>495</v>
      </c>
      <c r="Q660" s="13" t="s">
        <v>741</v>
      </c>
      <c r="R660" s="13" t="s">
        <v>174</v>
      </c>
      <c r="S660" s="13" t="s">
        <v>204</v>
      </c>
    </row>
    <row r="661" spans="1:22" s="14" customFormat="1" ht="13.5" hidden="1" customHeight="1" ns3:dyDescent="0.25">
      <c r="A661" s="13" t="s">
        <v>758</v>
      </c>
      <c r="B661" s="25" t="str">
        <f t="shared" si="37"/>
      </c>
      <c r="C661" s="13" t="s">
        <v>1147</v>
      </c>
      <c r="D661" s="13" t="s">
        <v>745</v>
      </c>
      <c r="E661" s="13" t="s">
        <v>8</v>
      </c>
      <c r="F661" s="13" t="s">
        <v>526</v>
      </c>
      <c r="G661" s="13" t="s">
        <v>117</v>
      </c>
      <c r="H661" s="13" t="str">
        <f>IFERROR(VLOOKUP(#REF!661,'정보화기기 명부'!A$2:B$187,2,FALSE),"")</f>
        <v/>
      </c>
      <c r="I661" s="13"/>
      <c r="J661" s="13"/>
      <c r="K661" s="13"/>
      <c r="L661" s="13">
        <v>20050715</v>
      </c>
      <c r="M661" s="13" t="s">
        <v>517</v>
      </c>
      <c r="N661" s="13" t="s">
        <v>1191</v>
      </c>
      <c r="O661" s="208">
        <v>320</v>
      </c>
      <c r="P661" s="13" t="s">
        <v>495</v>
      </c>
      <c r="Q661" s="13" t="s">
        <v>741</v>
      </c>
      <c r="R661" s="13" t="s">
        <v>174</v>
      </c>
      <c r="S661" s="13" t="s">
        <v>204</v>
      </c>
    </row>
    <row r="662" spans="1:22" s="14" customFormat="1" ht="13.5" hidden="1" customHeight="1" ns3:dyDescent="0.25">
      <c r="A662" s="13" t="s">
        <v>805</v>
      </c>
      <c r="B662" s="25" t="str">
        <f t="shared" si="37"/>
      </c>
      <c r="C662" s="13" t="s">
        <v>1147</v>
      </c>
      <c r="D662" s="13" t="s">
        <v>745</v>
      </c>
      <c r="E662" s="13" t="s">
        <v>8</v>
      </c>
      <c r="F662" s="13" t="s">
        <v>526</v>
      </c>
      <c r="G662" s="13" t="s">
        <v>117</v>
      </c>
      <c r="H662" s="13" t="str">
        <f>IFERROR(VLOOKUP(#REF!662,'정보화기기 명부'!A$2:B$187,2,FALSE),"")</f>
        <v/>
      </c>
      <c r="I662" s="13"/>
      <c r="J662" s="13"/>
      <c r="K662" s="13"/>
      <c r="L662" s="13">
        <v>20050715</v>
      </c>
      <c r="M662" s="13" t="s">
        <v>517</v>
      </c>
      <c r="N662" s="13" t="s">
        <v>1191</v>
      </c>
      <c r="O662" s="208">
        <v>319</v>
      </c>
      <c r="P662" s="13" t="s">
        <v>495</v>
      </c>
      <c r="Q662" s="13" t="s">
        <v>741</v>
      </c>
      <c r="R662" s="13" t="s">
        <v>174</v>
      </c>
      <c r="S662" s="13" t="s">
        <v>204</v>
      </c>
    </row>
    <row r="663" spans="1:22" s="14" customFormat="1" ht="13.5" hidden="1" customHeight="1" ns3:dyDescent="0.25">
      <c r="A663" s="13" t="s">
        <v>759</v>
      </c>
      <c r="B663" s="25" t="str">
        <f t="shared" si="37"/>
      </c>
      <c r="C663" s="13" t="s">
        <v>1147</v>
      </c>
      <c r="D663" s="13" t="s">
        <v>745</v>
      </c>
      <c r="E663" s="13" t="s">
        <v>8</v>
      </c>
      <c r="F663" s="13" t="s">
        <v>526</v>
      </c>
      <c r="G663" s="13" t="s">
        <v>117</v>
      </c>
      <c r="H663" s="13" t="str">
        <f>IFERROR(VLOOKUP(#REF!663,'정보화기기 명부'!A$2:B$187,2,FALSE),"")</f>
        <v/>
      </c>
      <c r="I663" s="13"/>
      <c r="J663" s="13"/>
      <c r="K663" s="13"/>
      <c r="L663" s="13">
        <v>20050715</v>
      </c>
      <c r="M663" s="13" t="s">
        <v>517</v>
      </c>
      <c r="N663" s="13" t="s">
        <v>1191</v>
      </c>
      <c r="O663" s="208">
        <v>318</v>
      </c>
      <c r="P663" s="13" t="s">
        <v>495</v>
      </c>
      <c r="Q663" s="13" t="s">
        <v>741</v>
      </c>
      <c r="R663" s="13" t="s">
        <v>174</v>
      </c>
      <c r="S663" s="13" t="s">
        <v>204</v>
      </c>
    </row>
    <row r="664" spans="1:22" s="14" customFormat="1" ht="13.5" hidden="1" customHeight="1" ns3:dyDescent="0.25">
      <c r="A664" s="13" t="s">
        <v>790</v>
      </c>
      <c r="B664" s="25" t="str">
        <f t="shared" si="37"/>
      </c>
      <c r="C664" s="13" t="s">
        <v>1147</v>
      </c>
      <c r="D664" s="13" t="s">
        <v>745</v>
      </c>
      <c r="E664" s="13" t="s">
        <v>8</v>
      </c>
      <c r="F664" s="13" t="s">
        <v>526</v>
      </c>
      <c r="G664" s="13" t="s">
        <v>117</v>
      </c>
      <c r="H664" s="13" t="str">
        <f>IFERROR(VLOOKUP(#REF!664,'정보화기기 명부'!A$2:B$187,2,FALSE),"")</f>
        <v/>
      </c>
      <c r="I664" s="13"/>
      <c r="J664" s="13"/>
      <c r="K664" s="13"/>
      <c r="L664" s="13">
        <v>20050715</v>
      </c>
      <c r="M664" s="13" t="s">
        <v>517</v>
      </c>
      <c r="N664" s="13" t="s">
        <v>1191</v>
      </c>
      <c r="O664" s="208">
        <v>317</v>
      </c>
      <c r="P664" s="13" t="s">
        <v>495</v>
      </c>
      <c r="Q664" s="13" t="s">
        <v>741</v>
      </c>
      <c r="R664" s="13" t="s">
        <v>174</v>
      </c>
      <c r="S664" s="13" t="s">
        <v>204</v>
      </c>
    </row>
    <row r="665" spans="1:22" s="14" customFormat="1" ht="13.5" hidden="1" customHeight="1" ns3:dyDescent="0.25">
      <c r="A665" s="13" t="s">
        <v>812</v>
      </c>
      <c r="B665" s="25" t="str">
        <f t="shared" si="37"/>
      </c>
      <c r="C665" s="13" t="s">
        <v>1147</v>
      </c>
      <c r="D665" s="13" t="s">
        <v>745</v>
      </c>
      <c r="E665" s="13" t="s">
        <v>8</v>
      </c>
      <c r="F665" s="13" t="s">
        <v>526</v>
      </c>
      <c r="G665" s="13" t="s">
        <v>117</v>
      </c>
      <c r="H665" s="13" t="str">
        <f>IFERROR(VLOOKUP(#REF!665,'정보화기기 명부'!A$2:B$187,2,FALSE),"")</f>
        <v/>
      </c>
      <c r="I665" s="13"/>
      <c r="J665" s="13"/>
      <c r="K665" s="13"/>
      <c r="L665" s="13">
        <v>20050715</v>
      </c>
      <c r="M665" s="13" t="s">
        <v>517</v>
      </c>
      <c r="N665" s="13" t="s">
        <v>1191</v>
      </c>
      <c r="O665" s="208">
        <v>316</v>
      </c>
      <c r="P665" s="13" t="s">
        <v>495</v>
      </c>
      <c r="Q665" s="13" t="s">
        <v>741</v>
      </c>
      <c r="R665" s="13" t="s">
        <v>174</v>
      </c>
      <c r="S665" s="13" t="s">
        <v>204</v>
      </c>
    </row>
    <row r="666" spans="1:22" s="14" customFormat="1" ht="13.5" hidden="1" customHeight="1" ns3:dyDescent="0.25">
      <c r="A666" s="13" t="s">
        <v>806</v>
      </c>
      <c r="B666" s="25" t="str">
        <f t="shared" si="37"/>
      </c>
      <c r="C666" s="13" t="s">
        <v>1147</v>
      </c>
      <c r="D666" s="13" t="s">
        <v>745</v>
      </c>
      <c r="E666" s="13" t="s">
        <v>8</v>
      </c>
      <c r="F666" s="13" t="s">
        <v>526</v>
      </c>
      <c r="G666" s="13" t="s">
        <v>117</v>
      </c>
      <c r="H666" s="13" t="str">
        <f>IFERROR(VLOOKUP(#REF!666,'정보화기기 명부'!A$2:B$187,2,FALSE),"")</f>
        <v/>
      </c>
      <c r="I666" s="13"/>
      <c r="J666" s="13"/>
      <c r="K666" s="13"/>
      <c r="L666" s="13">
        <v>20050715</v>
      </c>
      <c r="M666" s="13" t="s">
        <v>517</v>
      </c>
      <c r="N666" s="13" t="s">
        <v>1191</v>
      </c>
      <c r="O666" s="208">
        <v>315</v>
      </c>
      <c r="P666" s="13" t="s">
        <v>495</v>
      </c>
      <c r="Q666" s="13" t="s">
        <v>741</v>
      </c>
      <c r="R666" s="13" t="s">
        <v>174</v>
      </c>
      <c r="S666" s="13" t="s">
        <v>204</v>
      </c>
    </row>
    <row r="667" spans="1:22" s="14" customFormat="1" ht="13.5" hidden="1" customHeight="1" ns3:dyDescent="0.25">
      <c r="A667" s="13" t="s">
        <v>783</v>
      </c>
      <c r="B667" s="25" t="str">
        <f t="shared" si="37"/>
      </c>
      <c r="C667" s="13" t="s">
        <v>1147</v>
      </c>
      <c r="D667" s="13" t="s">
        <v>745</v>
      </c>
      <c r="E667" s="13" t="s">
        <v>8</v>
      </c>
      <c r="F667" s="13" t="s">
        <v>526</v>
      </c>
      <c r="G667" s="13" t="s">
        <v>117</v>
      </c>
      <c r="H667" s="13" t="str">
        <f>IFERROR(VLOOKUP(#REF!667,'정보화기기 명부'!A$2:B$187,2,FALSE),"")</f>
        <v/>
      </c>
      <c r="I667" s="13"/>
      <c r="J667" s="13"/>
      <c r="K667" s="13"/>
      <c r="L667" s="13">
        <v>20050715</v>
      </c>
      <c r="M667" s="13" t="s">
        <v>517</v>
      </c>
      <c r="N667" s="13" t="s">
        <v>1191</v>
      </c>
      <c r="O667" s="208">
        <v>314</v>
      </c>
      <c r="P667" s="13" t="s">
        <v>495</v>
      </c>
      <c r="Q667" s="13" t="s">
        <v>741</v>
      </c>
      <c r="R667" s="13" t="s">
        <v>174</v>
      </c>
      <c r="S667" s="13" t="s">
        <v>204</v>
      </c>
    </row>
    <row r="668" spans="1:22" s="14" customFormat="1" ht="13.5" hidden="1" customHeight="1" ns3:dyDescent="0.25">
      <c r="A668" s="13" t="s">
        <v>724</v>
      </c>
      <c r="B668" s="25" t="str">
        <f t="shared" si="37"/>
      </c>
      <c r="C668" s="13" t="s">
        <v>1147</v>
      </c>
      <c r="D668" s="13" t="s">
        <v>745</v>
      </c>
      <c r="E668" s="13" t="s">
        <v>8</v>
      </c>
      <c r="F668" s="13" t="s">
        <v>526</v>
      </c>
      <c r="G668" s="13" t="s">
        <v>117</v>
      </c>
      <c r="H668" s="13" t="str">
        <f>IFERROR(VLOOKUP(#REF!668,'정보화기기 명부'!A$2:B$187,2,FALSE),"")</f>
        <v/>
      </c>
      <c r="I668" s="13"/>
      <c r="J668" s="13"/>
      <c r="K668" s="13"/>
      <c r="L668" s="13">
        <v>20050715</v>
      </c>
      <c r="M668" s="13" t="s">
        <v>517</v>
      </c>
      <c r="N668" s="13" t="s">
        <v>1191</v>
      </c>
      <c r="O668" s="208">
        <v>313</v>
      </c>
      <c r="P668" s="13" t="s">
        <v>495</v>
      </c>
      <c r="Q668" s="13" t="s">
        <v>741</v>
      </c>
      <c r="R668" s="13" t="s">
        <v>174</v>
      </c>
      <c r="S668" s="13" t="s">
        <v>204</v>
      </c>
    </row>
    <row r="669" spans="1:22" s="14" customFormat="1" ht="13.5" hidden="1" customHeight="1" ns3:dyDescent="0.25">
      <c r="A669" s="13" t="s">
        <v>766</v>
      </c>
      <c r="B669" s="25" t="str">
        <f t="shared" si="37"/>
      </c>
      <c r="C669" s="13" t="s">
        <v>1147</v>
      </c>
      <c r="D669" s="13" t="s">
        <v>745</v>
      </c>
      <c r="E669" s="13" t="s">
        <v>8</v>
      </c>
      <c r="F669" s="13" t="s">
        <v>526</v>
      </c>
      <c r="G669" s="13" t="s">
        <v>117</v>
      </c>
      <c r="H669" s="13" t="str">
        <f>IFERROR(VLOOKUP(#REF!669,'정보화기기 명부'!A$2:B$187,2,FALSE),"")</f>
        <v/>
      </c>
      <c r="I669" s="13"/>
      <c r="J669" s="13"/>
      <c r="K669" s="13"/>
      <c r="L669" s="13">
        <v>20050715</v>
      </c>
      <c r="M669" s="13" t="s">
        <v>517</v>
      </c>
      <c r="N669" s="13" t="s">
        <v>1191</v>
      </c>
      <c r="O669" s="208">
        <v>312</v>
      </c>
      <c r="P669" s="13" t="s">
        <v>495</v>
      </c>
      <c r="Q669" s="13" t="s">
        <v>741</v>
      </c>
      <c r="R669" s="13" t="s">
        <v>174</v>
      </c>
      <c r="S669" s="13" t="s">
        <v>204</v>
      </c>
    </row>
    <row r="670" spans="1:22" s="14" customFormat="1" ht="13.5" hidden="1" customHeight="1" ns3:dyDescent="0.25">
      <c r="A670" s="13" t="s">
        <v>778</v>
      </c>
      <c r="B670" s="25" t="str">
        <f t="shared" si="37"/>
      </c>
      <c r="C670" s="13" t="s">
        <v>1147</v>
      </c>
      <c r="D670" s="13" t="s">
        <v>745</v>
      </c>
      <c r="E670" s="13" t="s">
        <v>8</v>
      </c>
      <c r="F670" s="13" t="s">
        <v>526</v>
      </c>
      <c r="G670" s="13" t="s">
        <v>117</v>
      </c>
      <c r="H670" s="13" t="str">
        <f>IFERROR(VLOOKUP(#REF!670,'정보화기기 명부'!A$2:B$187,2,FALSE),"")</f>
        <v/>
      </c>
      <c r="I670" s="13"/>
      <c r="J670" s="13"/>
      <c r="K670" s="13"/>
      <c r="L670" s="13">
        <v>20050715</v>
      </c>
      <c r="M670" s="13" t="s">
        <v>517</v>
      </c>
      <c r="N670" s="13" t="s">
        <v>1191</v>
      </c>
      <c r="O670" s="208">
        <v>311</v>
      </c>
      <c r="P670" s="13" t="s">
        <v>495</v>
      </c>
      <c r="Q670" s="13" t="s">
        <v>741</v>
      </c>
      <c r="R670" s="13" t="s">
        <v>174</v>
      </c>
      <c r="S670" s="13" t="s">
        <v>204</v>
      </c>
    </row>
    <row r="671" spans="1:22" s="14" customFormat="1" ht="13.5" hidden="1" customHeight="1" ns3:dyDescent="0.25">
      <c r="A671" s="13" t="s">
        <v>769</v>
      </c>
      <c r="B671" s="25" t="str">
        <f t="shared" si="37"/>
      </c>
      <c r="C671" s="13" t="s">
        <v>1147</v>
      </c>
      <c r="D671" s="13" t="s">
        <v>745</v>
      </c>
      <c r="E671" s="13" t="s">
        <v>8</v>
      </c>
      <c r="F671" s="13" t="s">
        <v>526</v>
      </c>
      <c r="G671" s="13" t="s">
        <v>117</v>
      </c>
      <c r="H671" s="13" t="str">
        <f>IFERROR(VLOOKUP(#REF!671,'정보화기기 명부'!A$2:B$187,2,FALSE),"")</f>
        <v/>
      </c>
      <c r="I671" s="13"/>
      <c r="J671" s="13"/>
      <c r="K671" s="13"/>
      <c r="L671" s="13">
        <v>20050715</v>
      </c>
      <c r="M671" s="13" t="s">
        <v>517</v>
      </c>
      <c r="N671" s="13" t="s">
        <v>1191</v>
      </c>
      <c r="O671" s="208">
        <v>310</v>
      </c>
      <c r="P671" s="13" t="s">
        <v>495</v>
      </c>
      <c r="Q671" s="13" t="s">
        <v>741</v>
      </c>
      <c r="R671" s="13" t="s">
        <v>174</v>
      </c>
      <c r="S671" s="13" t="s">
        <v>204</v>
      </c>
    </row>
    <row r="672" spans="1:22" s="14" customFormat="1" ht="13.5" hidden="1" customHeight="1" ns3:dyDescent="0.25">
      <c r="A672" s="13" t="s">
        <v>787</v>
      </c>
      <c r="B672" s="25" t="str">
        <f t="shared" si="37"/>
      </c>
      <c r="C672" s="13" t="s">
        <v>1147</v>
      </c>
      <c r="D672" s="13" t="s">
        <v>745</v>
      </c>
      <c r="E672" s="13" t="s">
        <v>8</v>
      </c>
      <c r="F672" s="13" t="s">
        <v>526</v>
      </c>
      <c r="G672" s="13" t="s">
        <v>117</v>
      </c>
      <c r="H672" s="13" t="str">
        <f>IFERROR(VLOOKUP(#REF!672,'정보화기기 명부'!A$2:B$187,2,FALSE),"")</f>
        <v/>
      </c>
      <c r="I672" s="13"/>
      <c r="J672" s="13"/>
      <c r="K672" s="13"/>
      <c r="L672" s="13">
        <v>20050715</v>
      </c>
      <c r="M672" s="13" t="s">
        <v>517</v>
      </c>
      <c r="N672" s="13" t="s">
        <v>1191</v>
      </c>
      <c r="O672" s="208">
        <v>309</v>
      </c>
      <c r="P672" s="13" t="s">
        <v>495</v>
      </c>
      <c r="Q672" s="13" t="s">
        <v>741</v>
      </c>
      <c r="R672" s="13" t="s">
        <v>174</v>
      </c>
      <c r="S672" s="13" t="s">
        <v>204</v>
      </c>
    </row>
    <row r="673" spans="1:22" s="14" customFormat="1" ht="13.5" hidden="1" customHeight="1" ns3:dyDescent="0.25">
      <c r="A673" s="13" t="s">
        <v>776</v>
      </c>
      <c r="B673" s="25" t="str">
        <f t="shared" si="37"/>
      </c>
      <c r="C673" s="13" t="s">
        <v>1147</v>
      </c>
      <c r="D673" s="13" t="s">
        <v>745</v>
      </c>
      <c r="E673" s="13" t="s">
        <v>8</v>
      </c>
      <c r="F673" s="13" t="s">
        <v>526</v>
      </c>
      <c r="G673" s="13" t="s">
        <v>117</v>
      </c>
      <c r="H673" s="13" t="str">
        <f>IFERROR(VLOOKUP(#REF!673,'정보화기기 명부'!A$2:B$187,2,FALSE),"")</f>
        <v/>
      </c>
      <c r="I673" s="13"/>
      <c r="J673" s="13"/>
      <c r="K673" s="13"/>
      <c r="L673" s="13">
        <v>20050715</v>
      </c>
      <c r="M673" s="13" t="s">
        <v>517</v>
      </c>
      <c r="N673" s="13" t="s">
        <v>1193</v>
      </c>
      <c r="O673" s="208">
        <v>308</v>
      </c>
      <c r="P673" s="13" t="s">
        <v>495</v>
      </c>
      <c r="Q673" s="13" t="s">
        <v>741</v>
      </c>
      <c r="R673" s="13" t="s">
        <v>174</v>
      </c>
      <c r="S673" s="13" t="s">
        <v>204</v>
      </c>
    </row>
    <row r="674" spans="1:22" s="14" customFormat="1" ht="13.5" hidden="1" customHeight="1" ns3:dyDescent="0.25">
      <c r="A674" s="13" t="s">
        <v>772</v>
      </c>
      <c r="B674" s="25" t="str">
        <f t="shared" si="37"/>
      </c>
      <c r="C674" s="13" t="s">
        <v>1147</v>
      </c>
      <c r="D674" s="13" t="s">
        <v>745</v>
      </c>
      <c r="E674" s="13" t="s">
        <v>8</v>
      </c>
      <c r="F674" s="13" t="s">
        <v>526</v>
      </c>
      <c r="G674" s="13" t="s">
        <v>117</v>
      </c>
      <c r="H674" s="13" t="str">
        <f>IFERROR(VLOOKUP(#REF!674,'정보화기기 명부'!A$2:B$187,2,FALSE),"")</f>
        <v/>
      </c>
      <c r="I674" s="13"/>
      <c r="J674" s="13"/>
      <c r="K674" s="13"/>
      <c r="L674" s="13">
        <v>20050715</v>
      </c>
      <c r="M674" s="13" t="s">
        <v>517</v>
      </c>
      <c r="N674" s="13" t="s">
        <v>1191</v>
      </c>
      <c r="O674" s="208">
        <v>307</v>
      </c>
      <c r="P674" s="13" t="s">
        <v>495</v>
      </c>
      <c r="Q674" s="13" t="s">
        <v>741</v>
      </c>
      <c r="R674" s="13" t="s">
        <v>174</v>
      </c>
      <c r="S674" s="13" t="s">
        <v>204</v>
      </c>
    </row>
    <row r="675" spans="1:22" s="14" customFormat="1" ht="13.5" hidden="1" customHeight="1" ns3:dyDescent="0.25">
      <c r="A675" s="13" t="s">
        <v>807</v>
      </c>
      <c r="B675" s="25" t="str">
        <f t="shared" si="37"/>
      </c>
      <c r="C675" s="13" t="s">
        <v>1147</v>
      </c>
      <c r="D675" s="13" t="s">
        <v>745</v>
      </c>
      <c r="E675" s="13" t="s">
        <v>8</v>
      </c>
      <c r="F675" s="13" t="s">
        <v>526</v>
      </c>
      <c r="G675" s="13" t="s">
        <v>117</v>
      </c>
      <c r="H675" s="13" t="str">
        <f>IFERROR(VLOOKUP(#REF!675,'정보화기기 명부'!A$2:B$187,2,FALSE),"")</f>
        <v/>
      </c>
      <c r="I675" s="13"/>
      <c r="J675" s="13"/>
      <c r="K675" s="13"/>
      <c r="L675" s="13">
        <v>20050715</v>
      </c>
      <c r="M675" s="13" t="s">
        <v>517</v>
      </c>
      <c r="N675" s="13" t="s">
        <v>1191</v>
      </c>
      <c r="O675" s="208">
        <v>306</v>
      </c>
      <c r="P675" s="13" t="s">
        <v>495</v>
      </c>
      <c r="Q675" s="13" t="s">
        <v>741</v>
      </c>
      <c r="R675" s="13" t="s">
        <v>174</v>
      </c>
      <c r="S675" s="13" t="s">
        <v>204</v>
      </c>
    </row>
    <row r="676" spans="1:22" s="14" customFormat="1" ht="13.5" hidden="1" customHeight="1" ns3:dyDescent="0.25">
      <c r="A676" s="13" t="s">
        <v>789</v>
      </c>
      <c r="B676" s="25" t="str">
        <f t="shared" si="37"/>
      </c>
      <c r="C676" s="13" t="s">
        <v>1147</v>
      </c>
      <c r="D676" s="13" t="s">
        <v>745</v>
      </c>
      <c r="E676" s="13" t="s">
        <v>8</v>
      </c>
      <c r="F676" s="13" t="s">
        <v>526</v>
      </c>
      <c r="G676" s="13" t="s">
        <v>117</v>
      </c>
      <c r="H676" s="13" t="str">
        <f>IFERROR(VLOOKUP(#REF!676,'정보화기기 명부'!A$2:B$187,2,FALSE),"")</f>
        <v/>
      </c>
      <c r="I676" s="13"/>
      <c r="J676" s="13"/>
      <c r="K676" s="13"/>
      <c r="L676" s="13">
        <v>20050715</v>
      </c>
      <c r="M676" s="13" t="s">
        <v>517</v>
      </c>
      <c r="N676" s="13" t="s">
        <v>1191</v>
      </c>
      <c r="O676" s="208">
        <v>305</v>
      </c>
      <c r="P676" s="13" t="s">
        <v>495</v>
      </c>
      <c r="Q676" s="13" t="s">
        <v>741</v>
      </c>
      <c r="R676" s="13" t="s">
        <v>174</v>
      </c>
      <c r="S676" s="13" t="s">
        <v>204</v>
      </c>
    </row>
    <row r="677" spans="1:22" s="14" customFormat="1" ht="13.5" hidden="1" customHeight="1" ns3:dyDescent="0.25">
      <c r="A677" s="13" t="s">
        <v>794</v>
      </c>
      <c r="B677" s="25" t="str">
        <f t="shared" si="37"/>
      </c>
      <c r="C677" s="13" t="s">
        <v>1147</v>
      </c>
      <c r="D677" s="13" t="s">
        <v>745</v>
      </c>
      <c r="E677" s="13" t="s">
        <v>8</v>
      </c>
      <c r="F677" s="13" t="s">
        <v>526</v>
      </c>
      <c r="G677" s="13" t="s">
        <v>117</v>
      </c>
      <c r="H677" s="13" t="str">
        <f>IFERROR(VLOOKUP(#REF!677,'정보화기기 명부'!A$2:B$187,2,FALSE),"")</f>
        <v/>
      </c>
      <c r="I677" s="13"/>
      <c r="J677" s="13"/>
      <c r="K677" s="13"/>
      <c r="L677" s="13">
        <v>20050715</v>
      </c>
      <c r="M677" s="13" t="s">
        <v>517</v>
      </c>
      <c r="N677" s="13" t="s">
        <v>1191</v>
      </c>
      <c r="O677" s="208">
        <v>304</v>
      </c>
      <c r="P677" s="13" t="s">
        <v>495</v>
      </c>
      <c r="Q677" s="13" t="s">
        <v>741</v>
      </c>
      <c r="R677" s="13" t="s">
        <v>174</v>
      </c>
      <c r="S677" s="13" t="s">
        <v>204</v>
      </c>
    </row>
    <row r="678" spans="1:22" s="14" customFormat="1" ht="13.5" hidden="1" customHeight="1" ns3:dyDescent="0.25">
      <c r="A678" s="13" t="s">
        <v>801</v>
      </c>
      <c r="B678" s="25" t="str">
        <f t="shared" si="37"/>
      </c>
      <c r="C678" s="13" t="s">
        <v>1147</v>
      </c>
      <c r="D678" s="13" t="s">
        <v>745</v>
      </c>
      <c r="E678" s="13" t="s">
        <v>8</v>
      </c>
      <c r="F678" s="13" t="s">
        <v>526</v>
      </c>
      <c r="G678" s="13" t="s">
        <v>117</v>
      </c>
      <c r="H678" s="13" t="str">
        <f>IFERROR(VLOOKUP(#REF!678,'정보화기기 명부'!A$2:B$187,2,FALSE),"")</f>
        <v/>
      </c>
      <c r="I678" s="13"/>
      <c r="J678" s="13"/>
      <c r="K678" s="13"/>
      <c r="L678" s="13">
        <v>20050715</v>
      </c>
      <c r="M678" s="13" t="s">
        <v>517</v>
      </c>
      <c r="N678" s="13" t="s">
        <v>1191</v>
      </c>
      <c r="O678" s="208">
        <v>303</v>
      </c>
      <c r="P678" s="13" t="s">
        <v>495</v>
      </c>
      <c r="Q678" s="13" t="s">
        <v>741</v>
      </c>
      <c r="R678" s="13" t="s">
        <v>174</v>
      </c>
      <c r="S678" s="13" t="s">
        <v>204</v>
      </c>
    </row>
    <row r="679" spans="1:22" s="14" customFormat="1" ht="13.5" hidden="1" customHeight="1" ns3:dyDescent="0.25">
      <c r="A679" s="13" t="s">
        <v>793</v>
      </c>
      <c r="B679" s="25" t="str">
        <f t="shared" si="37"/>
      </c>
      <c r="C679" s="13" t="s">
        <v>1147</v>
      </c>
      <c r="D679" s="13" t="s">
        <v>745</v>
      </c>
      <c r="E679" s="13" t="s">
        <v>8</v>
      </c>
      <c r="F679" s="13" t="s">
        <v>526</v>
      </c>
      <c r="G679" s="13" t="s">
        <v>117</v>
      </c>
      <c r="H679" s="13" t="str">
        <f>IFERROR(VLOOKUP(#REF!679,'정보화기기 명부'!A$2:B$187,2,FALSE),"")</f>
        <v/>
      </c>
      <c r="I679" s="13"/>
      <c r="J679" s="13"/>
      <c r="K679" s="13"/>
      <c r="L679" s="13">
        <v>20050715</v>
      </c>
      <c r="M679" s="13" t="s">
        <v>517</v>
      </c>
      <c r="N679" s="13" t="s">
        <v>1191</v>
      </c>
      <c r="O679" s="208">
        <v>302</v>
      </c>
      <c r="P679" s="13" t="s">
        <v>495</v>
      </c>
      <c r="Q679" s="13" t="s">
        <v>741</v>
      </c>
      <c r="R679" s="13" t="s">
        <v>174</v>
      </c>
      <c r="S679" s="13" t="s">
        <v>204</v>
      </c>
    </row>
    <row r="680" spans="1:22" s="14" customFormat="1" ht="13.5" hidden="1" customHeight="1" ns3:dyDescent="0.25">
      <c r="A680" s="13" t="s">
        <v>774</v>
      </c>
      <c r="B680" s="25" t="str">
        <f t="shared" si="37"/>
      </c>
      <c r="C680" s="13" t="s">
        <v>1147</v>
      </c>
      <c r="D680" s="13" t="s">
        <v>745</v>
      </c>
      <c r="E680" s="13" t="s">
        <v>8</v>
      </c>
      <c r="F680" s="13" t="s">
        <v>526</v>
      </c>
      <c r="G680" s="13" t="s">
        <v>117</v>
      </c>
      <c r="H680" s="13" t="str">
        <f>IFERROR(VLOOKUP(#REF!680,'정보화기기 명부'!A$2:B$187,2,FALSE),"")</f>
        <v/>
      </c>
      <c r="I680" s="13"/>
      <c r="J680" s="13"/>
      <c r="K680" s="13"/>
      <c r="L680" s="13">
        <v>20050715</v>
      </c>
      <c r="M680" s="13" t="s">
        <v>517</v>
      </c>
      <c r="N680" s="13" t="s">
        <v>1191</v>
      </c>
      <c r="O680" s="208">
        <v>301</v>
      </c>
      <c r="P680" s="13" t="s">
        <v>495</v>
      </c>
      <c r="Q680" s="13" t="s">
        <v>741</v>
      </c>
      <c r="R680" s="13" t="s">
        <v>174</v>
      </c>
      <c r="S680" s="13" t="s">
        <v>204</v>
      </c>
    </row>
    <row r="681" spans="1:22" s="14" customFormat="1" ht="13.5" hidden="1" customHeight="1" ns3:dyDescent="0.25">
      <c r="A681" s="13" t="s">
        <v>775</v>
      </c>
      <c r="B681" s="25" t="str">
        <f t="shared" si="37"/>
      </c>
      <c r="C681" s="13" t="s">
        <v>1147</v>
      </c>
      <c r="D681" s="13" t="s">
        <v>745</v>
      </c>
      <c r="E681" s="13" t="s">
        <v>8</v>
      </c>
      <c r="F681" s="13" t="s">
        <v>526</v>
      </c>
      <c r="G681" s="13" t="s">
        <v>117</v>
      </c>
      <c r="H681" s="13" t="str">
        <f>IFERROR(VLOOKUP(#REF!681,'정보화기기 명부'!A$2:B$187,2,FALSE),"")</f>
        <v/>
      </c>
      <c r="I681" s="13"/>
      <c r="J681" s="13"/>
      <c r="K681" s="13"/>
      <c r="L681" s="13">
        <v>20050715</v>
      </c>
      <c r="M681" s="13" t="s">
        <v>517</v>
      </c>
      <c r="N681" s="13" t="s">
        <v>1191</v>
      </c>
      <c r="O681" s="208">
        <v>300</v>
      </c>
      <c r="P681" s="13" t="s">
        <v>495</v>
      </c>
      <c r="Q681" s="13" t="s">
        <v>741</v>
      </c>
      <c r="R681" s="13" t="s">
        <v>174</v>
      </c>
      <c r="S681" s="13" t="s">
        <v>204</v>
      </c>
    </row>
    <row r="682" spans="1:22" s="14" customFormat="1" ht="13.5" hidden="1" customHeight="1" ns3:dyDescent="0.25">
      <c r="A682" s="13" t="s">
        <v>836</v>
      </c>
      <c r="B682" s="25" t="str">
        <f t="shared" si="37"/>
      </c>
      <c r="C682" s="13" t="s">
        <v>1147</v>
      </c>
      <c r="D682" s="13" t="s">
        <v>745</v>
      </c>
      <c r="E682" s="13" t="s">
        <v>8</v>
      </c>
      <c r="F682" s="13" t="s">
        <v>526</v>
      </c>
      <c r="G682" s="13" t="s">
        <v>117</v>
      </c>
      <c r="H682" s="13" t="str">
        <f>IFERROR(VLOOKUP(#REF!682,'정보화기기 명부'!A$2:B$187,2,FALSE),"")</f>
        <v/>
      </c>
      <c r="I682" s="13"/>
      <c r="J682" s="13"/>
      <c r="K682" s="13"/>
      <c r="L682" s="13">
        <v>20050715</v>
      </c>
      <c r="M682" s="13" t="s">
        <v>517</v>
      </c>
      <c r="N682" s="13" t="s">
        <v>1191</v>
      </c>
      <c r="O682" s="208">
        <v>299</v>
      </c>
      <c r="P682" s="13" t="s">
        <v>495</v>
      </c>
      <c r="Q682" s="13" t="s">
        <v>741</v>
      </c>
      <c r="R682" s="13" t="s">
        <v>174</v>
      </c>
      <c r="S682" s="13" t="s">
        <v>204</v>
      </c>
    </row>
    <row r="683" spans="1:22" s="14" customFormat="1" ht="13.5" hidden="1" customHeight="1" ns3:dyDescent="0.25">
      <c r="A683" s="13" t="s">
        <v>800</v>
      </c>
      <c r="B683" s="25" t="str">
        <f t="shared" si="37"/>
      </c>
      <c r="C683" s="13" t="s">
        <v>1147</v>
      </c>
      <c r="D683" s="13" t="s">
        <v>745</v>
      </c>
      <c r="E683" s="13" t="s">
        <v>8</v>
      </c>
      <c r="F683" s="13" t="s">
        <v>526</v>
      </c>
      <c r="G683" s="13" t="s">
        <v>117</v>
      </c>
      <c r="H683" s="13" t="str">
        <f>IFERROR(VLOOKUP(#REF!683,'정보화기기 명부'!A$2:B$187,2,FALSE),"")</f>
        <v/>
      </c>
      <c r="I683" s="13"/>
      <c r="J683" s="13"/>
      <c r="K683" s="13"/>
      <c r="L683" s="13">
        <v>20050715</v>
      </c>
      <c r="M683" s="13" t="s">
        <v>517</v>
      </c>
      <c r="N683" s="13" t="s">
        <v>1191</v>
      </c>
      <c r="O683" s="208">
        <v>297</v>
      </c>
      <c r="P683" s="13" t="s">
        <v>495</v>
      </c>
      <c r="Q683" s="13" t="s">
        <v>741</v>
      </c>
      <c r="R683" s="13" t="s">
        <v>174</v>
      </c>
      <c r="S683" s="13" t="s">
        <v>204</v>
      </c>
    </row>
    <row r="684" spans="1:22" s="14" customFormat="1" ht="13.5" hidden="1" customHeight="1" ns3:dyDescent="0.25">
      <c r="A684" s="13" t="s">
        <v>804</v>
      </c>
      <c r="B684" s="25" t="str">
        <f t="shared" si="37"/>
      </c>
      <c r="C684" s="13" t="s">
        <v>1147</v>
      </c>
      <c r="D684" s="13" t="s">
        <v>745</v>
      </c>
      <c r="E684" s="13" t="s">
        <v>8</v>
      </c>
      <c r="F684" s="13" t="s">
        <v>526</v>
      </c>
      <c r="G684" s="13" t="s">
        <v>117</v>
      </c>
      <c r="H684" s="13" t="str">
        <f>IFERROR(VLOOKUP(#REF!684,'정보화기기 명부'!A$2:B$187,2,FALSE),"")</f>
        <v/>
      </c>
      <c r="I684" s="13"/>
      <c r="J684" s="13"/>
      <c r="K684" s="13"/>
      <c r="L684" s="13">
        <v>20050715</v>
      </c>
      <c r="M684" s="13" t="s">
        <v>517</v>
      </c>
      <c r="N684" s="13" t="s">
        <v>1191</v>
      </c>
      <c r="O684" s="208">
        <v>296</v>
      </c>
      <c r="P684" s="13" t="s">
        <v>495</v>
      </c>
      <c r="Q684" s="13" t="s">
        <v>741</v>
      </c>
      <c r="R684" s="13" t="s">
        <v>174</v>
      </c>
      <c r="S684" s="13" t="s">
        <v>204</v>
      </c>
    </row>
    <row r="685" spans="1:22" s="14" customFormat="1" ht="13.5" hidden="1" customHeight="1" ns3:dyDescent="0.25">
      <c r="A685" s="13" t="s">
        <v>802</v>
      </c>
      <c r="B685" s="25" t="str">
        <f t="shared" si="37"/>
      </c>
      <c r="C685" s="13" t="s">
        <v>1147</v>
      </c>
      <c r="D685" s="13" t="s">
        <v>745</v>
      </c>
      <c r="E685" s="13" t="s">
        <v>8</v>
      </c>
      <c r="F685" s="13" t="s">
        <v>526</v>
      </c>
      <c r="G685" s="13" t="s">
        <v>117</v>
      </c>
      <c r="H685" s="13" t="str">
        <f>IFERROR(VLOOKUP(#REF!685,'정보화기기 명부'!A$2:B$187,2,FALSE),"")</f>
        <v/>
      </c>
      <c r="I685" s="13"/>
      <c r="J685" s="13"/>
      <c r="K685" s="13"/>
      <c r="L685" s="13">
        <v>20050715</v>
      </c>
      <c r="M685" s="13" t="s">
        <v>517</v>
      </c>
      <c r="N685" s="13" t="s">
        <v>1191</v>
      </c>
      <c r="O685" s="208">
        <v>295</v>
      </c>
      <c r="P685" s="13" t="s">
        <v>495</v>
      </c>
      <c r="Q685" s="13" t="s">
        <v>741</v>
      </c>
      <c r="R685" s="13" t="s">
        <v>174</v>
      </c>
      <c r="S685" s="13" t="s">
        <v>204</v>
      </c>
    </row>
    <row r="686" spans="1:22" s="14" customFormat="1" ht="13.5" hidden="1" customHeight="1" ns3:dyDescent="0.25">
      <c r="A686" s="13" t="s">
        <v>832</v>
      </c>
      <c r="B686" s="25" t="str">
        <f t="shared" si="37"/>
      </c>
      <c r="C686" s="13" t="s">
        <v>1147</v>
      </c>
      <c r="D686" s="13" t="s">
        <v>745</v>
      </c>
      <c r="E686" s="13" t="s">
        <v>8</v>
      </c>
      <c r="F686" s="13" t="s">
        <v>526</v>
      </c>
      <c r="G686" s="13" t="s">
        <v>117</v>
      </c>
      <c r="H686" s="13" t="str">
        <f>IFERROR(VLOOKUP(#REF!686,'정보화기기 명부'!A$2:B$187,2,FALSE),"")</f>
        <v/>
      </c>
      <c r="I686" s="13"/>
      <c r="J686" s="13"/>
      <c r="K686" s="13"/>
      <c r="L686" s="13">
        <v>20050715</v>
      </c>
      <c r="M686" s="13" t="s">
        <v>517</v>
      </c>
      <c r="N686" s="13" t="s">
        <v>1191</v>
      </c>
      <c r="O686" s="208">
        <v>294</v>
      </c>
      <c r="P686" s="13" t="s">
        <v>495</v>
      </c>
      <c r="Q686" s="13" t="s">
        <v>741</v>
      </c>
      <c r="R686" s="13" t="s">
        <v>174</v>
      </c>
      <c r="S686" s="13" t="s">
        <v>204</v>
      </c>
    </row>
    <row r="687" spans="1:22" s="14" customFormat="1" ht="13.5" hidden="1" customHeight="1" ns3:dyDescent="0.25">
      <c r="A687" s="13" t="s">
        <v>256</v>
      </c>
      <c r="B687" s="25" t="str">
        <f t="shared" si="37"/>
      </c>
      <c r="C687" s="13" t="s">
        <v>1147</v>
      </c>
      <c r="D687" s="13" t="s">
        <v>745</v>
      </c>
      <c r="E687" s="13" t="s">
        <v>8</v>
      </c>
      <c r="F687" s="13" t="s">
        <v>526</v>
      </c>
      <c r="G687" s="13" t="s">
        <v>117</v>
      </c>
      <c r="H687" s="13" t="str">
        <f>IFERROR(VLOOKUP(#REF!687,'정보화기기 명부'!A$2:B$187,2,FALSE),"")</f>
        <v/>
      </c>
      <c r="I687" s="13"/>
      <c r="J687" s="13"/>
      <c r="K687" s="13"/>
      <c r="L687" s="13">
        <v>20050715</v>
      </c>
      <c r="M687" s="13" t="s">
        <v>517</v>
      </c>
      <c r="N687" s="13" t="s">
        <v>1191</v>
      </c>
      <c r="O687" s="208">
        <v>293</v>
      </c>
      <c r="P687" s="13" t="s">
        <v>495</v>
      </c>
      <c r="Q687" s="13" t="s">
        <v>741</v>
      </c>
      <c r="R687" s="13" t="s">
        <v>174</v>
      </c>
      <c r="S687" s="13" t="s">
        <v>204</v>
      </c>
    </row>
    <row r="688" spans="1:22" s="14" customFormat="1" ht="13.5" hidden="1" customHeight="1" ns3:dyDescent="0.25">
      <c r="A688" s="13" t="s">
        <v>230</v>
      </c>
      <c r="B688" s="25" t="str">
        <f t="shared" si="37"/>
      </c>
      <c r="C688" s="13" t="s">
        <v>1147</v>
      </c>
      <c r="D688" s="13" t="s">
        <v>745</v>
      </c>
      <c r="E688" s="13" t="s">
        <v>8</v>
      </c>
      <c r="F688" s="13" t="s">
        <v>526</v>
      </c>
      <c r="G688" s="13" t="s">
        <v>117</v>
      </c>
      <c r="H688" s="13" t="str">
        <f>IFERROR(VLOOKUP(#REF!688,'정보화기기 명부'!A$2:B$187,2,FALSE),"")</f>
        <v/>
      </c>
      <c r="I688" s="13"/>
      <c r="J688" s="13"/>
      <c r="K688" s="13"/>
      <c r="L688" s="13">
        <v>20050715</v>
      </c>
      <c r="M688" s="13" t="s">
        <v>517</v>
      </c>
      <c r="N688" s="13" t="s">
        <v>1191</v>
      </c>
      <c r="O688" s="208">
        <v>292</v>
      </c>
      <c r="P688" s="13" t="s">
        <v>495</v>
      </c>
      <c r="Q688" s="13" t="s">
        <v>741</v>
      </c>
      <c r="R688" s="13" t="s">
        <v>174</v>
      </c>
      <c r="S688" s="13" t="s">
        <v>204</v>
      </c>
    </row>
    <row r="689" spans="1:22" s="14" customFormat="1" ht="13.5" hidden="1" customHeight="1" ns3:dyDescent="0.25">
      <c r="A689" s="13" t="s">
        <v>232</v>
      </c>
      <c r="B689" s="25" t="str">
        <f t="shared" si="37"/>
      </c>
      <c r="C689" s="13" t="s">
        <v>1147</v>
      </c>
      <c r="D689" s="13" t="s">
        <v>745</v>
      </c>
      <c r="E689" s="13" t="s">
        <v>8</v>
      </c>
      <c r="F689" s="13" t="s">
        <v>526</v>
      </c>
      <c r="G689" s="13" t="s">
        <v>117</v>
      </c>
      <c r="H689" s="13" t="str">
        <f>IFERROR(VLOOKUP(#REF!689,'정보화기기 명부'!A$2:B$187,2,FALSE),"")</f>
        <v/>
      </c>
      <c r="I689" s="13"/>
      <c r="J689" s="13"/>
      <c r="K689" s="13"/>
      <c r="L689" s="13">
        <v>20050715</v>
      </c>
      <c r="M689" s="13" t="s">
        <v>517</v>
      </c>
      <c r="N689" s="13" t="s">
        <v>1191</v>
      </c>
      <c r="O689" s="208">
        <v>291</v>
      </c>
      <c r="P689" s="13" t="s">
        <v>495</v>
      </c>
      <c r="Q689" s="13" t="s">
        <v>741</v>
      </c>
      <c r="R689" s="13" t="s">
        <v>174</v>
      </c>
      <c r="S689" s="13" t="s">
        <v>204</v>
      </c>
    </row>
    <row r="690" spans="1:22" s="14" customFormat="1" ht="13.5" hidden="1" customHeight="1" ns3:dyDescent="0.25">
      <c r="A690" s="13" t="s">
        <v>224</v>
      </c>
      <c r="B690" s="25" t="str">
        <f t="shared" ref="B690:B753" si="40">LEFT(L690,6)&amp;"-"&amp;TEXT(O690,"0000")</f>
      </c>
      <c r="C690" s="13" t="s">
        <v>1147</v>
      </c>
      <c r="D690" s="13" t="s">
        <v>745</v>
      </c>
      <c r="E690" s="13" t="s">
        <v>8</v>
      </c>
      <c r="F690" s="13" t="s">
        <v>526</v>
      </c>
      <c r="G690" s="13" t="s">
        <v>117</v>
      </c>
      <c r="H690" s="13" t="str">
        <f>IFERROR(VLOOKUP(#REF!690,'정보화기기 명부'!A$2:B$187,2,FALSE),"")</f>
        <v/>
      </c>
      <c r="I690" s="13"/>
      <c r="J690" s="13"/>
      <c r="K690" s="13"/>
      <c r="L690" s="13">
        <v>20050715</v>
      </c>
      <c r="M690" s="13" t="s">
        <v>517</v>
      </c>
      <c r="N690" s="13" t="s">
        <v>1191</v>
      </c>
      <c r="O690" s="208">
        <v>290</v>
      </c>
      <c r="P690" s="13" t="s">
        <v>495</v>
      </c>
      <c r="Q690" s="13" t="s">
        <v>741</v>
      </c>
      <c r="R690" s="13" t="s">
        <v>174</v>
      </c>
      <c r="S690" s="13" t="s">
        <v>204</v>
      </c>
    </row>
    <row r="691" spans="1:22" s="14" customFormat="1" ht="13.5" hidden="1" customHeight="1" ns3:dyDescent="0.25">
      <c r="A691" s="13" t="s">
        <v>220</v>
      </c>
      <c r="B691" s="25" t="str">
        <f t="shared" si="40"/>
      </c>
      <c r="C691" s="13" t="s">
        <v>1147</v>
      </c>
      <c r="D691" s="13" t="s">
        <v>745</v>
      </c>
      <c r="E691" s="13" t="s">
        <v>8</v>
      </c>
      <c r="F691" s="13" t="s">
        <v>526</v>
      </c>
      <c r="G691" s="13" t="s">
        <v>117</v>
      </c>
      <c r="H691" s="13" t="str">
        <f>IFERROR(VLOOKUP(#REF!691,'정보화기기 명부'!A$2:B$187,2,FALSE),"")</f>
        <v/>
      </c>
      <c r="I691" s="13"/>
      <c r="J691" s="13"/>
      <c r="K691" s="13"/>
      <c r="L691" s="13">
        <v>20050715</v>
      </c>
      <c r="M691" s="13" t="s">
        <v>517</v>
      </c>
      <c r="N691" s="13" t="s">
        <v>1191</v>
      </c>
      <c r="O691" s="208">
        <v>289</v>
      </c>
      <c r="P691" s="13" t="s">
        <v>495</v>
      </c>
      <c r="Q691" s="13" t="s">
        <v>741</v>
      </c>
      <c r="R691" s="13" t="s">
        <v>174</v>
      </c>
      <c r="S691" s="13" t="s">
        <v>204</v>
      </c>
    </row>
    <row r="692" spans="1:22" s="14" customFormat="1" ht="13.5" hidden="1" customHeight="1" ns3:dyDescent="0.25">
      <c r="A692" s="13" t="s">
        <v>203</v>
      </c>
      <c r="B692" s="25" t="str">
        <f t="shared" si="40"/>
      </c>
      <c r="C692" s="13" t="s">
        <v>1147</v>
      </c>
      <c r="D692" s="13" t="s">
        <v>745</v>
      </c>
      <c r="E692" s="13" t="s">
        <v>8</v>
      </c>
      <c r="F692" s="13" t="s">
        <v>526</v>
      </c>
      <c r="G692" s="13" t="s">
        <v>117</v>
      </c>
      <c r="H692" s="13" t="str">
        <f>IFERROR(VLOOKUP(#REF!692,'정보화기기 명부'!A$2:B$187,2,FALSE),"")</f>
        <v/>
      </c>
      <c r="I692" s="13"/>
      <c r="J692" s="13"/>
      <c r="K692" s="13"/>
      <c r="L692" s="13">
        <v>20050715</v>
      </c>
      <c r="M692" s="13" t="s">
        <v>517</v>
      </c>
      <c r="N692" s="13" t="s">
        <v>1191</v>
      </c>
      <c r="O692" s="208">
        <v>288</v>
      </c>
      <c r="P692" s="13" t="s">
        <v>495</v>
      </c>
      <c r="Q692" s="13" t="s">
        <v>741</v>
      </c>
      <c r="R692" s="13" t="s">
        <v>174</v>
      </c>
      <c r="S692" s="13" t="s">
        <v>204</v>
      </c>
    </row>
    <row r="693" spans="1:22" s="14" customFormat="1" ht="13.5" hidden="1" customHeight="1" ns3:dyDescent="0.25">
      <c r="A693" s="13" t="s">
        <v>207</v>
      </c>
      <c r="B693" s="25" t="str">
        <f t="shared" si="40"/>
      </c>
      <c r="C693" s="13" t="s">
        <v>1147</v>
      </c>
      <c r="D693" s="13" t="s">
        <v>745</v>
      </c>
      <c r="E693" s="13" t="s">
        <v>8</v>
      </c>
      <c r="F693" s="13" t="s">
        <v>526</v>
      </c>
      <c r="G693" s="13" t="s">
        <v>117</v>
      </c>
      <c r="H693" s="13" t="str">
        <f>IFERROR(VLOOKUP(#REF!693,'정보화기기 명부'!A$2:B$187,2,FALSE),"")</f>
        <v/>
      </c>
      <c r="I693" s="13"/>
      <c r="J693" s="13"/>
      <c r="K693" s="13"/>
      <c r="L693" s="13">
        <v>20050715</v>
      </c>
      <c r="M693" s="13" t="s">
        <v>517</v>
      </c>
      <c r="N693" s="13" t="s">
        <v>1191</v>
      </c>
      <c r="O693" s="208">
        <v>287</v>
      </c>
      <c r="P693" s="13" t="s">
        <v>495</v>
      </c>
      <c r="Q693" s="13" t="s">
        <v>741</v>
      </c>
      <c r="R693" s="13" t="s">
        <v>174</v>
      </c>
      <c r="S693" s="13" t="s">
        <v>204</v>
      </c>
    </row>
    <row r="694" spans="1:22" s="14" customFormat="1" ht="13.5" hidden="1" customHeight="1" ns3:dyDescent="0.25">
      <c r="A694" s="13" t="s">
        <v>205</v>
      </c>
      <c r="B694" s="25" t="str">
        <f t="shared" si="40"/>
      </c>
      <c r="C694" s="13" t="s">
        <v>1147</v>
      </c>
      <c r="D694" s="13" t="s">
        <v>745</v>
      </c>
      <c r="E694" s="13" t="s">
        <v>8</v>
      </c>
      <c r="F694" s="13" t="s">
        <v>526</v>
      </c>
      <c r="G694" s="13" t="s">
        <v>117</v>
      </c>
      <c r="H694" s="13" t="str">
        <f>IFERROR(VLOOKUP(#REF!694,'정보화기기 명부'!A$2:B$187,2,FALSE),"")</f>
        <v/>
      </c>
      <c r="I694" s="13"/>
      <c r="J694" s="13"/>
      <c r="K694" s="13"/>
      <c r="L694" s="13">
        <v>20050715</v>
      </c>
      <c r="M694" s="13" t="s">
        <v>517</v>
      </c>
      <c r="N694" s="13" t="s">
        <v>1191</v>
      </c>
      <c r="O694" s="208">
        <v>286</v>
      </c>
      <c r="P694" s="13" t="s">
        <v>495</v>
      </c>
      <c r="Q694" s="13" t="s">
        <v>741</v>
      </c>
      <c r="R694" s="13" t="s">
        <v>174</v>
      </c>
      <c r="S694" s="13" t="s">
        <v>204</v>
      </c>
    </row>
    <row r="695" spans="1:22" s="14" customFormat="1" ht="13.5" customHeight="1" ns3:dyDescent="0.25">
      <c r="A695" s="13" t="s">
        <v>155</v>
      </c>
      <c r="B695" s="25" t="str">
        <f t="shared" si="40"/>
      </c>
      <c r="C695" s="13" t="s">
        <v>102</v>
      </c>
      <c r="D695" s="13" t="s">
        <v>17</v>
      </c>
      <c r="E695" s="13" t="s">
        <v>8</v>
      </c>
      <c r="F695" s="13" t="s">
        <v>736</v>
      </c>
      <c r="G695" s="13" t="s">
        <v>117</v>
      </c>
      <c r="H695" s="13" t="str">
        <f>IFERROR(VLOOKUP(#REF!695,'정보화기기 명부'!A$2:B$187,2,FALSE),"")</f>
        <v/>
      </c>
      <c r="I695" s="13"/>
      <c r="J695" s="13"/>
      <c r="K695" s="13"/>
      <c r="L695" s="13">
        <v>20050715</v>
      </c>
      <c r="M695" s="13" t="s">
        <v>542</v>
      </c>
      <c r="N695" s="13" t="s">
        <v>1191</v>
      </c>
      <c r="O695" s="208">
        <v>272</v>
      </c>
      <c r="P695" s="13" t="s">
        <v>495</v>
      </c>
      <c r="Q695" s="13" t="s">
        <v>1187</v>
      </c>
      <c r="R695" s="13" t="s">
        <v>188</v>
      </c>
      <c r="S695" s="13" t="s">
        <v>213</v>
      </c>
    </row>
    <row r="696" spans="1:22" s="14" customFormat="1" ht="13.5" customHeight="1" ns3:dyDescent="0.25">
      <c r="A696" s="13" t="s">
        <v>155</v>
      </c>
      <c r="B696" s="25" t="str">
        <f t="shared" si="40"/>
      </c>
      <c r="C696" s="13" t="s">
        <v>102</v>
      </c>
      <c r="D696" s="13" t="s">
        <v>17</v>
      </c>
      <c r="E696" s="13" t="s">
        <v>8</v>
      </c>
      <c r="F696" s="13" t="s">
        <v>736</v>
      </c>
      <c r="G696" s="13" t="s">
        <v>117</v>
      </c>
      <c r="H696" s="13" t="str">
        <f>IFERROR(VLOOKUP(#REF!696,'정보화기기 명부'!A$2:B$187,2,FALSE),"")</f>
        <v/>
      </c>
      <c r="I696" s="13"/>
      <c r="J696" s="13"/>
      <c r="K696" s="13"/>
      <c r="L696" s="13">
        <v>20050715</v>
      </c>
      <c r="M696" s="13" t="s">
        <v>542</v>
      </c>
      <c r="N696" s="13" t="s">
        <v>1191</v>
      </c>
      <c r="O696" s="208">
        <v>271</v>
      </c>
      <c r="P696" s="13" t="s">
        <v>495</v>
      </c>
      <c r="Q696" s="13" t="s">
        <v>1187</v>
      </c>
      <c r="R696" s="13" t="s">
        <v>188</v>
      </c>
      <c r="S696" s="13" t="s">
        <v>213</v>
      </c>
    </row>
    <row r="697" spans="1:22" s="14" customFormat="1" ht="13.5" customHeight="1" ns3:dyDescent="0.25">
      <c r="A697" s="13" t="s">
        <v>155</v>
      </c>
      <c r="B697" s="25" t="str">
        <f t="shared" si="40"/>
      </c>
      <c r="C697" s="13" t="s">
        <v>102</v>
      </c>
      <c r="D697" s="13" t="s">
        <v>17</v>
      </c>
      <c r="E697" s="13" t="s">
        <v>8</v>
      </c>
      <c r="F697" s="13" t="s">
        <v>736</v>
      </c>
      <c r="G697" s="13" t="s">
        <v>117</v>
      </c>
      <c r="H697" s="13" t="str">
        <f>IFERROR(VLOOKUP(#REF!697,'정보화기기 명부'!A$2:B$187,2,FALSE),"")</f>
        <v/>
      </c>
      <c r="I697" s="13"/>
      <c r="J697" s="13"/>
      <c r="K697" s="13"/>
      <c r="L697" s="13">
        <v>20050715</v>
      </c>
      <c r="M697" s="13" t="s">
        <v>542</v>
      </c>
      <c r="N697" s="13" t="s">
        <v>1191</v>
      </c>
      <c r="O697" s="208">
        <v>270</v>
      </c>
      <c r="P697" s="13" t="s">
        <v>495</v>
      </c>
      <c r="Q697" s="13" t="s">
        <v>1187</v>
      </c>
      <c r="R697" s="13" t="s">
        <v>188</v>
      </c>
      <c r="S697" s="13" t="s">
        <v>213</v>
      </c>
    </row>
    <row r="698" spans="1:22" s="14" customFormat="1" ht="13.5" customHeight="1" ns3:dyDescent="0.25">
      <c r="A698" s="13" t="s">
        <v>155</v>
      </c>
      <c r="B698" s="25" t="str">
        <f t="shared" si="40"/>
      </c>
      <c r="C698" s="13" t="s">
        <v>102</v>
      </c>
      <c r="D698" s="13" t="s">
        <v>17</v>
      </c>
      <c r="E698" s="13" t="s">
        <v>8</v>
      </c>
      <c r="F698" s="13" t="s">
        <v>736</v>
      </c>
      <c r="G698" s="13" t="s">
        <v>117</v>
      </c>
      <c r="H698" s="13" t="str">
        <f>IFERROR(VLOOKUP(#REF!698,'정보화기기 명부'!A$2:B$187,2,FALSE),"")</f>
        <v/>
      </c>
      <c r="I698" s="13"/>
      <c r="J698" s="13"/>
      <c r="K698" s="13"/>
      <c r="L698" s="13">
        <v>20050715</v>
      </c>
      <c r="M698" s="13" t="s">
        <v>542</v>
      </c>
      <c r="N698" s="13" t="s">
        <v>1191</v>
      </c>
      <c r="O698" s="208">
        <v>269</v>
      </c>
      <c r="P698" s="13" t="s">
        <v>495</v>
      </c>
      <c r="Q698" s="13" t="s">
        <v>1187</v>
      </c>
      <c r="R698" s="13" t="s">
        <v>188</v>
      </c>
      <c r="S698" s="13" t="s">
        <v>213</v>
      </c>
    </row>
    <row r="699" spans="1:22" s="14" customFormat="1" ht="13.5" customHeight="1" ns3:dyDescent="0.25">
      <c r="A699" s="13" t="s">
        <v>155</v>
      </c>
      <c r="B699" s="25" t="str">
        <f t="shared" si="40"/>
      </c>
      <c r="C699" s="13" t="s">
        <v>102</v>
      </c>
      <c r="D699" s="13" t="s">
        <v>17</v>
      </c>
      <c r="E699" s="13" t="s">
        <v>8</v>
      </c>
      <c r="F699" s="13" t="s">
        <v>736</v>
      </c>
      <c r="G699" s="13" t="s">
        <v>117</v>
      </c>
      <c r="H699" s="13" t="str">
        <f>IFERROR(VLOOKUP(#REF!699,'정보화기기 명부'!A$2:B$187,2,FALSE),"")</f>
        <v/>
      </c>
      <c r="I699" s="13"/>
      <c r="J699" s="13"/>
      <c r="K699" s="13"/>
      <c r="L699" s="13">
        <v>20050715</v>
      </c>
      <c r="M699" s="13" t="s">
        <v>542</v>
      </c>
      <c r="N699" s="13" t="s">
        <v>1191</v>
      </c>
      <c r="O699" s="208">
        <v>268</v>
      </c>
      <c r="P699" s="13" t="s">
        <v>495</v>
      </c>
      <c r="Q699" s="13" t="s">
        <v>1187</v>
      </c>
      <c r="R699" s="13" t="s">
        <v>188</v>
      </c>
      <c r="S699" s="13" t="s">
        <v>213</v>
      </c>
    </row>
    <row r="700" spans="1:22" s="14" customFormat="1" ht="13.5" customHeight="1" ns3:dyDescent="0.25">
      <c r="A700" s="13" t="s">
        <v>155</v>
      </c>
      <c r="B700" s="25" t="str">
        <f t="shared" si="40"/>
      </c>
      <c r="C700" s="13" t="s">
        <v>102</v>
      </c>
      <c r="D700" s="13" t="s">
        <v>17</v>
      </c>
      <c r="E700" s="13" t="s">
        <v>8</v>
      </c>
      <c r="F700" s="13" t="s">
        <v>736</v>
      </c>
      <c r="G700" s="13" t="s">
        <v>117</v>
      </c>
      <c r="H700" s="13" t="str">
        <f>IFERROR(VLOOKUP(#REF!700,'정보화기기 명부'!A$2:B$187,2,FALSE),"")</f>
        <v/>
      </c>
      <c r="I700" s="13"/>
      <c r="J700" s="13"/>
      <c r="K700" s="13"/>
      <c r="L700" s="13">
        <v>20050715</v>
      </c>
      <c r="M700" s="13" t="s">
        <v>542</v>
      </c>
      <c r="N700" s="13" t="s">
        <v>1191</v>
      </c>
      <c r="O700" s="208">
        <v>267</v>
      </c>
      <c r="P700" s="13" t="s">
        <v>495</v>
      </c>
      <c r="Q700" s="13" t="s">
        <v>1187</v>
      </c>
      <c r="R700" s="13" t="s">
        <v>188</v>
      </c>
      <c r="S700" s="13" t="s">
        <v>213</v>
      </c>
    </row>
    <row r="701" spans="1:22" s="14" customFormat="1" ht="13.5" customHeight="1" ns3:dyDescent="0.25">
      <c r="A701" s="13" t="s">
        <v>155</v>
      </c>
      <c r="B701" s="25" t="str">
        <f t="shared" si="40"/>
      </c>
      <c r="C701" s="13" t="s">
        <v>102</v>
      </c>
      <c r="D701" s="13" t="s">
        <v>17</v>
      </c>
      <c r="E701" s="13" t="s">
        <v>8</v>
      </c>
      <c r="F701" s="13" t="s">
        <v>736</v>
      </c>
      <c r="G701" s="13" t="s">
        <v>117</v>
      </c>
      <c r="H701" s="13" t="str">
        <f>IFERROR(VLOOKUP(#REF!701,'정보화기기 명부'!A$2:B$187,2,FALSE),"")</f>
        <v/>
      </c>
      <c r="I701" s="13"/>
      <c r="J701" s="13"/>
      <c r="K701" s="13"/>
      <c r="L701" s="13">
        <v>20050715</v>
      </c>
      <c r="M701" s="13" t="s">
        <v>542</v>
      </c>
      <c r="N701" s="13" t="s">
        <v>1191</v>
      </c>
      <c r="O701" s="208">
        <v>266</v>
      </c>
      <c r="P701" s="13" t="s">
        <v>495</v>
      </c>
      <c r="Q701" s="13" t="s">
        <v>1187</v>
      </c>
      <c r="R701" s="13" t="s">
        <v>188</v>
      </c>
      <c r="S701" s="13" t="s">
        <v>213</v>
      </c>
    </row>
    <row r="702" spans="1:22" s="14" customFormat="1" ht="13.5" customHeight="1" ns3:dyDescent="0.25">
      <c r="A702" s="13" t="s">
        <v>155</v>
      </c>
      <c r="B702" s="25" t="str">
        <f t="shared" si="40"/>
      </c>
      <c r="C702" s="13" t="s">
        <v>102</v>
      </c>
      <c r="D702" s="13" t="s">
        <v>17</v>
      </c>
      <c r="E702" s="13" t="s">
        <v>8</v>
      </c>
      <c r="F702" s="13" t="s">
        <v>736</v>
      </c>
      <c r="G702" s="13" t="s">
        <v>117</v>
      </c>
      <c r="H702" s="13" t="str">
        <f>IFERROR(VLOOKUP(#REF!702,'정보화기기 명부'!A$2:B$187,2,FALSE),"")</f>
        <v/>
      </c>
      <c r="I702" s="13"/>
      <c r="J702" s="13"/>
      <c r="K702" s="13"/>
      <c r="L702" s="13">
        <v>20050715</v>
      </c>
      <c r="M702" s="13" t="s">
        <v>542</v>
      </c>
      <c r="N702" s="13" t="s">
        <v>1191</v>
      </c>
      <c r="O702" s="208">
        <v>265</v>
      </c>
      <c r="P702" s="13" t="s">
        <v>495</v>
      </c>
      <c r="Q702" s="13" t="s">
        <v>1187</v>
      </c>
      <c r="R702" s="13" t="s">
        <v>188</v>
      </c>
      <c r="S702" s="13" t="s">
        <v>213</v>
      </c>
    </row>
    <row r="703" spans="1:22" s="14" customFormat="1" ht="13.5" customHeight="1" ns3:dyDescent="0.25">
      <c r="A703" s="13" t="s">
        <v>155</v>
      </c>
      <c r="B703" s="25" t="str">
        <f t="shared" si="40"/>
      </c>
      <c r="C703" s="13" t="s">
        <v>102</v>
      </c>
      <c r="D703" s="13" t="s">
        <v>17</v>
      </c>
      <c r="E703" s="13" t="s">
        <v>8</v>
      </c>
      <c r="F703" s="13" t="s">
        <v>736</v>
      </c>
      <c r="G703" s="13" t="s">
        <v>117</v>
      </c>
      <c r="H703" s="13" t="str">
        <f>IFERROR(VLOOKUP(#REF!703,'정보화기기 명부'!A$2:B$187,2,FALSE),"")</f>
        <v/>
      </c>
      <c r="I703" s="13"/>
      <c r="J703" s="13"/>
      <c r="K703" s="13"/>
      <c r="L703" s="13">
        <v>20050715</v>
      </c>
      <c r="M703" s="13" t="s">
        <v>542</v>
      </c>
      <c r="N703" s="13" t="s">
        <v>1191</v>
      </c>
      <c r="O703" s="208">
        <v>264</v>
      </c>
      <c r="P703" s="13" t="s">
        <v>495</v>
      </c>
      <c r="Q703" s="13" t="s">
        <v>1187</v>
      </c>
      <c r="R703" s="13" t="s">
        <v>188</v>
      </c>
      <c r="S703" s="13" t="s">
        <v>213</v>
      </c>
    </row>
    <row r="704" spans="1:22" s="14" customFormat="1" ht="13.5" hidden="1" customHeight="1" ns3:dyDescent="0.25">
      <c r="A704" s="13" t="s">
        <v>771</v>
      </c>
      <c r="B704" s="25" t="str">
        <f t="shared" si="40"/>
      </c>
      <c r="C704" s="13" t="s">
        <v>1147</v>
      </c>
      <c r="D704" s="13" t="s">
        <v>745</v>
      </c>
      <c r="E704" s="13" t="s">
        <v>8</v>
      </c>
      <c r="F704" s="13" t="s">
        <v>1685</v>
      </c>
      <c r="G704" s="13" t="s">
        <v>117</v>
      </c>
      <c r="H704" s="13" t="str">
        <f>IFERROR(VLOOKUP(#REF!704,'정보화기기 명부'!A$2:B$187,2,FALSE),"")</f>
        <v/>
      </c>
      <c r="I704" s="13"/>
      <c r="J704" s="13"/>
      <c r="K704" s="13"/>
      <c r="L704" s="13">
        <v>20050715</v>
      </c>
      <c r="M704" s="13" t="s">
        <v>525</v>
      </c>
      <c r="N704" s="13" t="s">
        <v>1191</v>
      </c>
      <c r="O704" s="208">
        <v>260</v>
      </c>
      <c r="P704" s="13" t="s">
        <v>495</v>
      </c>
      <c r="Q704" s="13" t="s">
        <v>741</v>
      </c>
      <c r="R704" s="13" t="s">
        <v>188</v>
      </c>
      <c r="S704" s="13" t="s">
        <v>204</v>
      </c>
    </row>
    <row r="705" spans="1:22" s="14" customFormat="1" ht="13.5" hidden="1" customHeight="1" ns3:dyDescent="0.25">
      <c r="A705" s="13" t="s">
        <v>202</v>
      </c>
      <c r="B705" s="25" t="str">
        <f t="shared" si="40"/>
      </c>
      <c r="C705" s="13" t="s">
        <v>1147</v>
      </c>
      <c r="D705" s="13" t="s">
        <v>745</v>
      </c>
      <c r="E705" s="13" t="s">
        <v>8</v>
      </c>
      <c r="F705" s="13" t="s">
        <v>526</v>
      </c>
      <c r="G705" s="13" t="s">
        <v>117</v>
      </c>
      <c r="H705" s="13" t="str">
        <f>IFERROR(VLOOKUP(#REF!705,'정보화기기 명부'!A$2:B$187,2,FALSE),"")</f>
        <v/>
      </c>
      <c r="I705" s="13"/>
      <c r="J705" s="13"/>
      <c r="K705" s="13"/>
      <c r="L705" s="13">
        <v>20050715</v>
      </c>
      <c r="M705" s="13" t="s">
        <v>517</v>
      </c>
      <c r="N705" s="13" t="s">
        <v>1191</v>
      </c>
      <c r="O705" s="208">
        <v>259</v>
      </c>
      <c r="P705" s="13" t="s">
        <v>495</v>
      </c>
      <c r="Q705" s="13" t="s">
        <v>741</v>
      </c>
      <c r="R705" s="13" t="s">
        <v>174</v>
      </c>
      <c r="S705" s="13" t="s">
        <v>204</v>
      </c>
    </row>
    <row r="706" spans="1:22" s="14" customFormat="1" ht="13.5" hidden="1" customHeight="1" ns3:dyDescent="0.25">
      <c r="A706" s="13" t="s">
        <v>228</v>
      </c>
      <c r="B706" s="25" t="str">
        <f t="shared" si="40"/>
      </c>
      <c r="C706" s="13" t="s">
        <v>1147</v>
      </c>
      <c r="D706" s="13" t="s">
        <v>17</v>
      </c>
      <c r="E706" s="13" t="s">
        <v>8</v>
      </c>
      <c r="F706" s="13" t="s">
        <v>431</v>
      </c>
      <c r="G706" s="13" t="s">
        <v>117</v>
      </c>
      <c r="H706" s="13" t="str">
        <f>IFERROR(VLOOKUP(#REF!706,'정보화기기 명부'!A$2:B$187,2,FALSE),"")</f>
        <v/>
      </c>
      <c r="I706" s="13"/>
      <c r="J706" s="13"/>
      <c r="K706" s="13"/>
      <c r="L706" s="13">
        <v>20050715</v>
      </c>
      <c r="M706" s="13" t="s">
        <v>765</v>
      </c>
      <c r="N706" s="13" t="s">
        <v>1191</v>
      </c>
      <c r="O706" s="208">
        <v>254</v>
      </c>
      <c r="P706" s="13" t="s">
        <v>495</v>
      </c>
      <c r="Q706" s="13" t="s">
        <v>741</v>
      </c>
      <c r="R706" s="13" t="s">
        <v>174</v>
      </c>
      <c r="S706" s="13" t="s">
        <v>169</v>
      </c>
    </row>
    <row r="707" spans="1:22" s="14" customFormat="1" ht="13.5" customHeight="1" ns3:dyDescent="0.25">
      <c r="A707" s="13" t="s">
        <v>155</v>
      </c>
      <c r="B707" s="25" t="str">
        <f t="shared" si="40"/>
      </c>
      <c r="C707" s="13" t="s">
        <v>102</v>
      </c>
      <c r="D707" s="13" t="s">
        <v>17</v>
      </c>
      <c r="E707" s="13" t="s">
        <v>8</v>
      </c>
      <c r="F707" s="13" t="s">
        <v>736</v>
      </c>
      <c r="G707" s="13" t="s">
        <v>117</v>
      </c>
      <c r="H707" s="13" t="str">
        <f>IFERROR(VLOOKUP(#REF!707,'정보화기기 명부'!A$2:B$187,2,FALSE),"")</f>
        <v/>
      </c>
      <c r="I707" s="13"/>
      <c r="J707" s="13"/>
      <c r="K707" s="13"/>
      <c r="L707" s="13">
        <v>20050715</v>
      </c>
      <c r="M707" s="13" t="s">
        <v>542</v>
      </c>
      <c r="N707" s="13" t="s">
        <v>1191</v>
      </c>
      <c r="O707" s="208">
        <v>250</v>
      </c>
      <c r="P707" s="13" t="s">
        <v>495</v>
      </c>
      <c r="Q707" s="13" t="s">
        <v>1187</v>
      </c>
      <c r="R707" s="13" t="s">
        <v>188</v>
      </c>
      <c r="S707" s="13" t="s">
        <v>213</v>
      </c>
    </row>
    <row r="708" spans="1:22" s="14" customFormat="1" ht="13.5" hidden="1" customHeight="1" ns3:dyDescent="0.25">
      <c r="A708" s="13" t="s">
        <v>164</v>
      </c>
      <c r="B708" s="25" t="str">
        <f t="shared" si="40"/>
      </c>
      <c r="C708" s="13" t="s">
        <v>1147</v>
      </c>
      <c r="D708" s="13" t="s">
        <v>225</v>
      </c>
      <c r="E708" s="13" t="s">
        <v>8</v>
      </c>
      <c r="F708" s="13" t="s">
        <v>811</v>
      </c>
      <c r="G708" s="13" t="s">
        <v>117</v>
      </c>
      <c r="H708" s="13" t="str">
        <f>IFERROR(VLOOKUP(#REF!708,'정보화기기 명부'!A$2:B$187,2,FALSE),"")</f>
        <v/>
      </c>
      <c r="I708" s="13"/>
      <c r="J708" s="13"/>
      <c r="K708" s="13"/>
      <c r="L708" s="13">
        <v>20050503</v>
      </c>
      <c r="M708" s="13" t="s">
        <v>770</v>
      </c>
      <c r="N708" s="13" t="s">
        <v>1191</v>
      </c>
      <c r="O708" s="208">
        <v>249</v>
      </c>
      <c r="P708" s="13" t="s">
        <v>495</v>
      </c>
      <c r="Q708" s="13" t="s">
        <v>1218</v>
      </c>
      <c r="R708" s="13" t="s">
        <v>188</v>
      </c>
      <c r="S708" s="13" t="s">
        <v>204</v>
      </c>
    </row>
    <row r="709" spans="1:22" s="14" customFormat="1" ht="13.5" hidden="1" customHeight="1" ns3:dyDescent="0.25">
      <c r="A709" s="13" t="s">
        <v>1279</v>
      </c>
      <c r="B709" s="25" t="str">
        <f t="shared" si="40"/>
      </c>
      <c r="C709" s="13" t="s">
        <v>1147</v>
      </c>
      <c r="D709" s="13" t="s">
        <v>17</v>
      </c>
      <c r="E709" s="13" t="s">
        <v>8</v>
      </c>
      <c r="F709" s="13" t="s">
        <v>536</v>
      </c>
      <c r="G709" s="13" t="s">
        <v>117</v>
      </c>
      <c r="H709" s="13" t="str">
        <f>IFERROR(VLOOKUP(#REF!709,'정보화기기 명부'!A$2:B$187,2,FALSE),"")</f>
        <v/>
      </c>
      <c r="I709" s="13"/>
      <c r="J709" s="13"/>
      <c r="K709" s="13"/>
      <c r="L709" s="13">
        <v>20050413</v>
      </c>
      <c r="M709" s="13" t="s">
        <v>545</v>
      </c>
      <c r="N709" s="13" t="s">
        <v>1191</v>
      </c>
      <c r="O709" s="208">
        <v>285</v>
      </c>
      <c r="P709" s="13" t="s">
        <v>495</v>
      </c>
      <c r="Q709" s="13" t="s">
        <v>741</v>
      </c>
      <c r="R709" s="13" t="s">
        <v>188</v>
      </c>
      <c r="S709" s="13" t="s">
        <v>169</v>
      </c>
    </row>
    <row r="710" spans="1:22" s="14" customFormat="1" ht="13.5" hidden="1" customHeight="1" ns3:dyDescent="0.25">
      <c r="A710" s="13" t="s">
        <v>1279</v>
      </c>
      <c r="B710" s="25" t="str">
        <f t="shared" si="40"/>
      </c>
      <c r="C710" s="13" t="s">
        <v>1147</v>
      </c>
      <c r="D710" s="13" t="s">
        <v>17</v>
      </c>
      <c r="E710" s="13" t="s">
        <v>8</v>
      </c>
      <c r="F710" s="13" t="s">
        <v>536</v>
      </c>
      <c r="G710" s="13" t="s">
        <v>117</v>
      </c>
      <c r="H710" s="13" t="str">
        <f>IFERROR(VLOOKUP(#REF!710,'정보화기기 명부'!A$2:B$187,2,FALSE),"")</f>
        <v/>
      </c>
      <c r="I710" s="13"/>
      <c r="J710" s="13"/>
      <c r="K710" s="13"/>
      <c r="L710" s="13">
        <v>20050413</v>
      </c>
      <c r="M710" s="13" t="s">
        <v>545</v>
      </c>
      <c r="N710" s="13" t="s">
        <v>1191</v>
      </c>
      <c r="O710" s="208">
        <v>284</v>
      </c>
      <c r="P710" s="13" t="s">
        <v>495</v>
      </c>
      <c r="Q710" s="13" t="s">
        <v>741</v>
      </c>
      <c r="R710" s="13" t="s">
        <v>188</v>
      </c>
      <c r="S710" s="13" t="s">
        <v>169</v>
      </c>
    </row>
    <row r="711" spans="1:22" s="14" customFormat="1" ht="13.5" hidden="1" customHeight="1" ns3:dyDescent="0.25">
      <c r="A711" s="13" t="s">
        <v>185</v>
      </c>
      <c r="B711" s="25" t="str">
        <f t="shared" si="40"/>
      </c>
      <c r="C711" s="13" t="s">
        <v>1147</v>
      </c>
      <c r="D711" s="13" t="s">
        <v>17</v>
      </c>
      <c r="E711" s="13" t="s">
        <v>8</v>
      </c>
      <c r="F711" s="13" t="s">
        <v>536</v>
      </c>
      <c r="G711" s="13" t="s">
        <v>117</v>
      </c>
      <c r="H711" s="13" t="str">
        <f>IFERROR(VLOOKUP(#REF!711,'정보화기기 명부'!A$2:B$187,2,FALSE),"")</f>
        <v/>
      </c>
      <c r="I711" s="13"/>
      <c r="J711" s="13"/>
      <c r="K711" s="13"/>
      <c r="L711" s="13">
        <v>20050413</v>
      </c>
      <c r="M711" s="13" t="s">
        <v>545</v>
      </c>
      <c r="N711" s="13" t="s">
        <v>1191</v>
      </c>
      <c r="O711" s="208">
        <v>253</v>
      </c>
      <c r="P711" s="13" t="s">
        <v>495</v>
      </c>
      <c r="Q711" s="13" t="s">
        <v>741</v>
      </c>
      <c r="R711" s="13" t="s">
        <v>188</v>
      </c>
      <c r="S711" s="13" t="s">
        <v>169</v>
      </c>
    </row>
    <row r="712" spans="1:22" s="14" customFormat="1" ht="13.5" customHeight="1" ns3:dyDescent="0.25">
      <c r="A712" s="13" t="s">
        <v>178</v>
      </c>
      <c r="B712" s="25" t="str">
        <f t="shared" si="40"/>
      </c>
      <c r="C712" s="13" t="s">
        <v>102</v>
      </c>
      <c r="D712" s="13" t="s">
        <v>17</v>
      </c>
      <c r="E712" s="13" t="s">
        <v>8</v>
      </c>
      <c r="F712" s="13" t="s">
        <v>788</v>
      </c>
      <c r="G712" s="13" t="s">
        <v>117</v>
      </c>
      <c r="H712" s="13" t="str">
        <f>IFERROR(VLOOKUP(#REF!712,'정보화기기 명부'!A$2:B$187,2,FALSE),"")</f>
        <v/>
      </c>
      <c r="I712" s="13"/>
      <c r="J712" s="13"/>
      <c r="K712" s="13"/>
      <c r="L712" s="13">
        <v>20050407</v>
      </c>
      <c r="M712" s="13" t="s">
        <v>433</v>
      </c>
      <c r="N712" s="13" t="s">
        <v>1191</v>
      </c>
      <c r="O712" s="208">
        <v>248</v>
      </c>
      <c r="P712" s="13" t="s">
        <v>495</v>
      </c>
      <c r="Q712" s="13" t="s">
        <v>1187</v>
      </c>
      <c r="R712" s="13" t="s">
        <v>188</v>
      </c>
      <c r="S712" s="13" t="s">
        <v>219</v>
      </c>
    </row>
    <row r="713" spans="1:22" s="14" customFormat="1" ht="13.5" customHeight="1" ns3:dyDescent="0.25">
      <c r="A713" s="13" t="s">
        <v>178</v>
      </c>
      <c r="B713" s="25" t="str">
        <f t="shared" si="40"/>
      </c>
      <c r="C713" s="13" t="s">
        <v>102</v>
      </c>
      <c r="D713" s="13" t="s">
        <v>17</v>
      </c>
      <c r="E713" s="13" t="s">
        <v>8</v>
      </c>
      <c r="F713" s="13" t="s">
        <v>788</v>
      </c>
      <c r="G713" s="13" t="s">
        <v>117</v>
      </c>
      <c r="H713" s="13" t="str">
        <f>IFERROR(VLOOKUP(#REF!713,'정보화기기 명부'!A$2:B$187,2,FALSE),"")</f>
        <v/>
      </c>
      <c r="I713" s="13"/>
      <c r="J713" s="13"/>
      <c r="K713" s="13"/>
      <c r="L713" s="13">
        <v>20050407</v>
      </c>
      <c r="M713" s="13" t="s">
        <v>433</v>
      </c>
      <c r="N713" s="13" t="s">
        <v>1191</v>
      </c>
      <c r="O713" s="208">
        <v>247</v>
      </c>
      <c r="P713" s="13" t="s">
        <v>495</v>
      </c>
      <c r="Q713" s="13" t="s">
        <v>1187</v>
      </c>
      <c r="R713" s="13" t="s">
        <v>188</v>
      </c>
      <c r="S713" s="13" t="s">
        <v>219</v>
      </c>
    </row>
    <row r="714" spans="1:22" s="14" customFormat="1" ht="13.5" customHeight="1" ns3:dyDescent="0.25">
      <c r="A714" s="13" t="s">
        <v>178</v>
      </c>
      <c r="B714" s="25" t="str">
        <f t="shared" si="40"/>
      </c>
      <c r="C714" s="13" t="s">
        <v>102</v>
      </c>
      <c r="D714" s="13" t="s">
        <v>17</v>
      </c>
      <c r="E714" s="13" t="s">
        <v>8</v>
      </c>
      <c r="F714" s="13" t="s">
        <v>788</v>
      </c>
      <c r="G714" s="13" t="s">
        <v>117</v>
      </c>
      <c r="H714" s="13" t="str">
        <f>IFERROR(VLOOKUP(#REF!714,'정보화기기 명부'!A$2:B$187,2,FALSE),"")</f>
        <v/>
      </c>
      <c r="I714" s="13"/>
      <c r="J714" s="13"/>
      <c r="K714" s="13"/>
      <c r="L714" s="13">
        <v>20050407</v>
      </c>
      <c r="M714" s="13" t="s">
        <v>433</v>
      </c>
      <c r="N714" s="13" t="s">
        <v>1191</v>
      </c>
      <c r="O714" s="208">
        <v>246</v>
      </c>
      <c r="P714" s="13" t="s">
        <v>495</v>
      </c>
      <c r="Q714" s="13" t="s">
        <v>1187</v>
      </c>
      <c r="R714" s="13" t="s">
        <v>188</v>
      </c>
      <c r="S714" s="13" t="s">
        <v>219</v>
      </c>
    </row>
    <row r="715" spans="1:22" s="14" customFormat="1" ht="13.5" customHeight="1" ns3:dyDescent="0.25">
      <c r="A715" s="13" t="s">
        <v>178</v>
      </c>
      <c r="B715" s="25" t="str">
        <f t="shared" si="40"/>
      </c>
      <c r="C715" s="13" t="s">
        <v>102</v>
      </c>
      <c r="D715" s="13" t="s">
        <v>17</v>
      </c>
      <c r="E715" s="13" t="s">
        <v>8</v>
      </c>
      <c r="F715" s="13" t="s">
        <v>788</v>
      </c>
      <c r="G715" s="13" t="s">
        <v>117</v>
      </c>
      <c r="H715" s="13" t="str">
        <f>IFERROR(VLOOKUP(#REF!715,'정보화기기 명부'!A$2:B$187,2,FALSE),"")</f>
        <v/>
      </c>
      <c r="I715" s="13"/>
      <c r="J715" s="13"/>
      <c r="K715" s="13"/>
      <c r="L715" s="13">
        <v>20050407</v>
      </c>
      <c r="M715" s="13" t="s">
        <v>433</v>
      </c>
      <c r="N715" s="13" t="s">
        <v>1191</v>
      </c>
      <c r="O715" s="208">
        <v>245</v>
      </c>
      <c r="P715" s="13" t="s">
        <v>495</v>
      </c>
      <c r="Q715" s="13" t="s">
        <v>1187</v>
      </c>
      <c r="R715" s="13" t="s">
        <v>188</v>
      </c>
      <c r="S715" s="13" t="s">
        <v>219</v>
      </c>
    </row>
    <row r="716" spans="1:22" s="14" customFormat="1" ht="13.5" hidden="1" customHeight="1" ns3:dyDescent="0.25">
      <c r="A716" s="13" t="s">
        <v>185</v>
      </c>
      <c r="B716" s="25" t="str">
        <f t="shared" si="40"/>
      </c>
      <c r="C716" s="13" t="s">
        <v>1147</v>
      </c>
      <c r="D716" s="13" t="s">
        <v>17</v>
      </c>
      <c r="E716" s="13" t="s">
        <v>8</v>
      </c>
      <c r="F716" s="13" t="s">
        <v>811</v>
      </c>
      <c r="G716" s="13" t="s">
        <v>117</v>
      </c>
      <c r="H716" s="13" t="str">
        <f>IFERROR(VLOOKUP(#REF!716,'정보화기기 명부'!A$2:B$187,2,FALSE),"")</f>
        <v/>
      </c>
      <c r="I716" s="13"/>
      <c r="J716" s="13"/>
      <c r="K716" s="13"/>
      <c r="L716" s="13">
        <v>20050325</v>
      </c>
      <c r="M716" s="13" t="s">
        <v>831</v>
      </c>
      <c r="N716" s="13" t="s">
        <v>1191</v>
      </c>
      <c r="O716" s="208">
        <v>252</v>
      </c>
      <c r="P716" s="13" t="s">
        <v>495</v>
      </c>
      <c r="Q716" s="13" t="s">
        <v>741</v>
      </c>
      <c r="R716" s="13" t="s">
        <v>188</v>
      </c>
      <c r="S716" s="13" t="s">
        <v>204</v>
      </c>
    </row>
    <row r="717" spans="1:22" s="14" customFormat="1" ht="13.5" hidden="1" customHeight="1" ns3:dyDescent="0.25">
      <c r="A717" s="13" t="s">
        <v>541</v>
      </c>
      <c r="B717" s="25" t="str">
        <f t="shared" si="40"/>
      </c>
      <c r="C717" s="13" t="s">
        <v>1147</v>
      </c>
      <c r="D717" s="13" t="s">
        <v>17</v>
      </c>
      <c r="E717" s="13" t="s">
        <v>8</v>
      </c>
      <c r="F717" s="13" t="s">
        <v>821</v>
      </c>
      <c r="G717" s="13" t="s">
        <v>117</v>
      </c>
      <c r="H717" s="13" t="str">
        <f>IFERROR(VLOOKUP(#REF!717,'정보화기기 명부'!A$2:B$187,2,FALSE),"")</f>
        <v/>
      </c>
      <c r="I717" s="13"/>
      <c r="J717" s="13"/>
      <c r="K717" s="13"/>
      <c r="L717" s="13">
        <v>20050228</v>
      </c>
      <c r="M717" s="13" t="s">
        <v>429</v>
      </c>
      <c r="N717" s="13" t="s">
        <v>1191</v>
      </c>
      <c r="O717" s="208">
        <v>227</v>
      </c>
      <c r="P717" s="13" t="s">
        <v>495</v>
      </c>
      <c r="Q717" s="13" t="s">
        <v>741</v>
      </c>
      <c r="R717" s="13" t="s">
        <v>188</v>
      </c>
      <c r="S717" s="13" t="s">
        <v>204</v>
      </c>
    </row>
    <row r="718" spans="1:22" s="14" customFormat="1" ht="13.5" hidden="1" customHeight="1" ns3:dyDescent="0.25">
      <c r="A718" s="13" t="s">
        <v>1297</v>
      </c>
      <c r="B718" s="25" t="str">
        <f t="shared" si="40"/>
      </c>
      <c r="C718" s="13" t="s">
        <v>1147</v>
      </c>
      <c r="D718" s="13" t="s">
        <v>17</v>
      </c>
      <c r="E718" s="13" t="s">
        <v>8</v>
      </c>
      <c r="F718" s="13" t="s">
        <v>811</v>
      </c>
      <c r="G718" s="13" t="s">
        <v>117</v>
      </c>
      <c r="H718" s="13" t="str">
        <f>IFERROR(VLOOKUP(#REF!718,'정보화기기 명부'!A$2:B$187,2,FALSE),"")</f>
        <v/>
      </c>
      <c r="I718" s="13"/>
      <c r="J718" s="13"/>
      <c r="K718" s="13"/>
      <c r="L718" s="13">
        <v>20050225</v>
      </c>
      <c r="M718" s="13" t="s">
        <v>537</v>
      </c>
      <c r="N718" s="13" t="s">
        <v>1191</v>
      </c>
      <c r="O718" s="208">
        <v>262</v>
      </c>
      <c r="P718" s="13" t="s">
        <v>495</v>
      </c>
      <c r="Q718" s="13" t="s">
        <v>741</v>
      </c>
      <c r="R718" s="13" t="s">
        <v>188</v>
      </c>
      <c r="S718" s="13" t="s">
        <v>204</v>
      </c>
    </row>
    <row r="719" spans="1:22" s="14" customFormat="1" ht="13.5" hidden="1" customHeight="1" ns3:dyDescent="0.25">
      <c r="A719" s="13" t="s">
        <v>160</v>
      </c>
      <c r="B719" s="25" t="str">
        <f t="shared" si="40"/>
      </c>
      <c r="C719" s="13" t="s">
        <v>1147</v>
      </c>
      <c r="D719" s="13" t="s">
        <v>17</v>
      </c>
      <c r="E719" s="13" t="s">
        <v>8</v>
      </c>
      <c r="F719" s="13" t="s">
        <v>811</v>
      </c>
      <c r="G719" s="13" t="s">
        <v>117</v>
      </c>
      <c r="H719" s="13" t="str">
        <f>IFERROR(VLOOKUP(#REF!719,'정보화기기 명부'!A$2:B$187,2,FALSE),"")</f>
        <v/>
      </c>
      <c r="I719" s="13"/>
      <c r="J719" s="13"/>
      <c r="K719" s="13"/>
      <c r="L719" s="13">
        <v>20050225</v>
      </c>
      <c r="M719" s="13" t="s">
        <v>531</v>
      </c>
      <c r="N719" s="13" t="s">
        <v>1191</v>
      </c>
      <c r="O719" s="208">
        <v>238</v>
      </c>
      <c r="P719" s="13" t="s">
        <v>495</v>
      </c>
      <c r="Q719" s="13" t="s">
        <v>741</v>
      </c>
      <c r="R719" s="13" t="s">
        <v>188</v>
      </c>
      <c r="S719" s="13" t="s">
        <v>204</v>
      </c>
    </row>
    <row r="720" spans="1:22" s="14" customFormat="1" ht="13.5" hidden="1" customHeight="1" ns3:dyDescent="0.25">
      <c r="A720" s="13" t="s">
        <v>830</v>
      </c>
      <c r="B720" s="25" t="str">
        <f t="shared" si="40"/>
      </c>
      <c r="C720" s="13" t="s">
        <v>1147</v>
      </c>
      <c r="D720" s="13" t="s">
        <v>17</v>
      </c>
      <c r="E720" s="13" t="s">
        <v>8</v>
      </c>
      <c r="F720" s="13" t="s">
        <v>811</v>
      </c>
      <c r="G720" s="13" t="s">
        <v>117</v>
      </c>
      <c r="H720" s="13" t="str">
        <f>IFERROR(VLOOKUP(#REF!720,'정보화기기 명부'!A$2:B$187,2,FALSE),"")</f>
        <v/>
      </c>
      <c r="I720" s="13"/>
      <c r="J720" s="13"/>
      <c r="K720" s="13"/>
      <c r="L720" s="13">
        <v>20050225</v>
      </c>
      <c r="M720" s="13" t="s">
        <v>531</v>
      </c>
      <c r="N720" s="13" t="s">
        <v>1191</v>
      </c>
      <c r="O720" s="208">
        <v>237</v>
      </c>
      <c r="P720" s="13" t="s">
        <v>495</v>
      </c>
      <c r="Q720" s="13" t="s">
        <v>741</v>
      </c>
      <c r="R720" s="13" t="s">
        <v>188</v>
      </c>
      <c r="S720" s="13" t="s">
        <v>204</v>
      </c>
    </row>
    <row r="721" spans="1:22" s="14" customFormat="1" ht="13.5" hidden="1" customHeight="1" ns3:dyDescent="0.25">
      <c r="A721" s="13" t="s">
        <v>813</v>
      </c>
      <c r="B721" s="25" t="str">
        <f t="shared" si="40"/>
      </c>
      <c r="C721" s="13" t="s">
        <v>1147</v>
      </c>
      <c r="D721" s="13" t="s">
        <v>17</v>
      </c>
      <c r="E721" s="13" t="s">
        <v>8</v>
      </c>
      <c r="F721" s="13" t="s">
        <v>811</v>
      </c>
      <c r="G721" s="13" t="s">
        <v>117</v>
      </c>
      <c r="H721" s="13" t="str">
        <f>IFERROR(VLOOKUP(#REF!721,'정보화기기 명부'!A$2:B$187,2,FALSE),"")</f>
        <v/>
      </c>
      <c r="I721" s="13"/>
      <c r="J721" s="13"/>
      <c r="K721" s="13"/>
      <c r="L721" s="13">
        <v>20050225</v>
      </c>
      <c r="M721" s="13" t="s">
        <v>531</v>
      </c>
      <c r="N721" s="13" t="s">
        <v>1191</v>
      </c>
      <c r="O721" s="208">
        <v>236</v>
      </c>
      <c r="P721" s="13" t="s">
        <v>495</v>
      </c>
      <c r="Q721" s="13" t="s">
        <v>741</v>
      </c>
      <c r="R721" s="13" t="s">
        <v>188</v>
      </c>
      <c r="S721" s="13" t="s">
        <v>204</v>
      </c>
    </row>
    <row r="722" spans="1:22" s="14" customFormat="1" ht="13.5" hidden="1" customHeight="1" ns3:dyDescent="0.25">
      <c r="A722" s="13" t="s">
        <v>820</v>
      </c>
      <c r="B722" s="25" t="str">
        <f t="shared" si="40"/>
      </c>
      <c r="C722" s="13" t="s">
        <v>1147</v>
      </c>
      <c r="D722" s="13" t="s">
        <v>17</v>
      </c>
      <c r="E722" s="13" t="s">
        <v>8</v>
      </c>
      <c r="F722" s="13" t="s">
        <v>811</v>
      </c>
      <c r="G722" s="13" t="s">
        <v>117</v>
      </c>
      <c r="H722" s="13" t="str">
        <f>IFERROR(VLOOKUP(#REF!722,'정보화기기 명부'!A$2:B$187,2,FALSE),"")</f>
        <v/>
      </c>
      <c r="I722" s="13"/>
      <c r="J722" s="13"/>
      <c r="K722" s="13"/>
      <c r="L722" s="13">
        <v>20050225</v>
      </c>
      <c r="M722" s="13" t="s">
        <v>531</v>
      </c>
      <c r="N722" s="13" t="s">
        <v>1191</v>
      </c>
      <c r="O722" s="208">
        <v>235</v>
      </c>
      <c r="P722" s="13" t="s">
        <v>495</v>
      </c>
      <c r="Q722" s="13" t="s">
        <v>741</v>
      </c>
      <c r="R722" s="13" t="s">
        <v>188</v>
      </c>
      <c r="S722" s="13" t="s">
        <v>204</v>
      </c>
    </row>
    <row r="723" spans="1:22" s="14" customFormat="1" ht="13.5" hidden="1" customHeight="1" ns3:dyDescent="0.25">
      <c r="A723" s="13" t="s">
        <v>825</v>
      </c>
      <c r="B723" s="25" t="str">
        <f t="shared" si="40"/>
      </c>
      <c r="C723" s="13" t="s">
        <v>1147</v>
      </c>
      <c r="D723" s="13" t="s">
        <v>17</v>
      </c>
      <c r="E723" s="13" t="s">
        <v>8</v>
      </c>
      <c r="F723" s="13" t="s">
        <v>811</v>
      </c>
      <c r="G723" s="13" t="s">
        <v>117</v>
      </c>
      <c r="H723" s="13" t="str">
        <f>IFERROR(VLOOKUP(#REF!723,'정보화기기 명부'!A$2:B$187,2,FALSE),"")</f>
        <v/>
      </c>
      <c r="I723" s="13"/>
      <c r="J723" s="13"/>
      <c r="K723" s="13"/>
      <c r="L723" s="13">
        <v>20050225</v>
      </c>
      <c r="M723" s="13" t="s">
        <v>531</v>
      </c>
      <c r="N723" s="13" t="s">
        <v>1191</v>
      </c>
      <c r="O723" s="208">
        <v>234</v>
      </c>
      <c r="P723" s="13" t="s">
        <v>495</v>
      </c>
      <c r="Q723" s="13" t="s">
        <v>741</v>
      </c>
      <c r="R723" s="13" t="s">
        <v>188</v>
      </c>
      <c r="S723" s="13" t="s">
        <v>204</v>
      </c>
    </row>
    <row r="724" spans="1:22" s="14" customFormat="1" ht="13.5" hidden="1" customHeight="1" ns3:dyDescent="0.25">
      <c r="A724" s="13" t="s">
        <v>815</v>
      </c>
      <c r="B724" s="25" t="str">
        <f t="shared" si="40"/>
      </c>
      <c r="C724" s="13" t="s">
        <v>1147</v>
      </c>
      <c r="D724" s="13" t="s">
        <v>17</v>
      </c>
      <c r="E724" s="13" t="s">
        <v>8</v>
      </c>
      <c r="F724" s="13" t="s">
        <v>811</v>
      </c>
      <c r="G724" s="13" t="s">
        <v>117</v>
      </c>
      <c r="H724" s="13" t="str">
        <f>IFERROR(VLOOKUP(#REF!724,'정보화기기 명부'!A$2:B$187,2,FALSE),"")</f>
        <v/>
      </c>
      <c r="I724" s="13"/>
      <c r="J724" s="13"/>
      <c r="K724" s="13"/>
      <c r="L724" s="13">
        <v>20050225</v>
      </c>
      <c r="M724" s="13" t="s">
        <v>531</v>
      </c>
      <c r="N724" s="13" t="s">
        <v>1191</v>
      </c>
      <c r="O724" s="208">
        <v>233</v>
      </c>
      <c r="P724" s="13" t="s">
        <v>495</v>
      </c>
      <c r="Q724" s="13" t="s">
        <v>741</v>
      </c>
      <c r="R724" s="13" t="s">
        <v>188</v>
      </c>
      <c r="S724" s="13" t="s">
        <v>204</v>
      </c>
    </row>
    <row r="725" spans="1:22" s="14" customFormat="1" ht="13.5" hidden="1" customHeight="1" ns3:dyDescent="0.25">
      <c r="A725" s="13" t="s">
        <v>833</v>
      </c>
      <c r="B725" s="25" t="str">
        <f t="shared" si="40"/>
      </c>
      <c r="C725" s="13" t="s">
        <v>1147</v>
      </c>
      <c r="D725" s="13" t="s">
        <v>17</v>
      </c>
      <c r="E725" s="13" t="s">
        <v>8</v>
      </c>
      <c r="F725" s="13" t="s">
        <v>811</v>
      </c>
      <c r="G725" s="13" t="s">
        <v>117</v>
      </c>
      <c r="H725" s="13" t="str">
        <f>IFERROR(VLOOKUP(#REF!725,'정보화기기 명부'!A$2:B$187,2,FALSE),"")</f>
        <v/>
      </c>
      <c r="I725" s="13"/>
      <c r="J725" s="13"/>
      <c r="K725" s="13"/>
      <c r="L725" s="13">
        <v>20050225</v>
      </c>
      <c r="M725" s="13" t="s">
        <v>531</v>
      </c>
      <c r="N725" s="13" t="s">
        <v>1186</v>
      </c>
      <c r="O725" s="208">
        <v>232</v>
      </c>
      <c r="P725" s="13" t="s">
        <v>495</v>
      </c>
      <c r="Q725" s="13" t="s">
        <v>741</v>
      </c>
      <c r="R725" s="13" t="s">
        <v>188</v>
      </c>
      <c r="S725" s="13" t="s">
        <v>204</v>
      </c>
    </row>
    <row r="726" spans="1:22" s="14" customFormat="1" ht="13.5" hidden="1" customHeight="1" ns3:dyDescent="0.25">
      <c r="A726" s="13" t="s">
        <v>798</v>
      </c>
      <c r="B726" s="25" t="str">
        <f t="shared" si="40"/>
      </c>
      <c r="C726" s="13" t="s">
        <v>1147</v>
      </c>
      <c r="D726" s="13" t="s">
        <v>17</v>
      </c>
      <c r="E726" s="13" t="s">
        <v>8</v>
      </c>
      <c r="F726" s="13" t="s">
        <v>811</v>
      </c>
      <c r="G726" s="13" t="s">
        <v>117</v>
      </c>
      <c r="H726" s="13" t="str">
        <f>IFERROR(VLOOKUP(#REF!726,'정보화기기 명부'!A$2:B$187,2,FALSE),"")</f>
        <v/>
      </c>
      <c r="I726" s="13"/>
      <c r="J726" s="13"/>
      <c r="K726" s="13"/>
      <c r="L726" s="13">
        <v>20050225</v>
      </c>
      <c r="M726" s="13" t="s">
        <v>531</v>
      </c>
      <c r="N726" s="13" t="s">
        <v>1191</v>
      </c>
      <c r="O726" s="208">
        <v>231</v>
      </c>
      <c r="P726" s="13" t="s">
        <v>495</v>
      </c>
      <c r="Q726" s="13" t="s">
        <v>741</v>
      </c>
      <c r="R726" s="13" t="s">
        <v>188</v>
      </c>
      <c r="S726" s="13" t="s">
        <v>204</v>
      </c>
    </row>
    <row r="727" spans="1:22" s="14" customFormat="1" ht="13.5" hidden="1" customHeight="1" ns3:dyDescent="0.25">
      <c r="A727" s="13" t="s">
        <v>799</v>
      </c>
      <c r="B727" s="25" t="str">
        <f t="shared" si="40"/>
      </c>
      <c r="C727" s="13" t="s">
        <v>1147</v>
      </c>
      <c r="D727" s="13" t="s">
        <v>17</v>
      </c>
      <c r="E727" s="13" t="s">
        <v>8</v>
      </c>
      <c r="F727" s="13" t="s">
        <v>811</v>
      </c>
      <c r="G727" s="13" t="s">
        <v>117</v>
      </c>
      <c r="H727" s="13" t="str">
        <f>IFERROR(VLOOKUP(#REF!727,'정보화기기 명부'!A$2:B$187,2,FALSE),"")</f>
        <v/>
      </c>
      <c r="I727" s="13"/>
      <c r="J727" s="13"/>
      <c r="K727" s="13"/>
      <c r="L727" s="13">
        <v>20050225</v>
      </c>
      <c r="M727" s="13" t="s">
        <v>531</v>
      </c>
      <c r="N727" s="13" t="s">
        <v>1191</v>
      </c>
      <c r="O727" s="208">
        <v>230</v>
      </c>
      <c r="P727" s="13" t="s">
        <v>495</v>
      </c>
      <c r="Q727" s="13" t="s">
        <v>741</v>
      </c>
      <c r="R727" s="13" t="s">
        <v>188</v>
      </c>
      <c r="S727" s="13" t="s">
        <v>204</v>
      </c>
    </row>
    <row r="728" spans="1:22" s="14" customFormat="1" ht="13.5" hidden="1" customHeight="1" ns3:dyDescent="0.25">
      <c r="A728" s="13" t="s">
        <v>540</v>
      </c>
      <c r="B728" s="25" t="str">
        <f t="shared" si="40"/>
      </c>
      <c r="C728" s="13" t="s">
        <v>1147</v>
      </c>
      <c r="D728" s="13" t="s">
        <v>17</v>
      </c>
      <c r="E728" s="13" t="s">
        <v>8</v>
      </c>
      <c r="F728" s="13" t="s">
        <v>811</v>
      </c>
      <c r="G728" s="13" t="s">
        <v>117</v>
      </c>
      <c r="H728" s="13" t="str">
        <f>IFERROR(VLOOKUP(#REF!728,'정보화기기 명부'!A$2:B$187,2,FALSE),"")</f>
        <v/>
      </c>
      <c r="I728" s="13"/>
      <c r="J728" s="13"/>
      <c r="K728" s="13"/>
      <c r="L728" s="13">
        <v>20050225</v>
      </c>
      <c r="M728" s="13" t="s">
        <v>531</v>
      </c>
      <c r="N728" s="13" t="s">
        <v>1191</v>
      </c>
      <c r="O728" s="208">
        <v>229</v>
      </c>
      <c r="P728" s="13" t="s">
        <v>495</v>
      </c>
      <c r="Q728" s="13" t="s">
        <v>741</v>
      </c>
      <c r="R728" s="13" t="s">
        <v>188</v>
      </c>
      <c r="S728" s="13" t="s">
        <v>204</v>
      </c>
    </row>
    <row r="729" spans="1:22" s="14" customFormat="1" ht="13.5" hidden="1" customHeight="1" ns3:dyDescent="0.25">
      <c r="A729" s="13" t="s">
        <v>823</v>
      </c>
      <c r="B729" s="25" t="str">
        <f t="shared" si="40"/>
      </c>
      <c r="C729" s="13" t="s">
        <v>1147</v>
      </c>
      <c r="D729" s="13" t="s">
        <v>17</v>
      </c>
      <c r="E729" s="13" t="s">
        <v>8</v>
      </c>
      <c r="F729" s="13" t="s">
        <v>811</v>
      </c>
      <c r="G729" s="13" t="s">
        <v>117</v>
      </c>
      <c r="H729" s="13" t="str">
        <f>IFERROR(VLOOKUP(#REF!729,'정보화기기 명부'!A$2:B$187,2,FALSE),"")</f>
        <v/>
      </c>
      <c r="I729" s="13"/>
      <c r="J729" s="13"/>
      <c r="K729" s="13"/>
      <c r="L729" s="13">
        <v>20050225</v>
      </c>
      <c r="M729" s="13" t="s">
        <v>537</v>
      </c>
      <c r="N729" s="13" t="s">
        <v>1191</v>
      </c>
      <c r="O729" s="208">
        <v>228</v>
      </c>
      <c r="P729" s="13" t="s">
        <v>495</v>
      </c>
      <c r="Q729" s="13" t="s">
        <v>741</v>
      </c>
      <c r="R729" s="13" t="s">
        <v>188</v>
      </c>
      <c r="S729" s="13" t="s">
        <v>204</v>
      </c>
    </row>
    <row r="730" spans="1:22" s="14" customFormat="1" ht="13.5" customHeight="1" ns3:dyDescent="0.25">
      <c r="A730" s="13" t="s">
        <v>164</v>
      </c>
      <c r="B730" s="25" t="str">
        <f t="shared" si="40"/>
      </c>
      <c r="C730" s="13" t="s">
        <v>102</v>
      </c>
      <c r="D730" s="13" t="s">
        <v>17</v>
      </c>
      <c r="E730" s="13" t="s">
        <v>8</v>
      </c>
      <c r="F730" s="13" t="s">
        <v>179</v>
      </c>
      <c r="G730" s="13" t="s">
        <v>117</v>
      </c>
      <c r="H730" s="13" t="str">
        <f>IFERROR(VLOOKUP(#REF!730,'정보화기기 명부'!A$2:B$187,2,FALSE),"")</f>
        <v/>
      </c>
      <c r="I730" s="13"/>
      <c r="J730" s="13"/>
      <c r="K730" s="13"/>
      <c r="L730" s="13">
        <v>20050224</v>
      </c>
      <c r="M730" s="13" t="s">
        <v>544</v>
      </c>
      <c r="N730" s="13" t="s">
        <v>1191</v>
      </c>
      <c r="O730" s="208">
        <v>257</v>
      </c>
      <c r="P730" s="13" t="s">
        <v>495</v>
      </c>
      <c r="Q730" s="13" t="s">
        <v>1187</v>
      </c>
      <c r="R730" s="13" t="s">
        <v>188</v>
      </c>
      <c r="S730" s="13" t="s">
        <v>213</v>
      </c>
    </row>
    <row r="731" spans="1:22" s="14" customFormat="1" ht="13.5" hidden="1" customHeight="1" ns3:dyDescent="0.25">
      <c r="A731" s="13" t="s">
        <v>178</v>
      </c>
      <c r="B731" s="25" t="str">
        <f t="shared" si="40"/>
      </c>
      <c r="C731" s="13" t="s">
        <v>1147</v>
      </c>
      <c r="D731" s="13" t="s">
        <v>225</v>
      </c>
      <c r="E731" s="13" t="s">
        <v>8</v>
      </c>
      <c r="F731" s="13" t="s">
        <v>811</v>
      </c>
      <c r="G731" s="13" t="s">
        <v>117</v>
      </c>
      <c r="H731" s="13" t="str">
        <f>IFERROR(VLOOKUP(#REF!731,'정보화기기 명부'!A$2:B$187,2,FALSE),"")</f>
        <v/>
      </c>
      <c r="I731" s="13"/>
      <c r="J731" s="13"/>
      <c r="K731" s="13"/>
      <c r="L731" s="13">
        <v>20050224</v>
      </c>
      <c r="M731" s="13" t="s">
        <v>803</v>
      </c>
      <c r="N731" s="13" t="s">
        <v>1191</v>
      </c>
      <c r="O731" s="208">
        <v>244</v>
      </c>
      <c r="P731" s="13" t="s">
        <v>495</v>
      </c>
      <c r="Q731" s="13" t="s">
        <v>741</v>
      </c>
      <c r="R731" s="13" t="s">
        <v>188</v>
      </c>
      <c r="S731" s="13" t="s">
        <v>204</v>
      </c>
    </row>
    <row r="732" spans="1:22" s="14" customFormat="1" ht="13.5" hidden="1" customHeight="1" ns3:dyDescent="0.25">
      <c r="A732" s="13" t="s">
        <v>178</v>
      </c>
      <c r="B732" s="25" t="str">
        <f t="shared" si="40"/>
      </c>
      <c r="C732" s="13" t="s">
        <v>1147</v>
      </c>
      <c r="D732" s="13" t="s">
        <v>225</v>
      </c>
      <c r="E732" s="13" t="s">
        <v>8</v>
      </c>
      <c r="F732" s="13" t="s">
        <v>811</v>
      </c>
      <c r="G732" s="13" t="s">
        <v>117</v>
      </c>
      <c r="H732" s="13" t="str">
        <f>IFERROR(VLOOKUP(#REF!732,'정보화기기 명부'!A$2:B$187,2,FALSE),"")</f>
        <v/>
      </c>
      <c r="I732" s="13"/>
      <c r="J732" s="13"/>
      <c r="K732" s="13"/>
      <c r="L732" s="13">
        <v>20050224</v>
      </c>
      <c r="M732" s="13" t="s">
        <v>803</v>
      </c>
      <c r="N732" s="13" t="s">
        <v>1191</v>
      </c>
      <c r="O732" s="208">
        <v>243</v>
      </c>
      <c r="P732" s="13" t="s">
        <v>495</v>
      </c>
      <c r="Q732" s="13" t="s">
        <v>741</v>
      </c>
      <c r="R732" s="13" t="s">
        <v>188</v>
      </c>
      <c r="S732" s="13" t="s">
        <v>204</v>
      </c>
    </row>
    <row r="733" spans="1:22" s="14" customFormat="1" ht="13.5" hidden="1" customHeight="1" ns3:dyDescent="0.25">
      <c r="A733" s="13" t="s">
        <v>178</v>
      </c>
      <c r="B733" s="25" t="str">
        <f t="shared" si="40"/>
      </c>
      <c r="C733" s="13" t="s">
        <v>1147</v>
      </c>
      <c r="D733" s="13" t="s">
        <v>17</v>
      </c>
      <c r="E733" s="13" t="s">
        <v>8</v>
      </c>
      <c r="F733" s="13" t="s">
        <v>811</v>
      </c>
      <c r="G733" s="13" t="s">
        <v>117</v>
      </c>
      <c r="H733" s="13" t="str">
        <f>IFERROR(VLOOKUP(#REF!733,'정보화기기 명부'!A$2:B$187,2,FALSE),"")</f>
        <v/>
      </c>
      <c r="I733" s="13"/>
      <c r="J733" s="13"/>
      <c r="K733" s="13"/>
      <c r="L733" s="13">
        <v>20050224</v>
      </c>
      <c r="M733" s="13" t="s">
        <v>803</v>
      </c>
      <c r="N733" s="13" t="s">
        <v>1191</v>
      </c>
      <c r="O733" s="208">
        <v>242</v>
      </c>
      <c r="P733" s="13" t="s">
        <v>495</v>
      </c>
      <c r="Q733" s="13" t="s">
        <v>741</v>
      </c>
      <c r="R733" s="13" t="s">
        <v>188</v>
      </c>
      <c r="S733" s="13" t="s">
        <v>204</v>
      </c>
    </row>
    <row r="734" spans="1:22" s="14" customFormat="1" ht="13.5" hidden="1" customHeight="1" ns3:dyDescent="0.25">
      <c r="A734" s="13" t="s">
        <v>155</v>
      </c>
      <c r="B734" s="25" t="str">
        <f t="shared" si="40"/>
      </c>
      <c r="C734" s="13" t="s">
        <v>1147</v>
      </c>
      <c r="D734" s="13" t="s">
        <v>17</v>
      </c>
      <c r="E734" s="13" t="s">
        <v>55</v>
      </c>
      <c r="F734" s="13" t="s">
        <v>819</v>
      </c>
      <c r="G734" s="13" t="s">
        <v>117</v>
      </c>
      <c r="H734" s="13" t="str">
        <f>IFERROR(VLOOKUP(#REF!734,'정보화기기 명부'!A$2:B$187,2,FALSE),"")</f>
        <v/>
      </c>
      <c r="I734" s="13"/>
      <c r="J734" s="13" t="s">
        <v>738</v>
      </c>
      <c r="K734" s="13"/>
      <c r="L734" s="13">
        <v>20041230</v>
      </c>
      <c r="M734" s="13" t="s">
        <v>1152</v>
      </c>
      <c r="N734" s="13" t="s">
        <v>1193</v>
      </c>
      <c r="O734" s="208">
        <v>223</v>
      </c>
      <c r="P734" s="13" t="s">
        <v>495</v>
      </c>
      <c r="Q734" s="13" t="s">
        <v>950</v>
      </c>
      <c r="R734" s="13" t="s">
        <v>188</v>
      </c>
      <c r="S734" s="13" t="s">
        <v>204</v>
      </c>
    </row>
    <row r="735" spans="1:22" s="14" customFormat="1" ht="13.5" hidden="1" customHeight="1" ns3:dyDescent="0.25">
      <c r="A735" s="13" t="s">
        <v>155</v>
      </c>
      <c r="B735" s="25" t="str">
        <f t="shared" si="40"/>
      </c>
      <c r="C735" s="13" t="s">
        <v>1147</v>
      </c>
      <c r="D735" s="13" t="s">
        <v>17</v>
      </c>
      <c r="E735" s="13" t="s">
        <v>55</v>
      </c>
      <c r="F735" s="13" t="s">
        <v>819</v>
      </c>
      <c r="G735" s="13" t="s">
        <v>117</v>
      </c>
      <c r="H735" s="13" t="str">
        <f>IFERROR(VLOOKUP(#REF!735,'정보화기기 명부'!A$2:B$187,2,FALSE),"")</f>
        <v/>
      </c>
      <c r="I735" s="13"/>
      <c r="J735" s="13" t="s">
        <v>738</v>
      </c>
      <c r="K735" s="13"/>
      <c r="L735" s="13">
        <v>20041230</v>
      </c>
      <c r="M735" s="13" t="s">
        <v>1152</v>
      </c>
      <c r="N735" s="13" t="s">
        <v>1193</v>
      </c>
      <c r="O735" s="208">
        <v>222</v>
      </c>
      <c r="P735" s="13" t="s">
        <v>495</v>
      </c>
      <c r="Q735" s="13" t="s">
        <v>950</v>
      </c>
      <c r="R735" s="13" t="s">
        <v>188</v>
      </c>
      <c r="S735" s="13" t="s">
        <v>204</v>
      </c>
    </row>
    <row r="736" spans="1:22" s="14" customFormat="1" ht="13.5" hidden="1" customHeight="1" ns3:dyDescent="0.25">
      <c r="A736" s="13" t="s">
        <v>155</v>
      </c>
      <c r="B736" s="25" t="str">
        <f t="shared" si="40"/>
      </c>
      <c r="C736" s="13" t="s">
        <v>1147</v>
      </c>
      <c r="D736" s="13" t="s">
        <v>17</v>
      </c>
      <c r="E736" s="13" t="s">
        <v>55</v>
      </c>
      <c r="F736" s="13" t="s">
        <v>819</v>
      </c>
      <c r="G736" s="13" t="s">
        <v>117</v>
      </c>
      <c r="H736" s="13" t="str">
        <f>IFERROR(VLOOKUP(#REF!736,'정보화기기 명부'!A$2:B$187,2,FALSE),"")</f>
        <v/>
      </c>
      <c r="I736" s="13"/>
      <c r="J736" s="13" t="s">
        <v>738</v>
      </c>
      <c r="K736" s="13"/>
      <c r="L736" s="13">
        <v>20041230</v>
      </c>
      <c r="M736" s="13" t="s">
        <v>1152</v>
      </c>
      <c r="N736" s="13" t="s">
        <v>1193</v>
      </c>
      <c r="O736" s="208">
        <v>221</v>
      </c>
      <c r="P736" s="13" t="s">
        <v>495</v>
      </c>
      <c r="Q736" s="13" t="s">
        <v>950</v>
      </c>
      <c r="R736" s="13" t="s">
        <v>188</v>
      </c>
      <c r="S736" s="13" t="s">
        <v>204</v>
      </c>
    </row>
    <row r="737" spans="1:22" s="14" customFormat="1" ht="13.5" hidden="1" customHeight="1" ns3:dyDescent="0.25">
      <c r="A737" s="13" t="s">
        <v>155</v>
      </c>
      <c r="B737" s="25" t="str">
        <f t="shared" si="40"/>
      </c>
      <c r="C737" s="13" t="s">
        <v>1147</v>
      </c>
      <c r="D737" s="13" t="s">
        <v>17</v>
      </c>
      <c r="E737" s="13" t="s">
        <v>55</v>
      </c>
      <c r="F737" s="13" t="s">
        <v>819</v>
      </c>
      <c r="G737" s="13" t="s">
        <v>117</v>
      </c>
      <c r="H737" s="13" t="str">
        <f>IFERROR(VLOOKUP(#REF!737,'정보화기기 명부'!A$2:B$187,2,FALSE),"")</f>
        <v/>
      </c>
      <c r="I737" s="13"/>
      <c r="J737" s="13" t="s">
        <v>738</v>
      </c>
      <c r="K737" s="13"/>
      <c r="L737" s="13">
        <v>20041230</v>
      </c>
      <c r="M737" s="13" t="s">
        <v>1152</v>
      </c>
      <c r="N737" s="13" t="s">
        <v>1193</v>
      </c>
      <c r="O737" s="208">
        <v>220</v>
      </c>
      <c r="P737" s="13" t="s">
        <v>495</v>
      </c>
      <c r="Q737" s="13" t="s">
        <v>950</v>
      </c>
      <c r="R737" s="13" t="s">
        <v>188</v>
      </c>
      <c r="S737" s="13" t="s">
        <v>204</v>
      </c>
    </row>
    <row r="738" spans="1:22" s="14" customFormat="1" ht="13.5" hidden="1" customHeight="1" ns3:dyDescent="0.25">
      <c r="A738" s="13" t="s">
        <v>155</v>
      </c>
      <c r="B738" s="25" t="str">
        <f t="shared" si="40"/>
      </c>
      <c r="C738" s="13" t="s">
        <v>1147</v>
      </c>
      <c r="D738" s="13" t="s">
        <v>17</v>
      </c>
      <c r="E738" s="13" t="s">
        <v>55</v>
      </c>
      <c r="F738" s="13" t="s">
        <v>819</v>
      </c>
      <c r="G738" s="13" t="s">
        <v>117</v>
      </c>
      <c r="H738" s="13" t="str">
        <f>IFERROR(VLOOKUP(#REF!738,'정보화기기 명부'!A$2:B$187,2,FALSE),"")</f>
        <v/>
      </c>
      <c r="I738" s="13"/>
      <c r="J738" s="13" t="s">
        <v>738</v>
      </c>
      <c r="K738" s="13"/>
      <c r="L738" s="13">
        <v>20041230</v>
      </c>
      <c r="M738" s="13" t="s">
        <v>1152</v>
      </c>
      <c r="N738" s="13" t="s">
        <v>1193</v>
      </c>
      <c r="O738" s="208">
        <v>219</v>
      </c>
      <c r="P738" s="13" t="s">
        <v>495</v>
      </c>
      <c r="Q738" s="13" t="s">
        <v>950</v>
      </c>
      <c r="R738" s="13" t="s">
        <v>188</v>
      </c>
      <c r="S738" s="13" t="s">
        <v>204</v>
      </c>
    </row>
    <row r="739" spans="1:22" s="14" customFormat="1" ht="13.5" hidden="1" customHeight="1" ns3:dyDescent="0.25">
      <c r="A739" s="13" t="s">
        <v>155</v>
      </c>
      <c r="B739" s="25" t="str">
        <f t="shared" si="40"/>
      </c>
      <c r="C739" s="13" t="s">
        <v>1147</v>
      </c>
      <c r="D739" s="13" t="s">
        <v>17</v>
      </c>
      <c r="E739" s="13" t="s">
        <v>55</v>
      </c>
      <c r="F739" s="13" t="s">
        <v>819</v>
      </c>
      <c r="G739" s="13" t="s">
        <v>117</v>
      </c>
      <c r="H739" s="13" t="str">
        <f>IFERROR(VLOOKUP(#REF!739,'정보화기기 명부'!A$2:B$187,2,FALSE),"")</f>
        <v/>
      </c>
      <c r="I739" s="13"/>
      <c r="J739" s="13" t="s">
        <v>738</v>
      </c>
      <c r="K739" s="13"/>
      <c r="L739" s="13">
        <v>20041230</v>
      </c>
      <c r="M739" s="13" t="s">
        <v>1152</v>
      </c>
      <c r="N739" s="13" t="s">
        <v>1193</v>
      </c>
      <c r="O739" s="208">
        <v>218</v>
      </c>
      <c r="P739" s="13" t="s">
        <v>495</v>
      </c>
      <c r="Q739" s="13" t="s">
        <v>950</v>
      </c>
      <c r="R739" s="13" t="s">
        <v>188</v>
      </c>
      <c r="S739" s="13" t="s">
        <v>204</v>
      </c>
    </row>
    <row r="740" spans="1:22" s="14" customFormat="1" ht="13.5" hidden="1" customHeight="1" ns3:dyDescent="0.25">
      <c r="A740" s="13" t="s">
        <v>155</v>
      </c>
      <c r="B740" s="25" t="str">
        <f t="shared" si="40"/>
      </c>
      <c r="C740" s="13" t="s">
        <v>1147</v>
      </c>
      <c r="D740" s="13" t="s">
        <v>17</v>
      </c>
      <c r="E740" s="13" t="s">
        <v>55</v>
      </c>
      <c r="F740" s="13" t="s">
        <v>819</v>
      </c>
      <c r="G740" s="13" t="s">
        <v>117</v>
      </c>
      <c r="H740" s="13" t="str">
        <f>IFERROR(VLOOKUP(#REF!740,'정보화기기 명부'!A$2:B$187,2,FALSE),"")</f>
        <v/>
      </c>
      <c r="I740" s="13"/>
      <c r="J740" s="13" t="s">
        <v>738</v>
      </c>
      <c r="K740" s="13"/>
      <c r="L740" s="13">
        <v>20041230</v>
      </c>
      <c r="M740" s="13" t="s">
        <v>1152</v>
      </c>
      <c r="N740" s="13" t="s">
        <v>1193</v>
      </c>
      <c r="O740" s="208">
        <v>217</v>
      </c>
      <c r="P740" s="13" t="s">
        <v>495</v>
      </c>
      <c r="Q740" s="13" t="s">
        <v>950</v>
      </c>
      <c r="R740" s="13" t="s">
        <v>188</v>
      </c>
      <c r="S740" s="13" t="s">
        <v>204</v>
      </c>
    </row>
    <row r="741" spans="1:22" s="14" customFormat="1" ht="13.5" hidden="1" customHeight="1" ns3:dyDescent="0.25">
      <c r="A741" s="13" t="s">
        <v>155</v>
      </c>
      <c r="B741" s="25" t="str">
        <f t="shared" si="40"/>
      </c>
      <c r="C741" s="13" t="s">
        <v>1147</v>
      </c>
      <c r="D741" s="13" t="s">
        <v>17</v>
      </c>
      <c r="E741" s="13" t="s">
        <v>55</v>
      </c>
      <c r="F741" s="13" t="s">
        <v>819</v>
      </c>
      <c r="G741" s="13" t="s">
        <v>117</v>
      </c>
      <c r="H741" s="13" t="str">
        <f>IFERROR(VLOOKUP(#REF!741,'정보화기기 명부'!A$2:B$187,2,FALSE),"")</f>
        <v/>
      </c>
      <c r="I741" s="13"/>
      <c r="J741" s="13" t="s">
        <v>738</v>
      </c>
      <c r="K741" s="13"/>
      <c r="L741" s="13">
        <v>20041230</v>
      </c>
      <c r="M741" s="13" t="s">
        <v>1152</v>
      </c>
      <c r="N741" s="13" t="s">
        <v>1193</v>
      </c>
      <c r="O741" s="208">
        <v>216</v>
      </c>
      <c r="P741" s="13" t="s">
        <v>495</v>
      </c>
      <c r="Q741" s="13" t="s">
        <v>950</v>
      </c>
      <c r="R741" s="13" t="s">
        <v>188</v>
      </c>
      <c r="S741" s="13" t="s">
        <v>204</v>
      </c>
    </row>
    <row r="742" spans="1:22" s="14" customFormat="1" ht="13.5" hidden="1" customHeight="1" ns3:dyDescent="0.25">
      <c r="A742" s="13" t="s">
        <v>155</v>
      </c>
      <c r="B742" s="25" t="str">
        <f t="shared" si="40"/>
      </c>
      <c r="C742" s="13" t="s">
        <v>1147</v>
      </c>
      <c r="D742" s="13" t="s">
        <v>17</v>
      </c>
      <c r="E742" s="13" t="s">
        <v>55</v>
      </c>
      <c r="F742" s="13" t="s">
        <v>819</v>
      </c>
      <c r="G742" s="13" t="s">
        <v>117</v>
      </c>
      <c r="H742" s="13" t="str">
        <f>IFERROR(VLOOKUP(#REF!742,'정보화기기 명부'!A$2:B$187,2,FALSE),"")</f>
        <v/>
      </c>
      <c r="I742" s="13"/>
      <c r="J742" s="13" t="s">
        <v>738</v>
      </c>
      <c r="K742" s="13"/>
      <c r="L742" s="13">
        <v>20041230</v>
      </c>
      <c r="M742" s="13" t="s">
        <v>1152</v>
      </c>
      <c r="N742" s="13" t="s">
        <v>1193</v>
      </c>
      <c r="O742" s="208">
        <v>215</v>
      </c>
      <c r="P742" s="13" t="s">
        <v>495</v>
      </c>
      <c r="Q742" s="13" t="s">
        <v>950</v>
      </c>
      <c r="R742" s="13" t="s">
        <v>188</v>
      </c>
      <c r="S742" s="13" t="s">
        <v>204</v>
      </c>
    </row>
    <row r="743" spans="1:22" s="14" customFormat="1" ht="13.5" hidden="1" customHeight="1" ns3:dyDescent="0.25">
      <c r="A743" s="13" t="s">
        <v>532</v>
      </c>
      <c r="B743" s="25" t="str">
        <f t="shared" si="40"/>
      </c>
      <c r="C743" s="13" t="s">
        <v>1147</v>
      </c>
      <c r="D743" s="13" t="s">
        <v>17</v>
      </c>
      <c r="E743" s="13" t="s">
        <v>55</v>
      </c>
      <c r="F743" s="13" t="s">
        <v>819</v>
      </c>
      <c r="G743" s="13" t="s">
        <v>117</v>
      </c>
      <c r="H743" s="13" t="str">
        <f>IFERROR(VLOOKUP(#REF!743,'정보화기기 명부'!A$2:B$187,2,FALSE),"")</f>
        <v/>
      </c>
      <c r="I743" s="13"/>
      <c r="J743" s="13" t="s">
        <v>738</v>
      </c>
      <c r="K743" s="13"/>
      <c r="L743" s="13">
        <v>20041230</v>
      </c>
      <c r="M743" s="13" t="s">
        <v>1152</v>
      </c>
      <c r="N743" s="13" t="s">
        <v>1193</v>
      </c>
      <c r="O743" s="208">
        <v>214</v>
      </c>
      <c r="P743" s="13" t="s">
        <v>495</v>
      </c>
      <c r="Q743" s="13" t="s">
        <v>950</v>
      </c>
      <c r="R743" s="13" t="s">
        <v>188</v>
      </c>
      <c r="S743" s="13" t="s">
        <v>204</v>
      </c>
    </row>
    <row r="744" spans="1:22" s="14" customFormat="1" ht="13.5" hidden="1" customHeight="1" ns3:dyDescent="0.25">
      <c r="A744" s="13" t="s">
        <v>155</v>
      </c>
      <c r="B744" s="25" t="str">
        <f t="shared" si="40"/>
      </c>
      <c r="C744" s="13" t="s">
        <v>1147</v>
      </c>
      <c r="D744" s="13" t="s">
        <v>17</v>
      </c>
      <c r="E744" s="13" t="s">
        <v>55</v>
      </c>
      <c r="F744" s="13" t="s">
        <v>819</v>
      </c>
      <c r="G744" s="13" t="s">
        <v>117</v>
      </c>
      <c r="H744" s="13" t="str">
        <f>IFERROR(VLOOKUP(#REF!744,'정보화기기 명부'!A$2:B$187,2,FALSE),"")</f>
        <v/>
      </c>
      <c r="I744" s="13"/>
      <c r="J744" s="13" t="s">
        <v>738</v>
      </c>
      <c r="K744" s="13"/>
      <c r="L744" s="13">
        <v>20041230</v>
      </c>
      <c r="M744" s="13" t="s">
        <v>1152</v>
      </c>
      <c r="N744" s="13" t="s">
        <v>1193</v>
      </c>
      <c r="O744" s="208">
        <v>213</v>
      </c>
      <c r="P744" s="13" t="s">
        <v>495</v>
      </c>
      <c r="Q744" s="13" t="s">
        <v>950</v>
      </c>
      <c r="R744" s="13" t="s">
        <v>188</v>
      </c>
      <c r="S744" s="13" t="s">
        <v>204</v>
      </c>
    </row>
    <row r="745" spans="1:22" s="14" customFormat="1" ht="13.5" hidden="1" customHeight="1" ns3:dyDescent="0.25">
      <c r="A745" s="13" t="s">
        <v>155</v>
      </c>
      <c r="B745" s="25" t="str">
        <f t="shared" si="40"/>
      </c>
      <c r="C745" s="13" t="s">
        <v>1147</v>
      </c>
      <c r="D745" s="13" t="s">
        <v>17</v>
      </c>
      <c r="E745" s="13" t="s">
        <v>55</v>
      </c>
      <c r="F745" s="13" t="s">
        <v>819</v>
      </c>
      <c r="G745" s="13" t="s">
        <v>117</v>
      </c>
      <c r="H745" s="13" t="str">
        <f>IFERROR(VLOOKUP(#REF!745,'정보화기기 명부'!A$2:B$187,2,FALSE),"")</f>
        <v/>
      </c>
      <c r="I745" s="13"/>
      <c r="J745" s="13" t="s">
        <v>738</v>
      </c>
      <c r="K745" s="13"/>
      <c r="L745" s="13">
        <v>20041230</v>
      </c>
      <c r="M745" s="13" t="s">
        <v>1152</v>
      </c>
      <c r="N745" s="13" t="s">
        <v>1193</v>
      </c>
      <c r="O745" s="208">
        <v>212</v>
      </c>
      <c r="P745" s="13" t="s">
        <v>495</v>
      </c>
      <c r="Q745" s="13" t="s">
        <v>950</v>
      </c>
      <c r="R745" s="13" t="s">
        <v>188</v>
      </c>
      <c r="S745" s="13" t="s">
        <v>204</v>
      </c>
    </row>
    <row r="746" spans="1:22" s="14" customFormat="1" ht="13.5" hidden="1" customHeight="1" ns3:dyDescent="0.25">
      <c r="A746" s="13" t="s">
        <v>1297</v>
      </c>
      <c r="B746" s="25" t="str">
        <f t="shared" si="40"/>
      </c>
      <c r="C746" s="13" t="s">
        <v>1147</v>
      </c>
      <c r="D746" s="13" t="s">
        <v>17</v>
      </c>
      <c r="E746" s="13" t="s">
        <v>55</v>
      </c>
      <c r="F746" s="13" t="s">
        <v>819</v>
      </c>
      <c r="G746" s="13" t="s">
        <v>117</v>
      </c>
      <c r="H746" s="13" t="str">
        <f>IFERROR(VLOOKUP(#REF!746,'정보화기기 명부'!A$2:B$187,2,FALSE),"")</f>
        <v/>
      </c>
      <c r="I746" s="13"/>
      <c r="J746" s="13" t="s">
        <v>738</v>
      </c>
      <c r="K746" s="13"/>
      <c r="L746" s="13">
        <v>20041230</v>
      </c>
      <c r="M746" s="13" t="s">
        <v>1152</v>
      </c>
      <c r="N746" s="13" t="s">
        <v>1193</v>
      </c>
      <c r="O746" s="208">
        <v>211</v>
      </c>
      <c r="P746" s="13" t="s">
        <v>495</v>
      </c>
      <c r="Q746" s="13" t="s">
        <v>950</v>
      </c>
      <c r="R746" s="13" t="s">
        <v>188</v>
      </c>
      <c r="S746" s="13" t="s">
        <v>204</v>
      </c>
    </row>
    <row r="747" spans="1:22" s="14" customFormat="1" ht="13.5" hidden="1" customHeight="1" ns3:dyDescent="0.25">
      <c r="A747" s="13" t="s">
        <v>1297</v>
      </c>
      <c r="B747" s="25" t="str">
        <f t="shared" si="40"/>
      </c>
      <c r="C747" s="13" t="s">
        <v>1147</v>
      </c>
      <c r="D747" s="13" t="s">
        <v>17</v>
      </c>
      <c r="E747" s="13" t="s">
        <v>55</v>
      </c>
      <c r="F747" s="13" t="s">
        <v>819</v>
      </c>
      <c r="G747" s="13" t="s">
        <v>117</v>
      </c>
      <c r="H747" s="13" t="str">
        <f>IFERROR(VLOOKUP(#REF!747,'정보화기기 명부'!A$2:B$187,2,FALSE),"")</f>
        <v/>
      </c>
      <c r="I747" s="13"/>
      <c r="J747" s="13" t="s">
        <v>738</v>
      </c>
      <c r="K747" s="13"/>
      <c r="L747" s="13">
        <v>20041230</v>
      </c>
      <c r="M747" s="13" t="s">
        <v>1152</v>
      </c>
      <c r="N747" s="13" t="s">
        <v>1193</v>
      </c>
      <c r="O747" s="208">
        <v>210</v>
      </c>
      <c r="P747" s="13" t="s">
        <v>495</v>
      </c>
      <c r="Q747" s="13" t="s">
        <v>950</v>
      </c>
      <c r="R747" s="13" t="s">
        <v>188</v>
      </c>
      <c r="S747" s="13" t="s">
        <v>204</v>
      </c>
    </row>
    <row r="748" spans="1:22" s="14" customFormat="1" ht="13.5" hidden="1" customHeight="1" ns3:dyDescent="0.25">
      <c r="A748" s="13" t="s">
        <v>1297</v>
      </c>
      <c r="B748" s="25" t="str">
        <f t="shared" si="40"/>
      </c>
      <c r="C748" s="13" t="s">
        <v>1147</v>
      </c>
      <c r="D748" s="13" t="s">
        <v>17</v>
      </c>
      <c r="E748" s="13" t="s">
        <v>55</v>
      </c>
      <c r="F748" s="13" t="s">
        <v>819</v>
      </c>
      <c r="G748" s="13" t="s">
        <v>117</v>
      </c>
      <c r="H748" s="13" t="str">
        <f>IFERROR(VLOOKUP(#REF!748,'정보화기기 명부'!A$2:B$187,2,FALSE),"")</f>
        <v/>
      </c>
      <c r="I748" s="13"/>
      <c r="J748" s="13" t="s">
        <v>738</v>
      </c>
      <c r="K748" s="13"/>
      <c r="L748" s="13">
        <v>20041230</v>
      </c>
      <c r="M748" s="13" t="s">
        <v>1152</v>
      </c>
      <c r="N748" s="13" t="s">
        <v>1193</v>
      </c>
      <c r="O748" s="208">
        <v>209</v>
      </c>
      <c r="P748" s="13" t="s">
        <v>495</v>
      </c>
      <c r="Q748" s="13" t="s">
        <v>950</v>
      </c>
      <c r="R748" s="13" t="s">
        <v>188</v>
      </c>
      <c r="S748" s="13" t="s">
        <v>204</v>
      </c>
    </row>
    <row r="749" spans="1:22" s="14" customFormat="1" ht="13.5" hidden="1" customHeight="1" ns3:dyDescent="0.25">
      <c r="A749" s="13" t="s">
        <v>1297</v>
      </c>
      <c r="B749" s="25" t="str">
        <f t="shared" si="40"/>
      </c>
      <c r="C749" s="13" t="s">
        <v>1147</v>
      </c>
      <c r="D749" s="13" t="s">
        <v>17</v>
      </c>
      <c r="E749" s="13" t="s">
        <v>55</v>
      </c>
      <c r="F749" s="13" t="s">
        <v>819</v>
      </c>
      <c r="G749" s="13" t="s">
        <v>117</v>
      </c>
      <c r="H749" s="13" t="str">
        <f>IFERROR(VLOOKUP(#REF!749,'정보화기기 명부'!A$2:B$187,2,FALSE),"")</f>
        <v/>
      </c>
      <c r="I749" s="13"/>
      <c r="J749" s="13" t="s">
        <v>738</v>
      </c>
      <c r="K749" s="13"/>
      <c r="L749" s="13">
        <v>20041230</v>
      </c>
      <c r="M749" s="13" t="s">
        <v>1152</v>
      </c>
      <c r="N749" s="13" t="s">
        <v>1193</v>
      </c>
      <c r="O749" s="208">
        <v>208</v>
      </c>
      <c r="P749" s="13" t="s">
        <v>495</v>
      </c>
      <c r="Q749" s="13" t="s">
        <v>950</v>
      </c>
      <c r="R749" s="13" t="s">
        <v>188</v>
      </c>
      <c r="S749" s="13" t="s">
        <v>204</v>
      </c>
    </row>
    <row r="750" spans="1:22" s="14" customFormat="1" ht="13.5" hidden="1" customHeight="1" ns3:dyDescent="0.25">
      <c r="A750" s="13" t="s">
        <v>1297</v>
      </c>
      <c r="B750" s="25" t="str">
        <f t="shared" si="40"/>
      </c>
      <c r="C750" s="13" t="s">
        <v>1147</v>
      </c>
      <c r="D750" s="13" t="s">
        <v>17</v>
      </c>
      <c r="E750" s="13" t="s">
        <v>55</v>
      </c>
      <c r="F750" s="13" t="s">
        <v>819</v>
      </c>
      <c r="G750" s="13" t="s">
        <v>117</v>
      </c>
      <c r="H750" s="13" t="str">
        <f>IFERROR(VLOOKUP(#REF!750,'정보화기기 명부'!A$2:B$187,2,FALSE),"")</f>
        <v/>
      </c>
      <c r="I750" s="13"/>
      <c r="J750" s="13" t="s">
        <v>738</v>
      </c>
      <c r="K750" s="13"/>
      <c r="L750" s="13">
        <v>20041230</v>
      </c>
      <c r="M750" s="13" t="s">
        <v>1152</v>
      </c>
      <c r="N750" s="13" t="s">
        <v>1193</v>
      </c>
      <c r="O750" s="208">
        <v>207</v>
      </c>
      <c r="P750" s="13" t="s">
        <v>495</v>
      </c>
      <c r="Q750" s="13" t="s">
        <v>950</v>
      </c>
      <c r="R750" s="13" t="s">
        <v>188</v>
      </c>
      <c r="S750" s="13" t="s">
        <v>204</v>
      </c>
    </row>
    <row r="751" spans="1:22" s="14" customFormat="1" ht="13.5" hidden="1" customHeight="1" ns3:dyDescent="0.25">
      <c r="A751" s="13" t="s">
        <v>155</v>
      </c>
      <c r="B751" s="25" t="str">
        <f t="shared" si="40"/>
      </c>
      <c r="C751" s="13" t="s">
        <v>1147</v>
      </c>
      <c r="D751" s="13" t="s">
        <v>17</v>
      </c>
      <c r="E751" s="13" t="s">
        <v>55</v>
      </c>
      <c r="F751" s="13" t="s">
        <v>819</v>
      </c>
      <c r="G751" s="13" t="s">
        <v>117</v>
      </c>
      <c r="H751" s="13" t="str">
        <f>IFERROR(VLOOKUP(#REF!751,'정보화기기 명부'!A$2:B$187,2,FALSE),"")</f>
        <v/>
      </c>
      <c r="I751" s="13"/>
      <c r="J751" s="13" t="s">
        <v>738</v>
      </c>
      <c r="K751" s="13"/>
      <c r="L751" s="13">
        <v>20041230</v>
      </c>
      <c r="M751" s="13" t="s">
        <v>1152</v>
      </c>
      <c r="N751" s="13" t="s">
        <v>1193</v>
      </c>
      <c r="O751" s="208">
        <v>206</v>
      </c>
      <c r="P751" s="13" t="s">
        <v>495</v>
      </c>
      <c r="Q751" s="13" t="s">
        <v>950</v>
      </c>
      <c r="R751" s="13" t="s">
        <v>188</v>
      </c>
      <c r="S751" s="13" t="s">
        <v>204</v>
      </c>
    </row>
    <row r="752" spans="1:22" s="14" customFormat="1" ht="13.5" customHeight="1" ns3:dyDescent="0.25">
      <c r="A752" s="13" t="s">
        <v>178</v>
      </c>
      <c r="B752" s="25" t="str">
        <f t="shared" si="40"/>
      </c>
      <c r="C752" s="13" t="s">
        <v>102</v>
      </c>
      <c r="D752" s="13" t="s">
        <v>17</v>
      </c>
      <c r="E752" s="13" t="s">
        <v>8</v>
      </c>
      <c r="F752" s="13" t="s">
        <v>788</v>
      </c>
      <c r="G752" s="13" t="s">
        <v>117</v>
      </c>
      <c r="H752" s="13" t="str">
        <f>IFERROR(VLOOKUP(#REF!752,'정보화기기 명부'!A$2:B$187,2,FALSE),"")</f>
        <v/>
      </c>
      <c r="I752" s="13"/>
      <c r="J752" s="13"/>
      <c r="K752" s="13"/>
      <c r="L752" s="13">
        <v>20041217</v>
      </c>
      <c r="M752" s="13" t="s">
        <v>430</v>
      </c>
      <c r="N752" s="13" t="s">
        <v>1191</v>
      </c>
      <c r="O752" s="208">
        <v>240</v>
      </c>
      <c r="P752" s="13" t="s">
        <v>495</v>
      </c>
      <c r="Q752" s="13" t="s">
        <v>1187</v>
      </c>
      <c r="R752" s="13" t="s">
        <v>188</v>
      </c>
      <c r="S752" s="13" t="s">
        <v>219</v>
      </c>
    </row>
    <row r="753" spans="1:22" s="14" customFormat="1" ht="13.5" customHeight="1" ns3:dyDescent="0.25">
      <c r="A753" s="13" t="s">
        <v>178</v>
      </c>
      <c r="B753" s="25" t="str">
        <f t="shared" si="40"/>
      </c>
      <c r="C753" s="13" t="s">
        <v>102</v>
      </c>
      <c r="D753" s="13" t="s">
        <v>17</v>
      </c>
      <c r="E753" s="13" t="s">
        <v>8</v>
      </c>
      <c r="F753" s="13" t="s">
        <v>788</v>
      </c>
      <c r="G753" s="13" t="s">
        <v>117</v>
      </c>
      <c r="H753" s="13" t="str">
        <f>IFERROR(VLOOKUP(#REF!753,'정보화기기 명부'!A$2:B$187,2,FALSE),"")</f>
        <v/>
      </c>
      <c r="I753" s="13"/>
      <c r="J753" s="13"/>
      <c r="K753" s="13"/>
      <c r="L753" s="13">
        <v>20041217</v>
      </c>
      <c r="M753" s="13" t="s">
        <v>430</v>
      </c>
      <c r="N753" s="13" t="s">
        <v>1191</v>
      </c>
      <c r="O753" s="208">
        <v>239</v>
      </c>
      <c r="P753" s="13" t="s">
        <v>495</v>
      </c>
      <c r="Q753" s="13" t="s">
        <v>1187</v>
      </c>
      <c r="R753" s="13" t="s">
        <v>188</v>
      </c>
      <c r="S753" s="13" t="s">
        <v>219</v>
      </c>
    </row>
    <row r="754" spans="1:22" s="14" customFormat="1" ht="13.5" hidden="1" customHeight="1" ns3:dyDescent="0.25">
      <c r="A754" s="13" t="s">
        <v>538</v>
      </c>
      <c r="B754" s="25" t="str">
        <f t="shared" ref="B754:B817" si="44">LEFT(L754,6)&amp;"-"&amp;TEXT(O754,"0000")</f>
      </c>
      <c r="C754" s="13" t="s">
        <v>1147</v>
      </c>
      <c r="D754" s="13" t="s">
        <v>17</v>
      </c>
      <c r="E754" s="13" t="s">
        <v>8</v>
      </c>
      <c r="F754" s="13" t="s">
        <v>811</v>
      </c>
      <c r="G754" s="13" t="s">
        <v>117</v>
      </c>
      <c r="H754" s="13" t="str">
        <f>IFERROR(VLOOKUP(#REF!754,'정보화기기 명부'!A$2:B$187,2,FALSE),"")</f>
        <v/>
      </c>
      <c r="I754" s="13"/>
      <c r="J754" s="13"/>
      <c r="K754" s="13"/>
      <c r="L754" s="13">
        <v>20040916</v>
      </c>
      <c r="M754" s="13" t="s">
        <v>420</v>
      </c>
      <c r="N754" s="13" t="s">
        <v>1191</v>
      </c>
      <c r="O754" s="208">
        <v>204</v>
      </c>
      <c r="P754" s="13" t="s">
        <v>495</v>
      </c>
      <c r="Q754" s="13" t="s">
        <v>741</v>
      </c>
      <c r="R754" s="13" t="s">
        <v>227</v>
      </c>
      <c r="S754" s="13" t="s">
        <v>223</v>
      </c>
    </row>
    <row r="755" spans="1:22" s="14" customFormat="1" ht="13.5" hidden="1" customHeight="1" ns3:dyDescent="0.25">
      <c r="A755" s="13" t="s">
        <v>421</v>
      </c>
      <c r="B755" s="25" t="str">
        <f t="shared" si="44"/>
      </c>
      <c r="C755" s="13" t="s">
        <v>1147</v>
      </c>
      <c r="D755" s="13" t="s">
        <v>17</v>
      </c>
      <c r="E755" s="13" t="s">
        <v>8</v>
      </c>
      <c r="F755" s="13" t="s">
        <v>824</v>
      </c>
      <c r="G755" s="13" t="s">
        <v>117</v>
      </c>
      <c r="H755" s="13" t="str">
        <f>IFERROR(VLOOKUP(#REF!755,'정보화기기 명부'!A$2:B$187,2,FALSE),"")</f>
        <v/>
      </c>
      <c r="I755" s="13"/>
      <c r="J755" s="13"/>
      <c r="K755" s="13"/>
      <c r="L755" s="13">
        <v>20040628</v>
      </c>
      <c r="M755" s="13" t="s">
        <v>681</v>
      </c>
      <c r="N755" s="13" t="s">
        <v>1191</v>
      </c>
      <c r="O755" s="208">
        <v>7</v>
      </c>
      <c r="P755" s="13" t="s">
        <v>495</v>
      </c>
      <c r="Q755" s="13" t="s">
        <v>1026</v>
      </c>
      <c r="R755" s="13" t="s">
        <v>188</v>
      </c>
      <c r="S755" s="13" t="s">
        <v>213</v>
      </c>
    </row>
    <row r="756" spans="1:22" s="14" customFormat="1" ht="13.5" hidden="1" customHeight="1" ns3:dyDescent="0.25">
      <c r="A756" s="13" t="s">
        <v>199</v>
      </c>
      <c r="B756" s="25" t="str">
        <f t="shared" si="44"/>
      </c>
      <c r="C756" s="13" t="s">
        <v>1147</v>
      </c>
      <c r="D756" s="13" t="s">
        <v>17</v>
      </c>
      <c r="E756" s="13" t="s">
        <v>8</v>
      </c>
      <c r="F756" s="13" t="s">
        <v>824</v>
      </c>
      <c r="G756" s="13" t="s">
        <v>117</v>
      </c>
      <c r="H756" s="13" t="str">
        <f>IFERROR(VLOOKUP(#REF!756,'정보화기기 명부'!A$2:B$187,2,FALSE),"")</f>
        <v/>
      </c>
      <c r="I756" s="13"/>
      <c r="J756" s="13"/>
      <c r="K756" s="13"/>
      <c r="L756" s="13">
        <v>20040628</v>
      </c>
      <c r="M756" s="13" t="s">
        <v>681</v>
      </c>
      <c r="N756" s="13" t="s">
        <v>1191</v>
      </c>
      <c r="O756" s="208">
        <v>6</v>
      </c>
      <c r="P756" s="13" t="s">
        <v>495</v>
      </c>
      <c r="Q756" s="13" t="s">
        <v>1026</v>
      </c>
      <c r="R756" s="13" t="s">
        <v>188</v>
      </c>
      <c r="S756" s="13" t="s">
        <v>219</v>
      </c>
    </row>
    <row r="757" spans="1:22" s="14" customFormat="1" ht="13.5" hidden="1" customHeight="1" ns3:dyDescent="0.25">
      <c r="A757" s="13" t="s">
        <v>155</v>
      </c>
      <c r="B757" s="25" t="str">
        <f t="shared" si="44"/>
      </c>
      <c r="C757" s="13" t="s">
        <v>1147</v>
      </c>
      <c r="D757" s="13" t="s">
        <v>17</v>
      </c>
      <c r="E757" s="13" t="s">
        <v>55</v>
      </c>
      <c r="F757" s="13" t="s">
        <v>817</v>
      </c>
      <c r="G757" s="13" t="s">
        <v>117</v>
      </c>
      <c r="H757" s="13" t="str">
        <f>IFERROR(VLOOKUP(#REF!757,'정보화기기 명부'!A$2:B$187,2,FALSE),"")</f>
        <v/>
      </c>
      <c r="I757" s="13"/>
      <c r="J757" s="13" t="s">
        <v>738</v>
      </c>
      <c r="K757" s="13"/>
      <c r="L757" s="13">
        <v>20040421</v>
      </c>
      <c r="M757" s="13" t="s">
        <v>419</v>
      </c>
      <c r="N757" s="13" t="s">
        <v>1193</v>
      </c>
      <c r="O757" s="208">
        <v>205</v>
      </c>
      <c r="P757" s="13" t="s">
        <v>495</v>
      </c>
      <c r="Q757" s="13" t="s">
        <v>1026</v>
      </c>
      <c r="R757" s="13" t="s">
        <v>188</v>
      </c>
      <c r="S757" s="13" t="s">
        <v>213</v>
      </c>
    </row>
    <row r="758" spans="1:22" s="14" customFormat="1" ht="13.5" hidden="1" customHeight="1" ns3:dyDescent="0.25">
      <c r="A758" s="13" t="s">
        <v>155</v>
      </c>
      <c r="B758" s="25" t="str">
        <f t="shared" si="44"/>
      </c>
      <c r="C758" s="13" t="s">
        <v>1147</v>
      </c>
      <c r="D758" s="13" t="s">
        <v>17</v>
      </c>
      <c r="E758" s="13" t="s">
        <v>55</v>
      </c>
      <c r="F758" s="13" t="s">
        <v>817</v>
      </c>
      <c r="G758" s="13" t="s">
        <v>117</v>
      </c>
      <c r="H758" s="13" t="str">
        <f>IFERROR(VLOOKUP(#REF!758,'정보화기기 명부'!A$2:B$187,2,FALSE),"")</f>
        <v/>
      </c>
      <c r="I758" s="13"/>
      <c r="J758" s="13" t="s">
        <v>738</v>
      </c>
      <c r="K758" s="13"/>
      <c r="L758" s="13">
        <v>20040421</v>
      </c>
      <c r="M758" s="13" t="s">
        <v>419</v>
      </c>
      <c r="N758" s="13" t="s">
        <v>1193</v>
      </c>
      <c r="O758" s="208">
        <v>181</v>
      </c>
      <c r="P758" s="13" t="s">
        <v>495</v>
      </c>
      <c r="Q758" s="13" t="s">
        <v>1026</v>
      </c>
      <c r="R758" s="13" t="s">
        <v>188</v>
      </c>
      <c r="S758" s="13" t="s">
        <v>213</v>
      </c>
    </row>
    <row r="759" spans="1:22" s="14" customFormat="1" ht="13.5" hidden="1" customHeight="1" ns3:dyDescent="0.25">
      <c r="A759" s="13" t="s">
        <v>155</v>
      </c>
      <c r="B759" s="25" t="str">
        <f t="shared" si="44"/>
      </c>
      <c r="C759" s="13" t="s">
        <v>1147</v>
      </c>
      <c r="D759" s="13" t="s">
        <v>17</v>
      </c>
      <c r="E759" s="13" t="s">
        <v>55</v>
      </c>
      <c r="F759" s="13" t="s">
        <v>817</v>
      </c>
      <c r="G759" s="13" t="s">
        <v>117</v>
      </c>
      <c r="H759" s="13" t="str">
        <f>IFERROR(VLOOKUP(#REF!759,'정보화기기 명부'!A$2:B$187,2,FALSE),"")</f>
        <v/>
      </c>
      <c r="I759" s="13"/>
      <c r="J759" s="13" t="s">
        <v>738</v>
      </c>
      <c r="K759" s="13"/>
      <c r="L759" s="13">
        <v>20040421</v>
      </c>
      <c r="M759" s="13" t="s">
        <v>419</v>
      </c>
      <c r="N759" s="13" t="s">
        <v>1193</v>
      </c>
      <c r="O759" s="208">
        <v>180</v>
      </c>
      <c r="P759" s="13" t="s">
        <v>495</v>
      </c>
      <c r="Q759" s="13" t="s">
        <v>1026</v>
      </c>
      <c r="R759" s="13" t="s">
        <v>188</v>
      </c>
      <c r="S759" s="13" t="s">
        <v>213</v>
      </c>
    </row>
    <row r="760" spans="1:22" s="14" customFormat="1" ht="13.5" hidden="1" customHeight="1" ns3:dyDescent="0.25">
      <c r="A760" s="13" t="s">
        <v>155</v>
      </c>
      <c r="B760" s="25" t="str">
        <f t="shared" si="44"/>
      </c>
      <c r="C760" s="13" t="s">
        <v>1147</v>
      </c>
      <c r="D760" s="13" t="s">
        <v>17</v>
      </c>
      <c r="E760" s="13" t="s">
        <v>55</v>
      </c>
      <c r="F760" s="13" t="s">
        <v>817</v>
      </c>
      <c r="G760" s="13" t="s">
        <v>117</v>
      </c>
      <c r="H760" s="13" t="str">
        <f>IFERROR(VLOOKUP(#REF!760,'정보화기기 명부'!A$2:B$187,2,FALSE),"")</f>
        <v/>
      </c>
      <c r="I760" s="13"/>
      <c r="J760" s="13" t="s">
        <v>738</v>
      </c>
      <c r="K760" s="13"/>
      <c r="L760" s="13">
        <v>20040421</v>
      </c>
      <c r="M760" s="13" t="s">
        <v>419</v>
      </c>
      <c r="N760" s="13" t="s">
        <v>1193</v>
      </c>
      <c r="O760" s="208">
        <v>179</v>
      </c>
      <c r="P760" s="13" t="s">
        <v>495</v>
      </c>
      <c r="Q760" s="13" t="s">
        <v>1026</v>
      </c>
      <c r="R760" s="13" t="s">
        <v>188</v>
      </c>
      <c r="S760" s="13" t="s">
        <v>213</v>
      </c>
    </row>
    <row r="761" spans="1:22" s="14" customFormat="1" ht="13.5" hidden="1" customHeight="1" ns3:dyDescent="0.25">
      <c r="A761" s="13" t="s">
        <v>155</v>
      </c>
      <c r="B761" s="25" t="str">
        <f t="shared" si="44"/>
      </c>
      <c r="C761" s="13" t="s">
        <v>1147</v>
      </c>
      <c r="D761" s="13" t="s">
        <v>17</v>
      </c>
      <c r="E761" s="13" t="s">
        <v>55</v>
      </c>
      <c r="F761" s="13" t="s">
        <v>817</v>
      </c>
      <c r="G761" s="13" t="s">
        <v>117</v>
      </c>
      <c r="H761" s="13" t="str">
        <f>IFERROR(VLOOKUP(#REF!761,'정보화기기 명부'!A$2:B$187,2,FALSE),"")</f>
        <v/>
      </c>
      <c r="I761" s="13"/>
      <c r="J761" s="13" t="s">
        <v>738</v>
      </c>
      <c r="K761" s="13"/>
      <c r="L761" s="13">
        <v>20040421</v>
      </c>
      <c r="M761" s="13" t="s">
        <v>419</v>
      </c>
      <c r="N761" s="13" t="s">
        <v>1193</v>
      </c>
      <c r="O761" s="208">
        <v>178</v>
      </c>
      <c r="P761" s="13" t="s">
        <v>495</v>
      </c>
      <c r="Q761" s="13" t="s">
        <v>1026</v>
      </c>
      <c r="R761" s="13" t="s">
        <v>188</v>
      </c>
      <c r="S761" s="13" t="s">
        <v>213</v>
      </c>
    </row>
    <row r="762" spans="1:22" s="14" customFormat="1" ht="13.5" hidden="1" customHeight="1" ns3:dyDescent="0.25">
      <c r="A762" s="13" t="s">
        <v>155</v>
      </c>
      <c r="B762" s="25" t="str">
        <f t="shared" si="44"/>
      </c>
      <c r="C762" s="13" t="s">
        <v>1147</v>
      </c>
      <c r="D762" s="13" t="s">
        <v>17</v>
      </c>
      <c r="E762" s="13" t="s">
        <v>55</v>
      </c>
      <c r="F762" s="13" t="s">
        <v>817</v>
      </c>
      <c r="G762" s="13" t="s">
        <v>117</v>
      </c>
      <c r="H762" s="13" t="str">
        <f>IFERROR(VLOOKUP(#REF!762,'정보화기기 명부'!A$2:B$187,2,FALSE),"")</f>
        <v/>
      </c>
      <c r="I762" s="13"/>
      <c r="J762" s="13" t="s">
        <v>738</v>
      </c>
      <c r="K762" s="13"/>
      <c r="L762" s="13">
        <v>20040421</v>
      </c>
      <c r="M762" s="13" t="s">
        <v>419</v>
      </c>
      <c r="N762" s="13" t="s">
        <v>1193</v>
      </c>
      <c r="O762" s="208">
        <v>177</v>
      </c>
      <c r="P762" s="13" t="s">
        <v>495</v>
      </c>
      <c r="Q762" s="13" t="s">
        <v>1026</v>
      </c>
      <c r="R762" s="13" t="s">
        <v>188</v>
      </c>
      <c r="S762" s="13" t="s">
        <v>213</v>
      </c>
    </row>
    <row r="763" spans="1:22" s="14" customFormat="1" ht="13.5" hidden="1" customHeight="1" ns3:dyDescent="0.25">
      <c r="A763" s="13" t="s">
        <v>155</v>
      </c>
      <c r="B763" s="25" t="str">
        <f t="shared" si="44"/>
      </c>
      <c r="C763" s="13" t="s">
        <v>1147</v>
      </c>
      <c r="D763" s="13" t="s">
        <v>17</v>
      </c>
      <c r="E763" s="13" t="s">
        <v>55</v>
      </c>
      <c r="F763" s="13" t="s">
        <v>817</v>
      </c>
      <c r="G763" s="13" t="s">
        <v>117</v>
      </c>
      <c r="H763" s="13" t="str">
        <f>IFERROR(VLOOKUP(#REF!763,'정보화기기 명부'!A$2:B$187,2,FALSE),"")</f>
        <v/>
      </c>
      <c r="I763" s="13"/>
      <c r="J763" s="13" t="s">
        <v>738</v>
      </c>
      <c r="K763" s="13"/>
      <c r="L763" s="13">
        <v>20040421</v>
      </c>
      <c r="M763" s="13" t="s">
        <v>419</v>
      </c>
      <c r="N763" s="13" t="s">
        <v>1193</v>
      </c>
      <c r="O763" s="208">
        <v>176</v>
      </c>
      <c r="P763" s="13" t="s">
        <v>495</v>
      </c>
      <c r="Q763" s="13" t="s">
        <v>1026</v>
      </c>
      <c r="R763" s="13" t="s">
        <v>188</v>
      </c>
      <c r="S763" s="13" t="s">
        <v>213</v>
      </c>
    </row>
    <row r="764" spans="1:22" s="14" customFormat="1" ht="13.5" hidden="1" customHeight="1" ns3:dyDescent="0.25">
      <c r="A764" s="13" t="s">
        <v>155</v>
      </c>
      <c r="B764" s="25" t="str">
        <f t="shared" si="44"/>
      </c>
      <c r="C764" s="13" t="s">
        <v>1147</v>
      </c>
      <c r="D764" s="13" t="s">
        <v>17</v>
      </c>
      <c r="E764" s="13" t="s">
        <v>55</v>
      </c>
      <c r="F764" s="13" t="s">
        <v>817</v>
      </c>
      <c r="G764" s="13" t="s">
        <v>117</v>
      </c>
      <c r="H764" s="13" t="str">
        <f>IFERROR(VLOOKUP(#REF!764,'정보화기기 명부'!A$2:B$187,2,FALSE),"")</f>
        <v/>
      </c>
      <c r="I764" s="13"/>
      <c r="J764" s="13" t="s">
        <v>738</v>
      </c>
      <c r="K764" s="13"/>
      <c r="L764" s="13">
        <v>20040421</v>
      </c>
      <c r="M764" s="13" t="s">
        <v>419</v>
      </c>
      <c r="N764" s="13" t="s">
        <v>1193</v>
      </c>
      <c r="O764" s="208">
        <v>175</v>
      </c>
      <c r="P764" s="13" t="s">
        <v>495</v>
      </c>
      <c r="Q764" s="13" t="s">
        <v>1026</v>
      </c>
      <c r="R764" s="13" t="s">
        <v>188</v>
      </c>
      <c r="S764" s="13" t="s">
        <v>213</v>
      </c>
    </row>
    <row r="765" spans="1:22" s="14" customFormat="1" ht="13.5" hidden="1" customHeight="1" ns3:dyDescent="0.25">
      <c r="A765" s="13" t="s">
        <v>155</v>
      </c>
      <c r="B765" s="25" t="str">
        <f t="shared" si="44"/>
      </c>
      <c r="C765" s="13" t="s">
        <v>1147</v>
      </c>
      <c r="D765" s="13" t="s">
        <v>17</v>
      </c>
      <c r="E765" s="13" t="s">
        <v>55</v>
      </c>
      <c r="F765" s="13" t="s">
        <v>817</v>
      </c>
      <c r="G765" s="13" t="s">
        <v>117</v>
      </c>
      <c r="H765" s="13" t="str">
        <f>IFERROR(VLOOKUP(#REF!765,'정보화기기 명부'!A$2:B$187,2,FALSE),"")</f>
        <v/>
      </c>
      <c r="I765" s="13"/>
      <c r="J765" s="13" t="s">
        <v>738</v>
      </c>
      <c r="K765" s="13"/>
      <c r="L765" s="13">
        <v>20040421</v>
      </c>
      <c r="M765" s="13" t="s">
        <v>684</v>
      </c>
      <c r="N765" s="13" t="s">
        <v>1193</v>
      </c>
      <c r="O765" s="208">
        <v>174</v>
      </c>
      <c r="P765" s="13" t="s">
        <v>495</v>
      </c>
      <c r="Q765" s="13" t="s">
        <v>1026</v>
      </c>
      <c r="R765" s="13" t="s">
        <v>188</v>
      </c>
      <c r="S765" s="13" t="s">
        <v>213</v>
      </c>
    </row>
    <row r="766" spans="1:22" s="14" customFormat="1" ht="13.5" hidden="1" customHeight="1" ns3:dyDescent="0.25">
      <c r="A766" s="13" t="s">
        <v>164</v>
      </c>
      <c r="B766" s="25" t="str">
        <f t="shared" si="44"/>
      </c>
      <c r="C766" s="13" t="s">
        <v>1147</v>
      </c>
      <c r="D766" s="13" t="s">
        <v>17</v>
      </c>
      <c r="E766" s="13" t="s">
        <v>8</v>
      </c>
      <c r="F766" s="13" t="s">
        <v>1672</v>
      </c>
      <c r="G766" s="13" t="s">
        <v>138</v>
      </c>
      <c r="H766" s="13" t="str">
        <f>IFERROR(VLOOKUP(#REF!766,'정보화기기 명부'!A$2:B$187,2,FALSE),"")</f>
        <v/>
      </c>
      <c r="I766" s="13"/>
      <c r="J766" s="13"/>
      <c r="K766" s="13"/>
      <c r="L766" s="13">
        <v>20040331</v>
      </c>
      <c r="M766" s="13" t="s">
        <v>432</v>
      </c>
      <c r="N766" s="13" t="s">
        <v>1191</v>
      </c>
      <c r="O766" s="208">
        <v>225</v>
      </c>
      <c r="P766" s="13" t="s">
        <v>495</v>
      </c>
      <c r="Q766" s="13" t="s">
        <v>1026</v>
      </c>
      <c r="R766" s="13" t="s">
        <v>209</v>
      </c>
      <c r="S766" s="13" t="s">
        <v>1731</v>
      </c>
    </row>
    <row r="767" spans="1:22" s="14" customFormat="1" ht="13.5" hidden="1" customHeight="1" ns3:dyDescent="0.25">
      <c r="A767" s="13" t="s">
        <v>164</v>
      </c>
      <c r="B767" s="25" t="str">
        <f t="shared" si="44"/>
      </c>
      <c r="C767" s="13" t="s">
        <v>1147</v>
      </c>
      <c r="D767" s="13" t="s">
        <v>17</v>
      </c>
      <c r="E767" s="13" t="s">
        <v>8</v>
      </c>
      <c r="F767" s="13" t="s">
        <v>1556</v>
      </c>
      <c r="G767" s="13" t="s">
        <v>138</v>
      </c>
      <c r="H767" s="13" t="str">
        <f>IFERROR(VLOOKUP(#REF!767,'정보화기기 명부'!A$2:B$187,2,FALSE),"")</f>
        <v/>
      </c>
      <c r="I767" s="13"/>
      <c r="J767" s="13"/>
      <c r="K767" s="13"/>
      <c r="L767" s="13">
        <v>20040326</v>
      </c>
      <c r="M767" s="13" t="s">
        <v>424</v>
      </c>
      <c r="N767" s="13" t="s">
        <v>1191</v>
      </c>
      <c r="O767" s="208">
        <v>241</v>
      </c>
      <c r="P767" s="13" t="s">
        <v>495</v>
      </c>
      <c r="Q767" s="13" t="s">
        <v>808</v>
      </c>
      <c r="R767" s="13" t="s">
        <v>209</v>
      </c>
      <c r="S767" s="13" t="s">
        <v>1168</v>
      </c>
    </row>
    <row r="768" spans="1:22" s="14" customFormat="1" ht="13.5" customHeight="1" ns3:dyDescent="0.25">
      <c r="A768" s="13" t="s">
        <v>216</v>
      </c>
      <c r="B768" s="25" t="str">
        <f t="shared" si="44"/>
      </c>
      <c r="C768" s="13" t="s">
        <v>102</v>
      </c>
      <c r="D768" s="13" t="s">
        <v>17</v>
      </c>
      <c r="E768" s="13" t="s">
        <v>120</v>
      </c>
      <c r="F768" s="13" t="s">
        <v>423</v>
      </c>
      <c r="G768" s="13" t="s">
        <v>10</v>
      </c>
      <c r="H768" s="13" t="str">
        <f>IFERROR(VLOOKUP(#REF!768,'정보화기기 명부'!A$2:B$187,2,FALSE),"")</f>
        <v/>
      </c>
      <c r="I768" s="13"/>
      <c r="J768" s="13"/>
      <c r="K768" s="13"/>
      <c r="L768" s="13">
        <v>20040313</v>
      </c>
      <c r="M768" s="13" t="s">
        <v>676</v>
      </c>
      <c r="N768" s="13" t="s">
        <v>1186</v>
      </c>
      <c r="O768" s="208">
        <v>56</v>
      </c>
      <c r="P768" s="13" t="s">
        <v>495</v>
      </c>
      <c r="Q768" s="13" t="s">
        <v>751</v>
      </c>
      <c r="R768" s="13" t="s">
        <v>188</v>
      </c>
      <c r="S768" s="13" t="s">
        <v>175</v>
      </c>
    </row>
    <row r="769" spans="1:22" s="14" customFormat="1" ht="13.5" customHeight="1" ns3:dyDescent="0.25">
      <c r="A769" s="13" t="s">
        <v>141</v>
      </c>
      <c r="B769" s="25" t="str">
        <f t="shared" si="44"/>
      </c>
      <c r="C769" s="13" t="s">
        <v>102</v>
      </c>
      <c r="D769" s="13" t="s">
        <v>17</v>
      </c>
      <c r="E769" s="13" t="s">
        <v>120</v>
      </c>
      <c r="F769" s="13" t="s">
        <v>797</v>
      </c>
      <c r="G769" s="13" t="s">
        <v>117</v>
      </c>
      <c r="H769" s="13" t="str">
        <f>IFERROR(VLOOKUP(#REF!769,'정보화기기 명부'!A$2:B$187,2,FALSE),"")</f>
        <v/>
      </c>
      <c r="I769" s="13"/>
      <c r="J769" s="13"/>
      <c r="K769" s="13"/>
      <c r="L769" s="13">
        <v>20040302</v>
      </c>
      <c r="M769" s="13" t="s">
        <v>679</v>
      </c>
      <c r="N769" s="13" t="s">
        <v>1191</v>
      </c>
      <c r="O769" s="208">
        <v>96</v>
      </c>
      <c r="P769" s="13" t="s">
        <v>495</v>
      </c>
      <c r="Q769" s="13" t="s">
        <v>728</v>
      </c>
      <c r="R769" s="13" t="s">
        <v>188</v>
      </c>
      <c r="S769" s="13" t="s">
        <v>201</v>
      </c>
    </row>
    <row r="770" spans="1:22" s="14" customFormat="1" ht="13.5" customHeight="1" ns3:dyDescent="0.25">
      <c r="A770" s="13" t="s">
        <v>191</v>
      </c>
      <c r="B770" s="25" t="str">
        <f t="shared" si="44"/>
      </c>
      <c r="C770" s="13" t="s">
        <v>102</v>
      </c>
      <c r="D770" s="13" t="s">
        <v>17</v>
      </c>
      <c r="E770" s="13" t="s">
        <v>8</v>
      </c>
      <c r="F770" s="13" t="s">
        <v>788</v>
      </c>
      <c r="G770" s="13" t="s">
        <v>117</v>
      </c>
      <c r="H770" s="13" t="str">
        <f>IFERROR(VLOOKUP(#REF!770,'정보화기기 명부'!A$2:B$187,2,FALSE),"")</f>
        <v/>
      </c>
      <c r="I770" s="13"/>
      <c r="J770" s="13"/>
      <c r="K770" s="13"/>
      <c r="L770" s="13">
        <v>20040226</v>
      </c>
      <c r="M770" s="13" t="s">
        <v>434</v>
      </c>
      <c r="N770" s="13" t="s">
        <v>1191</v>
      </c>
      <c r="O770" s="208">
        <v>5</v>
      </c>
      <c r="P770" s="13" t="s">
        <v>495</v>
      </c>
      <c r="Q770" s="13" t="s">
        <v>751</v>
      </c>
      <c r="R770" s="13" t="s">
        <v>174</v>
      </c>
      <c r="S770" s="13" t="s">
        <v>201</v>
      </c>
    </row>
    <row r="771" spans="1:22" s="14" customFormat="1" ht="13.5" hidden="1" customHeight="1" ns3:dyDescent="0.25">
      <c r="A771" s="13" t="s">
        <v>192</v>
      </c>
      <c r="B771" s="25" t="str">
        <f t="shared" si="44"/>
      </c>
      <c r="C771" s="13" t="s">
        <v>1147</v>
      </c>
      <c r="D771" s="13" t="s">
        <v>17</v>
      </c>
      <c r="E771" s="13" t="s">
        <v>8</v>
      </c>
      <c r="F771" s="13" t="s">
        <v>817</v>
      </c>
      <c r="G771" s="13" t="s">
        <v>117</v>
      </c>
      <c r="H771" s="13" t="str">
        <f>IFERROR(VLOOKUP(#REF!771,'정보화기기 명부'!A$2:B$187,2,FALSE),"")</f>
        <v/>
      </c>
      <c r="I771" s="13"/>
      <c r="J771" s="13"/>
      <c r="K771" s="13"/>
      <c r="L771" s="13">
        <v>20040226</v>
      </c>
      <c r="M771" s="13" t="s">
        <v>428</v>
      </c>
      <c r="N771" s="13" t="s">
        <v>1191</v>
      </c>
      <c r="O771" s="208">
        <v>4</v>
      </c>
      <c r="P771" s="13" t="s">
        <v>495</v>
      </c>
      <c r="Q771" s="13" t="s">
        <v>1026</v>
      </c>
      <c r="R771" s="13" t="s">
        <v>188</v>
      </c>
      <c r="S771" s="13" t="s">
        <v>213</v>
      </c>
    </row>
    <row r="772" spans="1:22" s="14" customFormat="1" ht="13.5" customHeight="1" ns3:dyDescent="0.25">
      <c r="A772" s="13" t="s">
        <v>426</v>
      </c>
      <c r="B772" s="25" t="str">
        <f t="shared" si="44"/>
      </c>
      <c r="C772" s="13" t="s">
        <v>102</v>
      </c>
      <c r="D772" s="13" t="s">
        <v>17</v>
      </c>
      <c r="E772" s="13" t="s">
        <v>8</v>
      </c>
      <c r="F772" s="13" t="s">
        <v>788</v>
      </c>
      <c r="G772" s="13" t="s">
        <v>117</v>
      </c>
      <c r="H772" s="13" t="str">
        <f>IFERROR(VLOOKUP(#REF!772,'정보화기기 명부'!A$2:B$187,2,FALSE),"")</f>
        <v/>
      </c>
      <c r="I772" s="13"/>
      <c r="J772" s="13"/>
      <c r="K772" s="13"/>
      <c r="L772" s="13">
        <v>20040119</v>
      </c>
      <c r="M772" s="13" t="s">
        <v>674</v>
      </c>
      <c r="N772" s="13" t="s">
        <v>1186</v>
      </c>
      <c r="O772" s="208">
        <v>199</v>
      </c>
      <c r="P772" s="13" t="s">
        <v>495</v>
      </c>
      <c r="Q772" s="13" t="s">
        <v>751</v>
      </c>
      <c r="R772" s="13" t="s">
        <v>174</v>
      </c>
      <c r="S772" s="13" t="s">
        <v>201</v>
      </c>
    </row>
    <row r="773" spans="1:22" s="14" customFormat="1" ht="13.5" hidden="1" customHeight="1" ns3:dyDescent="0.25">
      <c r="A773" s="13" t="s">
        <v>164</v>
      </c>
      <c r="B773" s="25" t="str">
        <f t="shared" si="44"/>
      </c>
      <c r="C773" s="13" t="s">
        <v>1147</v>
      </c>
      <c r="D773" s="13" t="s">
        <v>17</v>
      </c>
      <c r="E773" s="13" t="s">
        <v>55</v>
      </c>
      <c r="F773" s="13" t="s">
        <v>214</v>
      </c>
      <c r="G773" s="13" t="s">
        <v>10</v>
      </c>
      <c r="H773" s="13" t="str">
        <f>IFERROR(VLOOKUP(#REF!773,'정보화기기 명부'!A$2:B$187,2,FALSE),"")</f>
        <v/>
      </c>
      <c r="I773" s="13"/>
      <c r="J773" s="13" t="s">
        <v>738</v>
      </c>
      <c r="K773" s="13"/>
      <c r="L773" s="13">
        <v>20031230</v>
      </c>
      <c r="M773" s="13" t="s">
        <v>425</v>
      </c>
      <c r="N773" s="13" t="s">
        <v>1193</v>
      </c>
      <c r="O773" s="208">
        <v>185</v>
      </c>
      <c r="P773" s="13" t="s">
        <v>495</v>
      </c>
      <c r="Q773" s="13" t="s">
        <v>729</v>
      </c>
      <c r="R773" s="13" t="s">
        <v>188</v>
      </c>
      <c r="S773" s="13" t="s">
        <v>213</v>
      </c>
    </row>
    <row r="774" spans="1:22" s="14" customFormat="1" ht="13.5" hidden="1" customHeight="1" ns3:dyDescent="0.25">
      <c r="A774" s="13" t="s">
        <v>164</v>
      </c>
      <c r="B774" s="25" t="str">
        <f t="shared" si="44"/>
      </c>
      <c r="C774" s="13" t="s">
        <v>1147</v>
      </c>
      <c r="D774" s="13" t="s">
        <v>17</v>
      </c>
      <c r="E774" s="13" t="s">
        <v>55</v>
      </c>
      <c r="F774" s="13" t="s">
        <v>214</v>
      </c>
      <c r="G774" s="13" t="s">
        <v>10</v>
      </c>
      <c r="H774" s="13" t="str">
        <f>IFERROR(VLOOKUP(#REF!774,'정보화기기 명부'!A$2:B$187,2,FALSE),"")</f>
        <v/>
      </c>
      <c r="I774" s="13"/>
      <c r="J774" s="13" t="s">
        <v>738</v>
      </c>
      <c r="K774" s="13"/>
      <c r="L774" s="13">
        <v>20031230</v>
      </c>
      <c r="M774" s="13" t="s">
        <v>425</v>
      </c>
      <c r="N774" s="13" t="s">
        <v>1193</v>
      </c>
      <c r="O774" s="208">
        <v>184</v>
      </c>
      <c r="P774" s="13" t="s">
        <v>495</v>
      </c>
      <c r="Q774" s="13" t="s">
        <v>729</v>
      </c>
      <c r="R774" s="13" t="s">
        <v>188</v>
      </c>
      <c r="S774" s="13" t="s">
        <v>213</v>
      </c>
    </row>
    <row r="775" spans="1:22" s="14" customFormat="1" ht="13.5" hidden="1" customHeight="1" ns3:dyDescent="0.25">
      <c r="A775" s="13" t="s">
        <v>164</v>
      </c>
      <c r="B775" s="25" t="str">
        <f t="shared" si="44"/>
      </c>
      <c r="C775" s="13" t="s">
        <v>1147</v>
      </c>
      <c r="D775" s="13" t="s">
        <v>17</v>
      </c>
      <c r="E775" s="13" t="s">
        <v>55</v>
      </c>
      <c r="F775" s="13" t="s">
        <v>214</v>
      </c>
      <c r="G775" s="13" t="s">
        <v>10</v>
      </c>
      <c r="H775" s="13" t="str">
        <f>IFERROR(VLOOKUP(#REF!775,'정보화기기 명부'!A$2:B$187,2,FALSE),"")</f>
        <v/>
      </c>
      <c r="I775" s="13"/>
      <c r="J775" s="13" t="s">
        <v>738</v>
      </c>
      <c r="K775" s="13"/>
      <c r="L775" s="13">
        <v>20031230</v>
      </c>
      <c r="M775" s="13" t="s">
        <v>425</v>
      </c>
      <c r="N775" s="13" t="s">
        <v>1193</v>
      </c>
      <c r="O775" s="208">
        <v>183</v>
      </c>
      <c r="P775" s="13" t="s">
        <v>495</v>
      </c>
      <c r="Q775" s="13" t="s">
        <v>729</v>
      </c>
      <c r="R775" s="13" t="s">
        <v>188</v>
      </c>
      <c r="S775" s="13" t="s">
        <v>213</v>
      </c>
    </row>
    <row r="776" spans="1:22" s="14" customFormat="1" ht="13.5" hidden="1" customHeight="1" ns3:dyDescent="0.25">
      <c r="A776" s="13" t="s">
        <v>164</v>
      </c>
      <c r="B776" s="25" t="str">
        <f t="shared" si="44"/>
      </c>
      <c r="C776" s="13" t="s">
        <v>1147</v>
      </c>
      <c r="D776" s="13" t="s">
        <v>17</v>
      </c>
      <c r="E776" s="13" t="s">
        <v>55</v>
      </c>
      <c r="F776" s="13" t="s">
        <v>214</v>
      </c>
      <c r="G776" s="13" t="s">
        <v>10</v>
      </c>
      <c r="H776" s="13" t="str">
        <f>IFERROR(VLOOKUP(#REF!776,'정보화기기 명부'!A$2:B$187,2,FALSE),"")</f>
        <v/>
      </c>
      <c r="I776" s="13"/>
      <c r="J776" s="13" t="s">
        <v>738</v>
      </c>
      <c r="K776" s="13"/>
      <c r="L776" s="13">
        <v>20031230</v>
      </c>
      <c r="M776" s="13" t="s">
        <v>425</v>
      </c>
      <c r="N776" s="13" t="s">
        <v>1193</v>
      </c>
      <c r="O776" s="208">
        <v>182</v>
      </c>
      <c r="P776" s="13" t="s">
        <v>495</v>
      </c>
      <c r="Q776" s="13" t="s">
        <v>729</v>
      </c>
      <c r="R776" s="13" t="s">
        <v>188</v>
      </c>
      <c r="S776" s="13" t="s">
        <v>213</v>
      </c>
    </row>
    <row r="777" spans="1:22" s="14" customFormat="1" ht="13.5" hidden="1" customHeight="1" ns3:dyDescent="0.25">
      <c r="A777" s="13" t="s">
        <v>164</v>
      </c>
      <c r="B777" s="25" t="str">
        <f t="shared" si="44"/>
      </c>
      <c r="C777" s="13" t="s">
        <v>1147</v>
      </c>
      <c r="D777" s="13" t="s">
        <v>17</v>
      </c>
      <c r="E777" s="13" t="s">
        <v>55</v>
      </c>
      <c r="F777" s="13" t="s">
        <v>214</v>
      </c>
      <c r="G777" s="13" t="s">
        <v>10</v>
      </c>
      <c r="H777" s="13" t="str">
        <f>IFERROR(VLOOKUP(#REF!777,'정보화기기 명부'!A$2:B$187,2,FALSE),"")</f>
        <v/>
      </c>
      <c r="I777" s="13"/>
      <c r="J777" s="13" t="s">
        <v>738</v>
      </c>
      <c r="K777" s="13"/>
      <c r="L777" s="13">
        <v>20031230</v>
      </c>
      <c r="M777" s="13" t="s">
        <v>425</v>
      </c>
      <c r="N777" s="13" t="s">
        <v>1193</v>
      </c>
      <c r="O777" s="208">
        <v>146</v>
      </c>
      <c r="P777" s="13" t="s">
        <v>683</v>
      </c>
      <c r="Q777" s="13" t="s">
        <v>729</v>
      </c>
      <c r="R777" s="13" t="s">
        <v>188</v>
      </c>
      <c r="S777" s="13" t="s">
        <v>213</v>
      </c>
    </row>
    <row r="778" spans="1:22" s="14" customFormat="1" ht="13.5" hidden="1" customHeight="1" ns3:dyDescent="0.25">
      <c r="A778" s="13" t="s">
        <v>164</v>
      </c>
      <c r="B778" s="25" t="str">
        <f t="shared" si="44"/>
      </c>
      <c r="C778" s="13" t="s">
        <v>1147</v>
      </c>
      <c r="D778" s="13" t="s">
        <v>17</v>
      </c>
      <c r="E778" s="13" t="s">
        <v>55</v>
      </c>
      <c r="F778" s="13" t="s">
        <v>214</v>
      </c>
      <c r="G778" s="13" t="s">
        <v>10</v>
      </c>
      <c r="H778" s="13" t="str">
        <f>IFERROR(VLOOKUP(#REF!778,'정보화기기 명부'!A$2:B$187,2,FALSE),"")</f>
        <v/>
      </c>
      <c r="I778" s="13"/>
      <c r="J778" s="13" t="s">
        <v>738</v>
      </c>
      <c r="K778" s="13"/>
      <c r="L778" s="13">
        <v>20031230</v>
      </c>
      <c r="M778" s="13" t="s">
        <v>425</v>
      </c>
      <c r="N778" s="13" t="s">
        <v>1193</v>
      </c>
      <c r="O778" s="208">
        <v>145</v>
      </c>
      <c r="P778" s="13" t="s">
        <v>683</v>
      </c>
      <c r="Q778" s="13" t="s">
        <v>729</v>
      </c>
      <c r="R778" s="13" t="s">
        <v>188</v>
      </c>
      <c r="S778" s="13" t="s">
        <v>213</v>
      </c>
    </row>
    <row r="779" spans="1:22" s="14" customFormat="1" ht="13.5" hidden="1" customHeight="1" ns3:dyDescent="0.25">
      <c r="A779" s="13" t="s">
        <v>164</v>
      </c>
      <c r="B779" s="25" t="str">
        <f t="shared" si="44"/>
      </c>
      <c r="C779" s="13" t="s">
        <v>1147</v>
      </c>
      <c r="D779" s="13" t="s">
        <v>17</v>
      </c>
      <c r="E779" s="13" t="s">
        <v>55</v>
      </c>
      <c r="F779" s="13" t="s">
        <v>214</v>
      </c>
      <c r="G779" s="13" t="s">
        <v>10</v>
      </c>
      <c r="H779" s="13" t="str">
        <f>IFERROR(VLOOKUP(#REF!779,'정보화기기 명부'!A$2:B$187,2,FALSE),"")</f>
        <v/>
      </c>
      <c r="I779" s="13"/>
      <c r="J779" s="13" t="s">
        <v>738</v>
      </c>
      <c r="K779" s="13"/>
      <c r="L779" s="13">
        <v>20031230</v>
      </c>
      <c r="M779" s="13" t="s">
        <v>425</v>
      </c>
      <c r="N779" s="13" t="s">
        <v>1193</v>
      </c>
      <c r="O779" s="208">
        <v>144</v>
      </c>
      <c r="P779" s="13" t="s">
        <v>683</v>
      </c>
      <c r="Q779" s="13" t="s">
        <v>729</v>
      </c>
      <c r="R779" s="13" t="s">
        <v>188</v>
      </c>
      <c r="S779" s="13" t="s">
        <v>213</v>
      </c>
    </row>
    <row r="780" spans="1:22" s="14" customFormat="1" ht="13.5" hidden="1" customHeight="1" ns3:dyDescent="0.25">
      <c r="A780" s="13" t="s">
        <v>164</v>
      </c>
      <c r="B780" s="25" t="str">
        <f t="shared" si="44"/>
      </c>
      <c r="C780" s="13" t="s">
        <v>1147</v>
      </c>
      <c r="D780" s="13" t="s">
        <v>17</v>
      </c>
      <c r="E780" s="13" t="s">
        <v>55</v>
      </c>
      <c r="F780" s="13" t="s">
        <v>214</v>
      </c>
      <c r="G780" s="13" t="s">
        <v>10</v>
      </c>
      <c r="H780" s="13" t="str">
        <f>IFERROR(VLOOKUP(#REF!780,'정보화기기 명부'!A$2:B$187,2,FALSE),"")</f>
        <v/>
      </c>
      <c r="I780" s="13"/>
      <c r="J780" s="13" t="s">
        <v>738</v>
      </c>
      <c r="K780" s="13"/>
      <c r="L780" s="13">
        <v>20031230</v>
      </c>
      <c r="M780" s="13" t="s">
        <v>425</v>
      </c>
      <c r="N780" s="13" t="s">
        <v>1193</v>
      </c>
      <c r="O780" s="208">
        <v>143</v>
      </c>
      <c r="P780" s="13" t="s">
        <v>683</v>
      </c>
      <c r="Q780" s="13" t="s">
        <v>729</v>
      </c>
      <c r="R780" s="13" t="s">
        <v>188</v>
      </c>
      <c r="S780" s="13" t="s">
        <v>213</v>
      </c>
    </row>
    <row r="781" spans="1:22" s="14" customFormat="1" ht="13.5" customHeight="1" ns3:dyDescent="0.25">
      <c r="A781" s="13" t="s">
        <v>222</v>
      </c>
      <c r="B781" s="25" t="str">
        <f t="shared" si="44"/>
      </c>
      <c r="C781" s="13" t="s">
        <v>102</v>
      </c>
      <c r="D781" s="13" t="s">
        <v>17</v>
      </c>
      <c r="E781" s="13" t="s">
        <v>120</v>
      </c>
      <c r="F781" s="13" t="s">
        <v>796</v>
      </c>
      <c r="G781" s="13" t="s">
        <v>117</v>
      </c>
      <c r="H781" s="13" t="str">
        <f>IFERROR(VLOOKUP(#REF!781,'정보화기기 명부'!A$2:B$187,2,FALSE),"")</f>
        <v/>
      </c>
      <c r="I781" s="13"/>
      <c r="J781" s="13"/>
      <c r="K781" s="13"/>
      <c r="L781" s="13">
        <v>20030827</v>
      </c>
      <c r="M781" s="13" t="s">
        <v>422</v>
      </c>
      <c r="N781" s="13" t="s">
        <v>1186</v>
      </c>
      <c r="O781" s="208">
        <v>198</v>
      </c>
      <c r="P781" s="13" t="s">
        <v>495</v>
      </c>
      <c r="Q781" s="13" t="s">
        <v>728</v>
      </c>
      <c r="R781" s="13" t="s">
        <v>188</v>
      </c>
      <c r="S781" s="13" t="s">
        <v>201</v>
      </c>
    </row>
    <row r="782" spans="1:22" s="14" customFormat="1" ht="13.5" customHeight="1" ns3:dyDescent="0.25">
      <c r="A782" s="13" t="s">
        <v>212</v>
      </c>
      <c r="B782" s="25" t="str">
        <f t="shared" si="44"/>
      </c>
      <c r="C782" s="13" t="s">
        <v>102</v>
      </c>
      <c r="D782" s="13" t="s">
        <v>17</v>
      </c>
      <c r="E782" s="13" t="s">
        <v>120</v>
      </c>
      <c r="F782" s="13" t="s">
        <v>796</v>
      </c>
      <c r="G782" s="13" t="s">
        <v>117</v>
      </c>
      <c r="H782" s="13" t="str">
        <f>IFERROR(VLOOKUP(#REF!782,'정보화기기 명부'!A$2:B$187,2,FALSE),"")</f>
        <v/>
      </c>
      <c r="I782" s="13"/>
      <c r="J782" s="13"/>
      <c r="K782" s="13"/>
      <c r="L782" s="13">
        <v>20030827</v>
      </c>
      <c r="M782" s="13" t="s">
        <v>422</v>
      </c>
      <c r="N782" s="13" t="s">
        <v>1186</v>
      </c>
      <c r="O782" s="208">
        <v>197</v>
      </c>
      <c r="P782" s="13" t="s">
        <v>495</v>
      </c>
      <c r="Q782" s="13" t="s">
        <v>728</v>
      </c>
      <c r="R782" s="13" t="s">
        <v>188</v>
      </c>
      <c r="S782" s="13" t="s">
        <v>201</v>
      </c>
    </row>
    <row r="783" spans="1:22" s="14" customFormat="1" ht="13.5" customHeight="1" ns3:dyDescent="0.25">
      <c r="A783" s="13" t="s">
        <v>257</v>
      </c>
      <c r="B783" s="25" t="str">
        <f t="shared" si="44"/>
      </c>
      <c r="C783" s="13" t="s">
        <v>102</v>
      </c>
      <c r="D783" s="13" t="s">
        <v>17</v>
      </c>
      <c r="E783" s="13" t="s">
        <v>120</v>
      </c>
      <c r="F783" s="13" t="s">
        <v>796</v>
      </c>
      <c r="G783" s="13" t="s">
        <v>117</v>
      </c>
      <c r="H783" s="13" t="str">
        <f>IFERROR(VLOOKUP(#REF!783,'정보화기기 명부'!A$2:B$187,2,FALSE),"")</f>
        <v/>
      </c>
      <c r="I783" s="13"/>
      <c r="J783" s="13"/>
      <c r="K783" s="13"/>
      <c r="L783" s="13">
        <v>20030827</v>
      </c>
      <c r="M783" s="13" t="s">
        <v>422</v>
      </c>
      <c r="N783" s="13" t="s">
        <v>1186</v>
      </c>
      <c r="O783" s="208">
        <v>192</v>
      </c>
      <c r="P783" s="13" t="s">
        <v>495</v>
      </c>
      <c r="Q783" s="13" t="s">
        <v>728</v>
      </c>
      <c r="R783" s="13" t="s">
        <v>188</v>
      </c>
      <c r="S783" s="13" t="s">
        <v>201</v>
      </c>
    </row>
    <row r="784" spans="1:22" s="14" customFormat="1" ht="13.5" customHeight="1" ns3:dyDescent="0.25">
      <c r="A784" s="13" t="s">
        <v>217</v>
      </c>
      <c r="B784" s="25" t="str">
        <f t="shared" si="44"/>
      </c>
      <c r="C784" s="13" t="s">
        <v>102</v>
      </c>
      <c r="D784" s="13" t="s">
        <v>17</v>
      </c>
      <c r="E784" s="13" t="s">
        <v>120</v>
      </c>
      <c r="F784" s="13" t="s">
        <v>796</v>
      </c>
      <c r="G784" s="13" t="s">
        <v>117</v>
      </c>
      <c r="H784" s="13" t="str">
        <f>IFERROR(VLOOKUP(#REF!784,'정보화기기 명부'!A$2:B$187,2,FALSE),"")</f>
        <v/>
      </c>
      <c r="I784" s="13"/>
      <c r="J784" s="13"/>
      <c r="K784" s="13"/>
      <c r="L784" s="13">
        <v>20030827</v>
      </c>
      <c r="M784" s="13" t="s">
        <v>422</v>
      </c>
      <c r="N784" s="13" t="s">
        <v>1186</v>
      </c>
      <c r="O784" s="208">
        <v>102</v>
      </c>
      <c r="P784" s="13" t="s">
        <v>495</v>
      </c>
      <c r="Q784" s="13" t="s">
        <v>728</v>
      </c>
      <c r="R784" s="13" t="s">
        <v>188</v>
      </c>
      <c r="S784" s="13" t="s">
        <v>201</v>
      </c>
    </row>
    <row r="785" spans="1:22" s="14" customFormat="1" ht="13.5" customHeight="1" ns3:dyDescent="0.25">
      <c r="A785" s="13" t="s">
        <v>210</v>
      </c>
      <c r="B785" s="25" t="str">
        <f t="shared" si="44"/>
      </c>
      <c r="C785" s="13" t="s">
        <v>102</v>
      </c>
      <c r="D785" s="13" t="s">
        <v>17</v>
      </c>
      <c r="E785" s="13" t="s">
        <v>120</v>
      </c>
      <c r="F785" s="13" t="s">
        <v>796</v>
      </c>
      <c r="G785" s="13" t="s">
        <v>117</v>
      </c>
      <c r="H785" s="13" t="str">
        <f>IFERROR(VLOOKUP(#REF!785,'정보화기기 명부'!A$2:B$187,2,FALSE),"")</f>
        <v/>
      </c>
      <c r="I785" s="13"/>
      <c r="J785" s="13"/>
      <c r="K785" s="13"/>
      <c r="L785" s="13">
        <v>20030827</v>
      </c>
      <c r="M785" s="13" t="s">
        <v>422</v>
      </c>
      <c r="N785" s="13" t="s">
        <v>1186</v>
      </c>
      <c r="O785" s="208">
        <v>100</v>
      </c>
      <c r="P785" s="13" t="s">
        <v>495</v>
      </c>
      <c r="Q785" s="13" t="s">
        <v>728</v>
      </c>
      <c r="R785" s="13" t="s">
        <v>188</v>
      </c>
      <c r="S785" s="13" t="s">
        <v>201</v>
      </c>
    </row>
    <row r="786" spans="1:22" s="14" customFormat="1" ht="13.5" customHeight="1" ns3:dyDescent="0.25">
      <c r="A786" s="13" t="s">
        <v>226</v>
      </c>
      <c r="B786" s="25" t="str">
        <f t="shared" si="44"/>
      </c>
      <c r="C786" s="13" t="s">
        <v>102</v>
      </c>
      <c r="D786" s="13" t="s">
        <v>17</v>
      </c>
      <c r="E786" s="13" t="s">
        <v>120</v>
      </c>
      <c r="F786" s="13" t="s">
        <v>796</v>
      </c>
      <c r="G786" s="13" t="s">
        <v>117</v>
      </c>
      <c r="H786" s="13" t="str">
        <f>IFERROR(VLOOKUP(#REF!786,'정보화기기 명부'!A$2:B$187,2,FALSE),"")</f>
        <v/>
      </c>
      <c r="I786" s="13"/>
      <c r="J786" s="13"/>
      <c r="K786" s="13"/>
      <c r="L786" s="13">
        <v>20030827</v>
      </c>
      <c r="M786" s="13" t="s">
        <v>422</v>
      </c>
      <c r="N786" s="13" t="s">
        <v>1186</v>
      </c>
      <c r="O786" s="208">
        <v>92</v>
      </c>
      <c r="P786" s="13" t="s">
        <v>495</v>
      </c>
      <c r="Q786" s="13" t="s">
        <v>728</v>
      </c>
      <c r="R786" s="13" t="s">
        <v>188</v>
      </c>
      <c r="S786" s="13" t="s">
        <v>201</v>
      </c>
    </row>
    <row r="787" spans="1:22" s="14" customFormat="1" ht="13.5" customHeight="1" ns3:dyDescent="0.25">
      <c r="A787" s="13" t="s">
        <v>171</v>
      </c>
      <c r="B787" s="25" t="str">
        <f t="shared" si="44"/>
      </c>
      <c r="C787" s="13" t="s">
        <v>102</v>
      </c>
      <c r="D787" s="13" t="s">
        <v>17</v>
      </c>
      <c r="E787" s="13" t="s">
        <v>120</v>
      </c>
      <c r="F787" s="13" t="s">
        <v>796</v>
      </c>
      <c r="G787" s="13" t="s">
        <v>117</v>
      </c>
      <c r="H787" s="13" t="str">
        <f>IFERROR(VLOOKUP(#REF!787,'정보화기기 명부'!A$2:B$187,2,FALSE),"")</f>
        <v/>
      </c>
      <c r="I787" s="13"/>
      <c r="J787" s="13"/>
      <c r="K787" s="13"/>
      <c r="L787" s="13">
        <v>20030827</v>
      </c>
      <c r="M787" s="13" t="s">
        <v>422</v>
      </c>
      <c r="N787" s="13" t="s">
        <v>1186</v>
      </c>
      <c r="O787" s="208">
        <v>91</v>
      </c>
      <c r="P787" s="13" t="s">
        <v>495</v>
      </c>
      <c r="Q787" s="13" t="s">
        <v>728</v>
      </c>
      <c r="R787" s="13" t="s">
        <v>188</v>
      </c>
      <c r="S787" s="13" t="s">
        <v>201</v>
      </c>
    </row>
    <row r="788" spans="1:22" s="14" customFormat="1" ht="13.5" customHeight="1" ns3:dyDescent="0.25">
      <c r="A788" s="13" t="s">
        <v>260</v>
      </c>
      <c r="B788" s="25" t="str">
        <f t="shared" si="44"/>
      </c>
      <c r="C788" s="13" t="s">
        <v>102</v>
      </c>
      <c r="D788" s="13" t="s">
        <v>17</v>
      </c>
      <c r="E788" s="13" t="s">
        <v>120</v>
      </c>
      <c r="F788" s="13" t="s">
        <v>796</v>
      </c>
      <c r="G788" s="13" t="s">
        <v>117</v>
      </c>
      <c r="H788" s="13" t="str">
        <f>IFERROR(VLOOKUP(#REF!788,'정보화기기 명부'!A$2:B$187,2,FALSE),"")</f>
        <v/>
      </c>
      <c r="I788" s="13"/>
      <c r="J788" s="13"/>
      <c r="K788" s="13"/>
      <c r="L788" s="13">
        <v>20030827</v>
      </c>
      <c r="M788" s="13" t="s">
        <v>422</v>
      </c>
      <c r="N788" s="13" t="s">
        <v>1186</v>
      </c>
      <c r="O788" s="208">
        <v>90</v>
      </c>
      <c r="P788" s="13" t="s">
        <v>495</v>
      </c>
      <c r="Q788" s="13" t="s">
        <v>728</v>
      </c>
      <c r="R788" s="13" t="s">
        <v>188</v>
      </c>
      <c r="S788" s="13" t="s">
        <v>201</v>
      </c>
    </row>
    <row r="789" spans="1:22" s="14" customFormat="1" ht="13.5" customHeight="1" ns3:dyDescent="0.25">
      <c r="A789" s="13" t="s">
        <v>240</v>
      </c>
      <c r="B789" s="25" t="str">
        <f t="shared" si="44"/>
      </c>
      <c r="C789" s="13" t="s">
        <v>102</v>
      </c>
      <c r="D789" s="13" t="s">
        <v>17</v>
      </c>
      <c r="E789" s="13" t="s">
        <v>120</v>
      </c>
      <c r="F789" s="13" t="s">
        <v>796</v>
      </c>
      <c r="G789" s="13" t="s">
        <v>117</v>
      </c>
      <c r="H789" s="13" t="str">
        <f>IFERROR(VLOOKUP(#REF!789,'정보화기기 명부'!A$2:B$187,2,FALSE),"")</f>
        <v/>
      </c>
      <c r="I789" s="13"/>
      <c r="J789" s="13"/>
      <c r="K789" s="13"/>
      <c r="L789" s="13">
        <v>20030827</v>
      </c>
      <c r="M789" s="13" t="s">
        <v>422</v>
      </c>
      <c r="N789" s="13" t="s">
        <v>1186</v>
      </c>
      <c r="O789" s="208">
        <v>89</v>
      </c>
      <c r="P789" s="13" t="s">
        <v>495</v>
      </c>
      <c r="Q789" s="13" t="s">
        <v>728</v>
      </c>
      <c r="R789" s="13" t="s">
        <v>188</v>
      </c>
      <c r="S789" s="13" t="s">
        <v>201</v>
      </c>
    </row>
    <row r="790" spans="1:22" s="14" customFormat="1" ht="13.5" customHeight="1" ns3:dyDescent="0.25">
      <c r="A790" s="13" t="s">
        <v>264</v>
      </c>
      <c r="B790" s="25" t="str">
        <f t="shared" si="44"/>
      </c>
      <c r="C790" s="13" t="s">
        <v>102</v>
      </c>
      <c r="D790" s="13" t="s">
        <v>17</v>
      </c>
      <c r="E790" s="13" t="s">
        <v>120</v>
      </c>
      <c r="F790" s="13" t="s">
        <v>796</v>
      </c>
      <c r="G790" s="13" t="s">
        <v>117</v>
      </c>
      <c r="H790" s="13" t="str">
        <f>IFERROR(VLOOKUP(#REF!790,'정보화기기 명부'!A$2:B$187,2,FALSE),"")</f>
        <v/>
      </c>
      <c r="I790" s="13"/>
      <c r="J790" s="13"/>
      <c r="K790" s="13"/>
      <c r="L790" s="13">
        <v>20030827</v>
      </c>
      <c r="M790" s="13" t="s">
        <v>422</v>
      </c>
      <c r="N790" s="13" t="s">
        <v>1186</v>
      </c>
      <c r="O790" s="208">
        <v>88</v>
      </c>
      <c r="P790" s="13" t="s">
        <v>495</v>
      </c>
      <c r="Q790" s="13" t="s">
        <v>728</v>
      </c>
      <c r="R790" s="13" t="s">
        <v>188</v>
      </c>
      <c r="S790" s="13" t="s">
        <v>201</v>
      </c>
    </row>
    <row r="791" spans="1:22" s="14" customFormat="1" ht="13.5" customHeight="1" ns3:dyDescent="0.25">
      <c r="A791" s="13" t="s">
        <v>281</v>
      </c>
      <c r="B791" s="25" t="str">
        <f t="shared" si="44"/>
      </c>
      <c r="C791" s="13" t="s">
        <v>102</v>
      </c>
      <c r="D791" s="13" t="s">
        <v>17</v>
      </c>
      <c r="E791" s="13" t="s">
        <v>120</v>
      </c>
      <c r="F791" s="13" t="s">
        <v>796</v>
      </c>
      <c r="G791" s="13" t="s">
        <v>117</v>
      </c>
      <c r="H791" s="13" t="str">
        <f>IFERROR(VLOOKUP(#REF!791,'정보화기기 명부'!A$2:B$187,2,FALSE),"")</f>
        <v/>
      </c>
      <c r="I791" s="13"/>
      <c r="J791" s="13"/>
      <c r="K791" s="13"/>
      <c r="L791" s="13">
        <v>20030827</v>
      </c>
      <c r="M791" s="13" t="s">
        <v>422</v>
      </c>
      <c r="N791" s="13" t="s">
        <v>1186</v>
      </c>
      <c r="O791" s="208">
        <v>87</v>
      </c>
      <c r="P791" s="13" t="s">
        <v>495</v>
      </c>
      <c r="Q791" s="13" t="s">
        <v>728</v>
      </c>
      <c r="R791" s="13" t="s">
        <v>188</v>
      </c>
      <c r="S791" s="13" t="s">
        <v>201</v>
      </c>
    </row>
    <row r="792" spans="1:22" s="14" customFormat="1" ht="13.5" customHeight="1" ns3:dyDescent="0.25">
      <c r="A792" s="13" t="s">
        <v>197</v>
      </c>
      <c r="B792" s="25" t="str">
        <f t="shared" si="44"/>
      </c>
      <c r="C792" s="13" t="s">
        <v>102</v>
      </c>
      <c r="D792" s="13" t="s">
        <v>17</v>
      </c>
      <c r="E792" s="13" t="s">
        <v>120</v>
      </c>
      <c r="F792" s="13" t="s">
        <v>796</v>
      </c>
      <c r="G792" s="13" t="s">
        <v>117</v>
      </c>
      <c r="H792" s="13" t="str">
        <f>IFERROR(VLOOKUP(#REF!792,'정보화기기 명부'!A$2:B$187,2,FALSE),"")</f>
        <v/>
      </c>
      <c r="I792" s="13"/>
      <c r="J792" s="13"/>
      <c r="K792" s="13"/>
      <c r="L792" s="13">
        <v>20030827</v>
      </c>
      <c r="M792" s="13" t="s">
        <v>422</v>
      </c>
      <c r="N792" s="13" t="s">
        <v>1186</v>
      </c>
      <c r="O792" s="208">
        <v>86</v>
      </c>
      <c r="P792" s="13" t="s">
        <v>495</v>
      </c>
      <c r="Q792" s="13" t="s">
        <v>728</v>
      </c>
      <c r="R792" s="13" t="s">
        <v>188</v>
      </c>
      <c r="S792" s="13" t="s">
        <v>201</v>
      </c>
    </row>
    <row r="793" spans="1:22" s="14" customFormat="1" ht="13.5" customHeight="1" ns3:dyDescent="0.25">
      <c r="A793" s="13" t="s">
        <v>46</v>
      </c>
      <c r="B793" s="25" t="str">
        <f t="shared" si="44"/>
      </c>
      <c r="C793" s="13" t="s">
        <v>102</v>
      </c>
      <c r="D793" s="13" t="s">
        <v>17</v>
      </c>
      <c r="E793" s="13" t="s">
        <v>120</v>
      </c>
      <c r="F793" s="13" t="s">
        <v>796</v>
      </c>
      <c r="G793" s="13" t="s">
        <v>117</v>
      </c>
      <c r="H793" s="13" t="str">
        <f>IFERROR(VLOOKUP(#REF!793,'정보화기기 명부'!A$2:B$187,2,FALSE),"")</f>
        <v/>
      </c>
      <c r="I793" s="13"/>
      <c r="J793" s="13"/>
      <c r="K793" s="13"/>
      <c r="L793" s="13">
        <v>20030827</v>
      </c>
      <c r="M793" s="13" t="s">
        <v>422</v>
      </c>
      <c r="N793" s="13" t="s">
        <v>1186</v>
      </c>
      <c r="O793" s="208">
        <v>85</v>
      </c>
      <c r="P793" s="13" t="s">
        <v>495</v>
      </c>
      <c r="Q793" s="13" t="s">
        <v>728</v>
      </c>
      <c r="R793" s="13" t="s">
        <v>188</v>
      </c>
      <c r="S793" s="13" t="s">
        <v>201</v>
      </c>
    </row>
    <row r="794" spans="1:22" s="14" customFormat="1" ht="13.5" customHeight="1" ns3:dyDescent="0.25">
      <c r="A794" s="13" t="s">
        <v>18</v>
      </c>
      <c r="B794" s="25" t="str">
        <f t="shared" si="44"/>
      </c>
      <c r="C794" s="13" t="s">
        <v>102</v>
      </c>
      <c r="D794" s="13" t="s">
        <v>17</v>
      </c>
      <c r="E794" s="13" t="s">
        <v>120</v>
      </c>
      <c r="F794" s="13" t="s">
        <v>796</v>
      </c>
      <c r="G794" s="13" t="s">
        <v>117</v>
      </c>
      <c r="H794" s="13" t="str">
        <f>IFERROR(VLOOKUP(#REF!794,'정보화기기 명부'!A$2:B$187,2,FALSE),"")</f>
        <v>진로진학상담부</v>
      </c>
      <c r="I794" s="13"/>
      <c r="J794" s="13"/>
      <c r="K794" s="13"/>
      <c r="L794" s="13">
        <v>20030827</v>
      </c>
      <c r="M794" s="13" t="s">
        <v>422</v>
      </c>
      <c r="N794" s="13" t="s">
        <v>1186</v>
      </c>
      <c r="O794" s="208">
        <v>84</v>
      </c>
      <c r="P794" s="13" t="s">
        <v>495</v>
      </c>
      <c r="Q794" s="13" t="s">
        <v>728</v>
      </c>
      <c r="R794" s="13" t="s">
        <v>188</v>
      </c>
      <c r="S794" s="13" t="s">
        <v>201</v>
      </c>
    </row>
    <row r="795" spans="1:22" s="14" customFormat="1" ht="13.5" customHeight="1" ns3:dyDescent="0.25">
      <c r="A795" s="13" t="s">
        <v>239</v>
      </c>
      <c r="B795" s="25" t="str">
        <f t="shared" si="44"/>
      </c>
      <c r="C795" s="13" t="s">
        <v>102</v>
      </c>
      <c r="D795" s="13" t="s">
        <v>17</v>
      </c>
      <c r="E795" s="13" t="s">
        <v>120</v>
      </c>
      <c r="F795" s="13" t="s">
        <v>796</v>
      </c>
      <c r="G795" s="13" t="s">
        <v>117</v>
      </c>
      <c r="H795" s="13" t="str">
        <f>IFERROR(VLOOKUP(#REF!795,'정보화기기 명부'!A$2:B$187,2,FALSE),"")</f>
        <v/>
      </c>
      <c r="I795" s="13"/>
      <c r="J795" s="13"/>
      <c r="K795" s="13"/>
      <c r="L795" s="13">
        <v>20030827</v>
      </c>
      <c r="M795" s="13" t="s">
        <v>422</v>
      </c>
      <c r="N795" s="13" t="s">
        <v>1186</v>
      </c>
      <c r="O795" s="208">
        <v>83</v>
      </c>
      <c r="P795" s="13" t="s">
        <v>495</v>
      </c>
      <c r="Q795" s="13" t="s">
        <v>728</v>
      </c>
      <c r="R795" s="13" t="s">
        <v>188</v>
      </c>
      <c r="S795" s="13" t="s">
        <v>201</v>
      </c>
    </row>
    <row r="796" spans="1:22" s="14" customFormat="1" ht="13.5" customHeight="1" ns3:dyDescent="0.25">
      <c r="A796" s="13" t="s">
        <v>233</v>
      </c>
      <c r="B796" s="25" t="str">
        <f t="shared" si="44"/>
      </c>
      <c r="C796" s="13" t="s">
        <v>102</v>
      </c>
      <c r="D796" s="13" t="s">
        <v>17</v>
      </c>
      <c r="E796" s="13" t="s">
        <v>120</v>
      </c>
      <c r="F796" s="13" t="s">
        <v>796</v>
      </c>
      <c r="G796" s="13" t="s">
        <v>117</v>
      </c>
      <c r="H796" s="13" t="str">
        <f>IFERROR(VLOOKUP(#REF!796,'정보화기기 명부'!A$2:B$187,2,FALSE),"")</f>
        <v/>
      </c>
      <c r="I796" s="13"/>
      <c r="J796" s="13"/>
      <c r="K796" s="13"/>
      <c r="L796" s="13">
        <v>20030827</v>
      </c>
      <c r="M796" s="13" t="s">
        <v>422</v>
      </c>
      <c r="N796" s="13" t="s">
        <v>1186</v>
      </c>
      <c r="O796" s="208">
        <v>82</v>
      </c>
      <c r="P796" s="13" t="s">
        <v>495</v>
      </c>
      <c r="Q796" s="13" t="s">
        <v>728</v>
      </c>
      <c r="R796" s="13" t="s">
        <v>188</v>
      </c>
      <c r="S796" s="13" t="s">
        <v>201</v>
      </c>
    </row>
    <row r="797" spans="1:22" s="14" customFormat="1" ht="13.5" customHeight="1" ns3:dyDescent="0.25">
      <c r="A797" s="13" t="s">
        <v>609</v>
      </c>
      <c r="B797" s="25" t="str">
        <f t="shared" si="44"/>
      </c>
      <c r="C797" s="13" t="s">
        <v>102</v>
      </c>
      <c r="D797" s="13" t="s">
        <v>17</v>
      </c>
      <c r="E797" s="13" t="s">
        <v>120</v>
      </c>
      <c r="F797" s="13" t="s">
        <v>796</v>
      </c>
      <c r="G797" s="13" t="s">
        <v>117</v>
      </c>
      <c r="H797" s="13" t="str">
        <f>IFERROR(VLOOKUP(#REF!797,'정보화기기 명부'!A$2:B$187,2,FALSE),"")</f>
        <v/>
      </c>
      <c r="I797" s="13"/>
      <c r="J797" s="13"/>
      <c r="K797" s="13"/>
      <c r="L797" s="13">
        <v>20030827</v>
      </c>
      <c r="M797" s="13" t="s">
        <v>422</v>
      </c>
      <c r="N797" s="13" t="s">
        <v>1186</v>
      </c>
      <c r="O797" s="208">
        <v>81</v>
      </c>
      <c r="P797" s="13" t="s">
        <v>495</v>
      </c>
      <c r="Q797" s="13" t="s">
        <v>728</v>
      </c>
      <c r="R797" s="13" t="s">
        <v>188</v>
      </c>
      <c r="S797" s="13" t="s">
        <v>201</v>
      </c>
    </row>
    <row r="798" spans="1:22" s="14" customFormat="1" ht="13.5" customHeight="1" ns3:dyDescent="0.25">
      <c r="A798" s="13" t="s">
        <v>218</v>
      </c>
      <c r="B798" s="25" t="str">
        <f t="shared" si="44"/>
      </c>
      <c r="C798" s="13" t="s">
        <v>102</v>
      </c>
      <c r="D798" s="13" t="s">
        <v>17</v>
      </c>
      <c r="E798" s="13" t="s">
        <v>120</v>
      </c>
      <c r="F798" s="13" t="s">
        <v>796</v>
      </c>
      <c r="G798" s="13" t="s">
        <v>117</v>
      </c>
      <c r="H798" s="13" t="str">
        <f>IFERROR(VLOOKUP(#REF!798,'정보화기기 명부'!A$2:B$187,2,FALSE),"")</f>
        <v/>
      </c>
      <c r="I798" s="13"/>
      <c r="J798" s="13"/>
      <c r="K798" s="13"/>
      <c r="L798" s="13">
        <v>20030827</v>
      </c>
      <c r="M798" s="13" t="s">
        <v>422</v>
      </c>
      <c r="N798" s="13" t="s">
        <v>1186</v>
      </c>
      <c r="O798" s="208">
        <v>80</v>
      </c>
      <c r="P798" s="13" t="s">
        <v>495</v>
      </c>
      <c r="Q798" s="13" t="s">
        <v>728</v>
      </c>
      <c r="R798" s="13" t="s">
        <v>188</v>
      </c>
      <c r="S798" s="13" t="s">
        <v>201</v>
      </c>
    </row>
    <row r="799" spans="1:22" s="14" customFormat="1" ht="13.5" customHeight="1" ns3:dyDescent="0.25">
      <c r="A799" s="13" t="s">
        <v>211</v>
      </c>
      <c r="B799" s="25" t="str">
        <f t="shared" si="44"/>
      </c>
      <c r="C799" s="13" t="s">
        <v>102</v>
      </c>
      <c r="D799" s="13" t="s">
        <v>17</v>
      </c>
      <c r="E799" s="13" t="s">
        <v>120</v>
      </c>
      <c r="F799" s="13" t="s">
        <v>796</v>
      </c>
      <c r="G799" s="13" t="s">
        <v>117</v>
      </c>
      <c r="H799" s="13" t="str">
        <f>IFERROR(VLOOKUP(#REF!799,'정보화기기 명부'!A$2:B$187,2,FALSE),"")</f>
        <v/>
      </c>
      <c r="I799" s="13"/>
      <c r="J799" s="13"/>
      <c r="K799" s="13"/>
      <c r="L799" s="13">
        <v>20030827</v>
      </c>
      <c r="M799" s="13" t="s">
        <v>422</v>
      </c>
      <c r="N799" s="13" t="s">
        <v>1186</v>
      </c>
      <c r="O799" s="208">
        <v>79</v>
      </c>
      <c r="P799" s="13" t="s">
        <v>495</v>
      </c>
      <c r="Q799" s="13" t="s">
        <v>728</v>
      </c>
      <c r="R799" s="13" t="s">
        <v>188</v>
      </c>
      <c r="S799" s="13" t="s">
        <v>201</v>
      </c>
    </row>
    <row r="800" spans="1:22" s="14" customFormat="1" ht="13.5" customHeight="1" ns3:dyDescent="0.25">
      <c r="A800" s="13" t="s">
        <v>271</v>
      </c>
      <c r="B800" s="25" t="str">
        <f t="shared" si="44"/>
      </c>
      <c r="C800" s="13" t="s">
        <v>102</v>
      </c>
      <c r="D800" s="13" t="s">
        <v>17</v>
      </c>
      <c r="E800" s="13" t="s">
        <v>120</v>
      </c>
      <c r="F800" s="13" t="s">
        <v>796</v>
      </c>
      <c r="G800" s="13" t="s">
        <v>117</v>
      </c>
      <c r="H800" s="13" t="str">
        <f>IFERROR(VLOOKUP(#REF!800,'정보화기기 명부'!A$2:B$187,2,FALSE),"")</f>
        <v/>
      </c>
      <c r="I800" s="13"/>
      <c r="J800" s="13"/>
      <c r="K800" s="13"/>
      <c r="L800" s="13">
        <v>20030827</v>
      </c>
      <c r="M800" s="13" t="s">
        <v>422</v>
      </c>
      <c r="N800" s="13" t="s">
        <v>1186</v>
      </c>
      <c r="O800" s="208">
        <v>78</v>
      </c>
      <c r="P800" s="13" t="s">
        <v>495</v>
      </c>
      <c r="Q800" s="13" t="s">
        <v>728</v>
      </c>
      <c r="R800" s="13" t="s">
        <v>188</v>
      </c>
      <c r="S800" s="13" t="s">
        <v>201</v>
      </c>
    </row>
    <row r="801" spans="1:22" s="14" customFormat="1" ht="13.5" customHeight="1" ns3:dyDescent="0.25">
      <c r="A801" s="13" t="s">
        <v>254</v>
      </c>
      <c r="B801" s="25" t="str">
        <f t="shared" si="44"/>
      </c>
      <c r="C801" s="13" t="s">
        <v>102</v>
      </c>
      <c r="D801" s="13" t="s">
        <v>17</v>
      </c>
      <c r="E801" s="13" t="s">
        <v>120</v>
      </c>
      <c r="F801" s="13" t="s">
        <v>796</v>
      </c>
      <c r="G801" s="13" t="s">
        <v>117</v>
      </c>
      <c r="H801" s="13" t="str">
        <f>IFERROR(VLOOKUP(#REF!801,'정보화기기 명부'!A$2:B$187,2,FALSE),"")</f>
        <v/>
      </c>
      <c r="I801" s="13"/>
      <c r="J801" s="13"/>
      <c r="K801" s="13"/>
      <c r="L801" s="13">
        <v>20030827</v>
      </c>
      <c r="M801" s="13" t="s">
        <v>422</v>
      </c>
      <c r="N801" s="13" t="s">
        <v>1186</v>
      </c>
      <c r="O801" s="208">
        <v>71</v>
      </c>
      <c r="P801" s="13" t="s">
        <v>495</v>
      </c>
      <c r="Q801" s="13" t="s">
        <v>728</v>
      </c>
      <c r="R801" s="13" t="s">
        <v>188</v>
      </c>
      <c r="S801" s="13" t="s">
        <v>201</v>
      </c>
    </row>
    <row r="802" spans="1:22" s="14" customFormat="1" ht="13.5" customHeight="1" ns3:dyDescent="0.25">
      <c r="A802" s="13" t="s">
        <v>178</v>
      </c>
      <c r="B802" s="25" t="str">
        <f t="shared" si="44"/>
      </c>
      <c r="C802" s="13" t="s">
        <v>102</v>
      </c>
      <c r="D802" s="13" t="s">
        <v>17</v>
      </c>
      <c r="E802" s="13" t="s">
        <v>120</v>
      </c>
      <c r="F802" s="13" t="s">
        <v>796</v>
      </c>
      <c r="G802" s="13" t="s">
        <v>117</v>
      </c>
      <c r="H802" s="13" t="str">
        <f>IFERROR(VLOOKUP(#REF!802,'정보화기기 명부'!A$2:B$187,2,FALSE),"")</f>
        <v/>
      </c>
      <c r="I802" s="13"/>
      <c r="J802" s="13"/>
      <c r="K802" s="13"/>
      <c r="L802" s="13">
        <v>20030827</v>
      </c>
      <c r="M802" s="13" t="s">
        <v>422</v>
      </c>
      <c r="N802" s="13" t="s">
        <v>1186</v>
      </c>
      <c r="O802" s="208">
        <v>70</v>
      </c>
      <c r="P802" s="13" t="s">
        <v>495</v>
      </c>
      <c r="Q802" s="13" t="s">
        <v>728</v>
      </c>
      <c r="R802" s="13" t="s">
        <v>188</v>
      </c>
      <c r="S802" s="13" t="s">
        <v>201</v>
      </c>
    </row>
    <row r="803" spans="1:22" s="14" customFormat="1" ht="13.5" customHeight="1" ns3:dyDescent="0.25">
      <c r="A803" s="13" t="s">
        <v>259</v>
      </c>
      <c r="B803" s="25" t="str">
        <f t="shared" si="44"/>
      </c>
      <c r="C803" s="13" t="s">
        <v>102</v>
      </c>
      <c r="D803" s="13" t="s">
        <v>17</v>
      </c>
      <c r="E803" s="13" t="s">
        <v>120</v>
      </c>
      <c r="F803" s="13" t="s">
        <v>796</v>
      </c>
      <c r="G803" s="13" t="s">
        <v>117</v>
      </c>
      <c r="H803" s="13" t="str">
        <f>IFERROR(VLOOKUP(#REF!803,'정보화기기 명부'!A$2:B$187,2,FALSE),"")</f>
        <v/>
      </c>
      <c r="I803" s="13"/>
      <c r="J803" s="13"/>
      <c r="K803" s="13"/>
      <c r="L803" s="13">
        <v>20030827</v>
      </c>
      <c r="M803" s="13" t="s">
        <v>422</v>
      </c>
      <c r="N803" s="13" t="s">
        <v>1186</v>
      </c>
      <c r="O803" s="208">
        <v>69</v>
      </c>
      <c r="P803" s="13" t="s">
        <v>495</v>
      </c>
      <c r="Q803" s="13" t="s">
        <v>728</v>
      </c>
      <c r="R803" s="13" t="s">
        <v>188</v>
      </c>
      <c r="S803" s="13" t="s">
        <v>201</v>
      </c>
    </row>
    <row r="804" spans="1:22" s="14" customFormat="1" ht="13.5" customHeight="1" ns3:dyDescent="0.25">
      <c r="A804" s="13" t="s">
        <v>253</v>
      </c>
      <c r="B804" s="25" t="str">
        <f t="shared" si="44"/>
      </c>
      <c r="C804" s="13" t="s">
        <v>102</v>
      </c>
      <c r="D804" s="13" t="s">
        <v>17</v>
      </c>
      <c r="E804" s="13" t="s">
        <v>120</v>
      </c>
      <c r="F804" s="13" t="s">
        <v>796</v>
      </c>
      <c r="G804" s="13" t="s">
        <v>117</v>
      </c>
      <c r="H804" s="13" t="str">
        <f>IFERROR(VLOOKUP(#REF!804,'정보화기기 명부'!A$2:B$187,2,FALSE),"")</f>
        <v/>
      </c>
      <c r="I804" s="13"/>
      <c r="J804" s="13"/>
      <c r="K804" s="13"/>
      <c r="L804" s="13">
        <v>20030827</v>
      </c>
      <c r="M804" s="13" t="s">
        <v>422</v>
      </c>
      <c r="N804" s="13" t="s">
        <v>1186</v>
      </c>
      <c r="O804" s="208">
        <v>68</v>
      </c>
      <c r="P804" s="13" t="s">
        <v>495</v>
      </c>
      <c r="Q804" s="13" t="s">
        <v>728</v>
      </c>
      <c r="R804" s="13" t="s">
        <v>188</v>
      </c>
      <c r="S804" s="13" t="s">
        <v>201</v>
      </c>
    </row>
    <row r="805" spans="1:22" s="14" customFormat="1" ht="13.5" customHeight="1" ns3:dyDescent="0.25">
      <c r="A805" s="13" t="s">
        <v>215</v>
      </c>
      <c r="B805" s="25" t="str">
        <f t="shared" si="44"/>
      </c>
      <c r="C805" s="13" t="s">
        <v>102</v>
      </c>
      <c r="D805" s="13" t="s">
        <v>17</v>
      </c>
      <c r="E805" s="13" t="s">
        <v>120</v>
      </c>
      <c r="F805" s="13" t="s">
        <v>796</v>
      </c>
      <c r="G805" s="13" t="s">
        <v>117</v>
      </c>
      <c r="H805" s="13" t="str">
        <f>IFERROR(VLOOKUP(#REF!805,'정보화기기 명부'!A$2:B$187,2,FALSE),"")</f>
        <v/>
      </c>
      <c r="I805" s="13"/>
      <c r="J805" s="13"/>
      <c r="K805" s="13"/>
      <c r="L805" s="13">
        <v>20030827</v>
      </c>
      <c r="M805" s="13" t="s">
        <v>422</v>
      </c>
      <c r="N805" s="13" t="s">
        <v>1186</v>
      </c>
      <c r="O805" s="208">
        <v>67</v>
      </c>
      <c r="P805" s="13" t="s">
        <v>495</v>
      </c>
      <c r="Q805" s="13" t="s">
        <v>728</v>
      </c>
      <c r="R805" s="13" t="s">
        <v>188</v>
      </c>
      <c r="S805" s="13" t="s">
        <v>201</v>
      </c>
    </row>
    <row r="806" spans="1:22" s="14" customFormat="1" ht="13.5" customHeight="1" ns3:dyDescent="0.25">
      <c r="A806" s="13" t="s">
        <v>292</v>
      </c>
      <c r="B806" s="25" t="str">
        <f t="shared" si="44"/>
      </c>
      <c r="C806" s="13" t="s">
        <v>102</v>
      </c>
      <c r="D806" s="13" t="s">
        <v>17</v>
      </c>
      <c r="E806" s="13" t="s">
        <v>120</v>
      </c>
      <c r="F806" s="13" t="s">
        <v>796</v>
      </c>
      <c r="G806" s="13" t="s">
        <v>117</v>
      </c>
      <c r="H806" s="13" t="str">
        <f>IFERROR(VLOOKUP(#REF!806,'정보화기기 명부'!A$2:B$187,2,FALSE),"")</f>
        <v/>
      </c>
      <c r="I806" s="13"/>
      <c r="J806" s="13"/>
      <c r="K806" s="13"/>
      <c r="L806" s="13">
        <v>20030827</v>
      </c>
      <c r="M806" s="13" t="s">
        <v>422</v>
      </c>
      <c r="N806" s="13" t="s">
        <v>1186</v>
      </c>
      <c r="O806" s="208">
        <v>66</v>
      </c>
      <c r="P806" s="13" t="s">
        <v>495</v>
      </c>
      <c r="Q806" s="13" t="s">
        <v>728</v>
      </c>
      <c r="R806" s="13" t="s">
        <v>188</v>
      </c>
      <c r="S806" s="13" t="s">
        <v>201</v>
      </c>
    </row>
    <row r="807" spans="1:22" s="14" customFormat="1" ht="13.5" customHeight="1" ns3:dyDescent="0.25">
      <c r="A807" s="13" t="s">
        <v>229</v>
      </c>
      <c r="B807" s="25" t="str">
        <f t="shared" si="44"/>
      </c>
      <c r="C807" s="13" t="s">
        <v>102</v>
      </c>
      <c r="D807" s="13" t="s">
        <v>17</v>
      </c>
      <c r="E807" s="13" t="s">
        <v>120</v>
      </c>
      <c r="F807" s="13" t="s">
        <v>796</v>
      </c>
      <c r="G807" s="13" t="s">
        <v>117</v>
      </c>
      <c r="H807" s="13" t="str">
        <f>IFERROR(VLOOKUP(#REF!807,'정보화기기 명부'!A$2:B$187,2,FALSE),"")</f>
        <v/>
      </c>
      <c r="I807" s="13"/>
      <c r="J807" s="13"/>
      <c r="K807" s="13"/>
      <c r="L807" s="13">
        <v>20030827</v>
      </c>
      <c r="M807" s="13" t="s">
        <v>422</v>
      </c>
      <c r="N807" s="13" t="s">
        <v>1186</v>
      </c>
      <c r="O807" s="208">
        <v>65</v>
      </c>
      <c r="P807" s="13" t="s">
        <v>495</v>
      </c>
      <c r="Q807" s="13" t="s">
        <v>728</v>
      </c>
      <c r="R807" s="13" t="s">
        <v>188</v>
      </c>
      <c r="S807" s="13" t="s">
        <v>201</v>
      </c>
    </row>
    <row r="808" spans="1:22" s="14" customFormat="1" ht="13.5" customHeight="1" ns3:dyDescent="0.25">
      <c r="A808" s="13" t="s">
        <v>237</v>
      </c>
      <c r="B808" s="25" t="str">
        <f t="shared" si="44"/>
      </c>
      <c r="C808" s="13" t="s">
        <v>102</v>
      </c>
      <c r="D808" s="13" t="s">
        <v>17</v>
      </c>
      <c r="E808" s="13" t="s">
        <v>120</v>
      </c>
      <c r="F808" s="13" t="s">
        <v>796</v>
      </c>
      <c r="G808" s="13" t="s">
        <v>117</v>
      </c>
      <c r="H808" s="13" t="str">
        <f>IFERROR(VLOOKUP(#REF!808,'정보화기기 명부'!A$2:B$187,2,FALSE),"")</f>
        <v/>
      </c>
      <c r="I808" s="13"/>
      <c r="J808" s="13"/>
      <c r="K808" s="13"/>
      <c r="L808" s="13">
        <v>20030827</v>
      </c>
      <c r="M808" s="13" t="s">
        <v>422</v>
      </c>
      <c r="N808" s="13" t="s">
        <v>1186</v>
      </c>
      <c r="O808" s="208">
        <v>64</v>
      </c>
      <c r="P808" s="13" t="s">
        <v>495</v>
      </c>
      <c r="Q808" s="13" t="s">
        <v>728</v>
      </c>
      <c r="R808" s="13" t="s">
        <v>188</v>
      </c>
      <c r="S808" s="13" t="s">
        <v>201</v>
      </c>
    </row>
    <row r="809" spans="1:22" s="14" customFormat="1" ht="13.5" customHeight="1" ns3:dyDescent="0.25">
      <c r="A809" s="13" t="s">
        <v>231</v>
      </c>
      <c r="B809" s="25" t="str">
        <f t="shared" si="44"/>
      </c>
      <c r="C809" s="13" t="s">
        <v>102</v>
      </c>
      <c r="D809" s="13" t="s">
        <v>17</v>
      </c>
      <c r="E809" s="13" t="s">
        <v>120</v>
      </c>
      <c r="F809" s="13" t="s">
        <v>796</v>
      </c>
      <c r="G809" s="13" t="s">
        <v>117</v>
      </c>
      <c r="H809" s="13" t="str">
        <f>IFERROR(VLOOKUP(#REF!809,'정보화기기 명부'!A$2:B$187,2,FALSE),"")</f>
        <v/>
      </c>
      <c r="I809" s="13"/>
      <c r="J809" s="13"/>
      <c r="K809" s="13"/>
      <c r="L809" s="13">
        <v>20030827</v>
      </c>
      <c r="M809" s="13" t="s">
        <v>422</v>
      </c>
      <c r="N809" s="13" t="s">
        <v>1186</v>
      </c>
      <c r="O809" s="208">
        <v>63</v>
      </c>
      <c r="P809" s="13" t="s">
        <v>495</v>
      </c>
      <c r="Q809" s="13" t="s">
        <v>728</v>
      </c>
      <c r="R809" s="13" t="s">
        <v>188</v>
      </c>
      <c r="S809" s="13" t="s">
        <v>201</v>
      </c>
    </row>
    <row r="810" spans="1:22" s="14" customFormat="1" ht="13.5" customHeight="1" ns3:dyDescent="0.25">
      <c r="A810" s="13" t="s">
        <v>687</v>
      </c>
      <c r="B810" s="25" t="str">
        <f t="shared" si="44"/>
      </c>
      <c r="C810" s="13" t="s">
        <v>102</v>
      </c>
      <c r="D810" s="13" t="s">
        <v>17</v>
      </c>
      <c r="E810" s="13" t="s">
        <v>120</v>
      </c>
      <c r="F810" s="13" t="s">
        <v>796</v>
      </c>
      <c r="G810" s="13" t="s">
        <v>117</v>
      </c>
      <c r="H810" s="13" t="str">
        <f>IFERROR(VLOOKUP(#REF!810,'정보화기기 명부'!A$2:B$187,2,FALSE),"")</f>
        <v/>
      </c>
      <c r="I810" s="13"/>
      <c r="J810" s="13"/>
      <c r="K810" s="13"/>
      <c r="L810" s="13">
        <v>20030827</v>
      </c>
      <c r="M810" s="13" t="s">
        <v>422</v>
      </c>
      <c r="N810" s="13" t="s">
        <v>1186</v>
      </c>
      <c r="O810" s="208">
        <v>62</v>
      </c>
      <c r="P810" s="13" t="s">
        <v>495</v>
      </c>
      <c r="Q810" s="13" t="s">
        <v>728</v>
      </c>
      <c r="R810" s="13" t="s">
        <v>188</v>
      </c>
      <c r="S810" s="13" t="s">
        <v>201</v>
      </c>
    </row>
    <row r="811" spans="1:22" s="14" customFormat="1" ht="13.5" customHeight="1" ns3:dyDescent="0.25">
      <c r="A811" s="13" t="s">
        <v>235</v>
      </c>
      <c r="B811" s="25" t="str">
        <f t="shared" si="44"/>
      </c>
      <c r="C811" s="13" t="s">
        <v>102</v>
      </c>
      <c r="D811" s="13" t="s">
        <v>17</v>
      </c>
      <c r="E811" s="13" t="s">
        <v>120</v>
      </c>
      <c r="F811" s="13" t="s">
        <v>796</v>
      </c>
      <c r="G811" s="13" t="s">
        <v>117</v>
      </c>
      <c r="H811" s="13" t="str">
        <f>IFERROR(VLOOKUP(#REF!811,'정보화기기 명부'!A$2:B$187,2,FALSE),"")</f>
        <v/>
      </c>
      <c r="I811" s="13"/>
      <c r="J811" s="13"/>
      <c r="K811" s="13"/>
      <c r="L811" s="13">
        <v>20030827</v>
      </c>
      <c r="M811" s="13" t="s">
        <v>422</v>
      </c>
      <c r="N811" s="13" t="s">
        <v>1186</v>
      </c>
      <c r="O811" s="208">
        <v>51</v>
      </c>
      <c r="P811" s="13" t="s">
        <v>495</v>
      </c>
      <c r="Q811" s="13" t="s">
        <v>728</v>
      </c>
      <c r="R811" s="13" t="s">
        <v>188</v>
      </c>
      <c r="S811" s="13" t="s">
        <v>201</v>
      </c>
    </row>
    <row r="812" spans="1:22" s="14" customFormat="1" ht="13.5" customHeight="1" ns3:dyDescent="0.25">
      <c r="A812" s="13" t="s">
        <v>234</v>
      </c>
      <c r="B812" s="25" t="str">
        <f t="shared" si="44"/>
      </c>
      <c r="C812" s="13" t="s">
        <v>102</v>
      </c>
      <c r="D812" s="13" t="s">
        <v>17</v>
      </c>
      <c r="E812" s="13" t="s">
        <v>120</v>
      </c>
      <c r="F812" s="13" t="s">
        <v>796</v>
      </c>
      <c r="G812" s="13" t="s">
        <v>117</v>
      </c>
      <c r="H812" s="13" t="str">
        <f>IFERROR(VLOOKUP(#REF!812,'정보화기기 명부'!A$2:B$187,2,FALSE),"")</f>
        <v/>
      </c>
      <c r="I812" s="13"/>
      <c r="J812" s="13"/>
      <c r="K812" s="13"/>
      <c r="L812" s="13">
        <v>20030827</v>
      </c>
      <c r="M812" s="13" t="s">
        <v>422</v>
      </c>
      <c r="N812" s="13" t="s">
        <v>1186</v>
      </c>
      <c r="O812" s="208">
        <v>50</v>
      </c>
      <c r="P812" s="13" t="s">
        <v>495</v>
      </c>
      <c r="Q812" s="13" t="s">
        <v>728</v>
      </c>
      <c r="R812" s="13" t="s">
        <v>188</v>
      </c>
      <c r="S812" s="13" t="s">
        <v>201</v>
      </c>
    </row>
    <row r="813" spans="1:22" s="14" customFormat="1" ht="13.5" customHeight="1" ns3:dyDescent="0.25">
      <c r="A813" s="13" t="s">
        <v>221</v>
      </c>
      <c r="B813" s="25" t="str">
        <f t="shared" si="44"/>
      </c>
      <c r="C813" s="13" t="s">
        <v>102</v>
      </c>
      <c r="D813" s="13" t="s">
        <v>17</v>
      </c>
      <c r="E813" s="13" t="s">
        <v>120</v>
      </c>
      <c r="F813" s="13" t="s">
        <v>796</v>
      </c>
      <c r="G813" s="13" t="s">
        <v>117</v>
      </c>
      <c r="H813" s="13" t="str">
        <f>IFERROR(VLOOKUP(#REF!813,'정보화기기 명부'!A$2:B$187,2,FALSE),"")</f>
        <v/>
      </c>
      <c r="I813" s="13"/>
      <c r="J813" s="13"/>
      <c r="K813" s="13"/>
      <c r="L813" s="13">
        <v>20030827</v>
      </c>
      <c r="M813" s="13" t="s">
        <v>422</v>
      </c>
      <c r="N813" s="13" t="s">
        <v>1186</v>
      </c>
      <c r="O813" s="208">
        <v>49</v>
      </c>
      <c r="P813" s="13" t="s">
        <v>495</v>
      </c>
      <c r="Q813" s="13" t="s">
        <v>728</v>
      </c>
      <c r="R813" s="13" t="s">
        <v>188</v>
      </c>
      <c r="S813" s="13" t="s">
        <v>201</v>
      </c>
    </row>
    <row r="814" spans="1:22" s="14" customFormat="1" ht="13.5" customHeight="1" ns3:dyDescent="0.25">
      <c r="A814" s="13" t="s">
        <v>247</v>
      </c>
      <c r="B814" s="25" t="str">
        <f t="shared" si="44"/>
      </c>
      <c r="C814" s="13" t="s">
        <v>102</v>
      </c>
      <c r="D814" s="13" t="s">
        <v>17</v>
      </c>
      <c r="E814" s="13" t="s">
        <v>120</v>
      </c>
      <c r="F814" s="13" t="s">
        <v>796</v>
      </c>
      <c r="G814" s="13" t="s">
        <v>117</v>
      </c>
      <c r="H814" s="13" t="str">
        <f>IFERROR(VLOOKUP(#REF!814,'정보화기기 명부'!A$2:B$187,2,FALSE),"")</f>
        <v/>
      </c>
      <c r="I814" s="13"/>
      <c r="J814" s="13"/>
      <c r="K814" s="13"/>
      <c r="L814" s="13">
        <v>20030827</v>
      </c>
      <c r="M814" s="13" t="s">
        <v>422</v>
      </c>
      <c r="N814" s="13" t="s">
        <v>1186</v>
      </c>
      <c r="O814" s="208">
        <v>48</v>
      </c>
      <c r="P814" s="13" t="s">
        <v>495</v>
      </c>
      <c r="Q814" s="13" t="s">
        <v>728</v>
      </c>
      <c r="R814" s="13" t="s">
        <v>188</v>
      </c>
      <c r="S814" s="13" t="s">
        <v>201</v>
      </c>
    </row>
    <row r="815" spans="1:22" s="14" customFormat="1" ht="13.5" customHeight="1" ns3:dyDescent="0.25">
      <c r="A815" s="13" t="s">
        <v>241</v>
      </c>
      <c r="B815" s="25" t="str">
        <f t="shared" si="44"/>
      </c>
      <c r="C815" s="13" t="s">
        <v>102</v>
      </c>
      <c r="D815" s="13" t="s">
        <v>17</v>
      </c>
      <c r="E815" s="13" t="s">
        <v>120</v>
      </c>
      <c r="F815" s="13" t="s">
        <v>796</v>
      </c>
      <c r="G815" s="13" t="s">
        <v>117</v>
      </c>
      <c r="H815" s="13" t="str">
        <f>IFERROR(VLOOKUP(#REF!815,'정보화기기 명부'!A$2:B$187,2,FALSE),"")</f>
        <v/>
      </c>
      <c r="I815" s="13"/>
      <c r="J815" s="13"/>
      <c r="K815" s="13"/>
      <c r="L815" s="13">
        <v>20030827</v>
      </c>
      <c r="M815" s="13" t="s">
        <v>422</v>
      </c>
      <c r="N815" s="13" t="s">
        <v>1186</v>
      </c>
      <c r="O815" s="208">
        <v>47</v>
      </c>
      <c r="P815" s="13" t="s">
        <v>495</v>
      </c>
      <c r="Q815" s="13" t="s">
        <v>728</v>
      </c>
      <c r="R815" s="13" t="s">
        <v>188</v>
      </c>
      <c r="S815" s="13" t="s">
        <v>201</v>
      </c>
    </row>
    <row r="816" spans="1:22" s="14" customFormat="1" ht="13.5" customHeight="1" ns3:dyDescent="0.25">
      <c r="A816" s="13" t="s">
        <v>270</v>
      </c>
      <c r="B816" s="25" t="str">
        <f t="shared" si="44"/>
      </c>
      <c r="C816" s="13" t="s">
        <v>102</v>
      </c>
      <c r="D816" s="13" t="s">
        <v>17</v>
      </c>
      <c r="E816" s="13" t="s">
        <v>120</v>
      </c>
      <c r="F816" s="13" t="s">
        <v>796</v>
      </c>
      <c r="G816" s="13" t="s">
        <v>117</v>
      </c>
      <c r="H816" s="13" t="str">
        <f>IFERROR(VLOOKUP(#REF!816,'정보화기기 명부'!A$2:B$187,2,FALSE),"")</f>
        <v/>
      </c>
      <c r="I816" s="13"/>
      <c r="J816" s="13"/>
      <c r="K816" s="13"/>
      <c r="L816" s="13">
        <v>20030827</v>
      </c>
      <c r="M816" s="13" t="s">
        <v>422</v>
      </c>
      <c r="N816" s="13" t="s">
        <v>1186</v>
      </c>
      <c r="O816" s="208">
        <v>46</v>
      </c>
      <c r="P816" s="13" t="s">
        <v>495</v>
      </c>
      <c r="Q816" s="13" t="s">
        <v>728</v>
      </c>
      <c r="R816" s="13" t="s">
        <v>188</v>
      </c>
      <c r="S816" s="13" t="s">
        <v>201</v>
      </c>
    </row>
    <row r="817" spans="1:22" s="14" customFormat="1" ht="13.5" customHeight="1" ns3:dyDescent="0.25">
      <c r="A817" s="13" t="s">
        <v>236</v>
      </c>
      <c r="B817" s="25" t="str">
        <f t="shared" si="44"/>
      </c>
      <c r="C817" s="13" t="s">
        <v>102</v>
      </c>
      <c r="D817" s="13" t="s">
        <v>17</v>
      </c>
      <c r="E817" s="13" t="s">
        <v>120</v>
      </c>
      <c r="F817" s="13" t="s">
        <v>796</v>
      </c>
      <c r="G817" s="13" t="s">
        <v>117</v>
      </c>
      <c r="H817" s="13" t="str">
        <f>IFERROR(VLOOKUP(#REF!817,'정보화기기 명부'!A$2:B$187,2,FALSE),"")</f>
        <v/>
      </c>
      <c r="I817" s="13"/>
      <c r="J817" s="13"/>
      <c r="K817" s="13"/>
      <c r="L817" s="13">
        <v>20030827</v>
      </c>
      <c r="M817" s="13" t="s">
        <v>422</v>
      </c>
      <c r="N817" s="13" t="s">
        <v>1186</v>
      </c>
      <c r="O817" s="208">
        <v>45</v>
      </c>
      <c r="P817" s="13" t="s">
        <v>495</v>
      </c>
      <c r="Q817" s="13" t="s">
        <v>728</v>
      </c>
      <c r="R817" s="13" t="s">
        <v>188</v>
      </c>
      <c r="S817" s="13" t="s">
        <v>201</v>
      </c>
    </row>
    <row r="818" spans="1:22" s="14" customFormat="1" ht="13.5" customHeight="1" ns3:dyDescent="0.25">
      <c r="A818" s="13" t="s">
        <v>148</v>
      </c>
      <c r="B818" s="25" t="str">
        <f t="shared" ref="B818:B881" si="48">LEFT(L818,6)&amp;"-"&amp;TEXT(O818,"0000")</f>
      </c>
      <c r="C818" s="13" t="s">
        <v>102</v>
      </c>
      <c r="D818" s="13" t="s">
        <v>17</v>
      </c>
      <c r="E818" s="13" t="s">
        <v>120</v>
      </c>
      <c r="F818" s="13" t="s">
        <v>796</v>
      </c>
      <c r="G818" s="13" t="s">
        <v>117</v>
      </c>
      <c r="H818" s="13" t="str">
        <f>IFERROR(VLOOKUP(#REF!818,'정보화기기 명부'!A$2:B$187,2,FALSE),"")</f>
        <v/>
      </c>
      <c r="I818" s="13"/>
      <c r="J818" s="13"/>
      <c r="K818" s="13"/>
      <c r="L818" s="13">
        <v>20030827</v>
      </c>
      <c r="M818" s="13" t="s">
        <v>422</v>
      </c>
      <c r="N818" s="13" t="s">
        <v>1186</v>
      </c>
      <c r="O818" s="208">
        <v>44</v>
      </c>
      <c r="P818" s="13" t="s">
        <v>495</v>
      </c>
      <c r="Q818" s="13" t="s">
        <v>728</v>
      </c>
      <c r="R818" s="13" t="s">
        <v>188</v>
      </c>
      <c r="S818" s="13" t="s">
        <v>201</v>
      </c>
    </row>
    <row r="819" spans="1:22" s="14" customFormat="1" ht="13.5" customHeight="1" ns3:dyDescent="0.25">
      <c r="A819" s="13" t="s">
        <v>182</v>
      </c>
      <c r="B819" s="25" t="str">
        <f t="shared" si="48"/>
      </c>
      <c r="C819" s="13" t="s">
        <v>102</v>
      </c>
      <c r="D819" s="13" t="s">
        <v>17</v>
      </c>
      <c r="E819" s="13" t="s">
        <v>120</v>
      </c>
      <c r="F819" s="13" t="s">
        <v>796</v>
      </c>
      <c r="G819" s="13" t="s">
        <v>117</v>
      </c>
      <c r="H819" s="13" t="str">
        <f>IFERROR(VLOOKUP(#REF!819,'정보화기기 명부'!A$2:B$187,2,FALSE),"")</f>
        <v/>
      </c>
      <c r="I819" s="13"/>
      <c r="J819" s="13"/>
      <c r="K819" s="13"/>
      <c r="L819" s="13">
        <v>20030827</v>
      </c>
      <c r="M819" s="13" t="s">
        <v>422</v>
      </c>
      <c r="N819" s="13" t="s">
        <v>1186</v>
      </c>
      <c r="O819" s="208">
        <v>43</v>
      </c>
      <c r="P819" s="13" t="s">
        <v>495</v>
      </c>
      <c r="Q819" s="13" t="s">
        <v>728</v>
      </c>
      <c r="R819" s="13" t="s">
        <v>188</v>
      </c>
      <c r="S819" s="13" t="s">
        <v>201</v>
      </c>
    </row>
    <row r="820" spans="1:22" s="14" customFormat="1" ht="13.5" customHeight="1" ns3:dyDescent="0.25">
      <c r="A820" s="13" t="s">
        <v>238</v>
      </c>
      <c r="B820" s="25" t="str">
        <f t="shared" si="48"/>
      </c>
      <c r="C820" s="13" t="s">
        <v>102</v>
      </c>
      <c r="D820" s="13" t="s">
        <v>17</v>
      </c>
      <c r="E820" s="13" t="s">
        <v>120</v>
      </c>
      <c r="F820" s="13" t="s">
        <v>796</v>
      </c>
      <c r="G820" s="13" t="s">
        <v>117</v>
      </c>
      <c r="H820" s="13" t="str">
        <f>IFERROR(VLOOKUP(#REF!820,'정보화기기 명부'!A$2:B$187,2,FALSE),"")</f>
        <v/>
      </c>
      <c r="I820" s="13"/>
      <c r="J820" s="13"/>
      <c r="K820" s="13"/>
      <c r="L820" s="13">
        <v>20030827</v>
      </c>
      <c r="M820" s="13" t="s">
        <v>422</v>
      </c>
      <c r="N820" s="13" t="s">
        <v>1186</v>
      </c>
      <c r="O820" s="208">
        <v>42</v>
      </c>
      <c r="P820" s="13" t="s">
        <v>495</v>
      </c>
      <c r="Q820" s="13" t="s">
        <v>728</v>
      </c>
      <c r="R820" s="13" t="s">
        <v>255</v>
      </c>
      <c r="S820" s="13" t="s">
        <v>201</v>
      </c>
    </row>
    <row r="821" spans="1:22" s="14" customFormat="1" ht="13.5" customHeight="1" ns3:dyDescent="0.25">
      <c r="A821" s="13" t="s">
        <v>248</v>
      </c>
      <c r="B821" s="25" t="str">
        <f t="shared" si="48"/>
      </c>
      <c r="C821" s="13" t="s">
        <v>102</v>
      </c>
      <c r="D821" s="13" t="s">
        <v>17</v>
      </c>
      <c r="E821" s="13" t="s">
        <v>120</v>
      </c>
      <c r="F821" s="13" t="s">
        <v>796</v>
      </c>
      <c r="G821" s="13" t="s">
        <v>117</v>
      </c>
      <c r="H821" s="13" t="str">
        <f>IFERROR(VLOOKUP(#REF!821,'정보화기기 명부'!A$2:B$187,2,FALSE),"")</f>
        <v/>
      </c>
      <c r="I821" s="13"/>
      <c r="J821" s="13"/>
      <c r="K821" s="13"/>
      <c r="L821" s="13">
        <v>20030827</v>
      </c>
      <c r="M821" s="13" t="s">
        <v>422</v>
      </c>
      <c r="N821" s="13" t="s">
        <v>1186</v>
      </c>
      <c r="O821" s="208">
        <v>41</v>
      </c>
      <c r="P821" s="13" t="s">
        <v>495</v>
      </c>
      <c r="Q821" s="13" t="s">
        <v>728</v>
      </c>
      <c r="R821" s="13" t="s">
        <v>188</v>
      </c>
      <c r="S821" s="13" t="s">
        <v>201</v>
      </c>
    </row>
    <row r="822" spans="1:22" s="14" customFormat="1" ht="13.5" customHeight="1" ns3:dyDescent="0.25">
      <c r="A822" s="13" t="s">
        <v>243</v>
      </c>
      <c r="B822" s="25" t="str">
        <f t="shared" si="48"/>
      </c>
      <c r="C822" s="13" t="s">
        <v>102</v>
      </c>
      <c r="D822" s="13" t="s">
        <v>17</v>
      </c>
      <c r="E822" s="13" t="s">
        <v>120</v>
      </c>
      <c r="F822" s="13" t="s">
        <v>796</v>
      </c>
      <c r="G822" s="13" t="s">
        <v>117</v>
      </c>
      <c r="H822" s="13" t="str">
        <f>IFERROR(VLOOKUP(#REF!822,'정보화기기 명부'!A$2:B$187,2,FALSE),"")</f>
        <v/>
      </c>
      <c r="I822" s="13"/>
      <c r="J822" s="13"/>
      <c r="K822" s="13"/>
      <c r="L822" s="13">
        <v>20030827</v>
      </c>
      <c r="M822" s="13" t="s">
        <v>422</v>
      </c>
      <c r="N822" s="13" t="s">
        <v>1186</v>
      </c>
      <c r="O822" s="208">
        <v>40</v>
      </c>
      <c r="P822" s="13" t="s">
        <v>495</v>
      </c>
      <c r="Q822" s="13" t="s">
        <v>728</v>
      </c>
      <c r="R822" s="13" t="s">
        <v>188</v>
      </c>
      <c r="S822" s="13" t="s">
        <v>201</v>
      </c>
    </row>
    <row r="823" spans="1:22" s="14" customFormat="1" ht="13.5" customHeight="1" ns3:dyDescent="0.25">
      <c r="A823" s="13" t="s">
        <v>246</v>
      </c>
      <c r="B823" s="25" t="str">
        <f t="shared" si="48"/>
      </c>
      <c r="C823" s="13" t="s">
        <v>102</v>
      </c>
      <c r="D823" s="13" t="s">
        <v>17</v>
      </c>
      <c r="E823" s="13" t="s">
        <v>120</v>
      </c>
      <c r="F823" s="13" t="s">
        <v>796</v>
      </c>
      <c r="G823" s="13" t="s">
        <v>117</v>
      </c>
      <c r="H823" s="13" t="str">
        <f>IFERROR(VLOOKUP(#REF!823,'정보화기기 명부'!A$2:B$187,2,FALSE),"")</f>
        <v/>
      </c>
      <c r="I823" s="13"/>
      <c r="J823" s="13"/>
      <c r="K823" s="13"/>
      <c r="L823" s="13">
        <v>20030827</v>
      </c>
      <c r="M823" s="13" t="s">
        <v>422</v>
      </c>
      <c r="N823" s="13" t="s">
        <v>1186</v>
      </c>
      <c r="O823" s="13">
        <v>39</v>
      </c>
      <c r="P823" s="13" t="s">
        <v>495</v>
      </c>
      <c r="Q823" s="13" t="s">
        <v>728</v>
      </c>
      <c r="R823" s="13" t="s">
        <v>188</v>
      </c>
      <c r="S823" s="13" t="s">
        <v>201</v>
      </c>
    </row>
    <row r="824" spans="1:22" s="14" customFormat="1" ht="13.5" customHeight="1" ns3:dyDescent="0.25">
      <c r="A824" s="13" t="s">
        <v>21</v>
      </c>
      <c r="B824" s="25" t="str">
        <f t="shared" si="48"/>
      </c>
      <c r="C824" s="13" t="s">
        <v>102</v>
      </c>
      <c r="D824" s="13" t="s">
        <v>17</v>
      </c>
      <c r="E824" s="13" t="s">
        <v>120</v>
      </c>
      <c r="F824" s="13" t="s">
        <v>796</v>
      </c>
      <c r="G824" s="13" t="s">
        <v>117</v>
      </c>
      <c r="H824" s="13" t="str">
        <f>IFERROR(VLOOKUP(#REF!824,'정보화기기 명부'!A$2:B$187,2,FALSE),"")</f>
        <v/>
      </c>
      <c r="I824" s="13"/>
      <c r="J824" s="13"/>
      <c r="K824" s="13"/>
      <c r="L824" s="13">
        <v>20030827</v>
      </c>
      <c r="M824" s="13" t="s">
        <v>422</v>
      </c>
      <c r="N824" s="13" t="s">
        <v>1186</v>
      </c>
      <c r="O824" s="13">
        <v>38</v>
      </c>
      <c r="P824" s="13" t="s">
        <v>495</v>
      </c>
      <c r="Q824" s="13" t="s">
        <v>728</v>
      </c>
      <c r="R824" s="13" t="s">
        <v>188</v>
      </c>
      <c r="S824" s="13" t="s">
        <v>201</v>
      </c>
    </row>
    <row r="825" spans="1:22" s="14" customFormat="1" ht="13.5" customHeight="1" ns3:dyDescent="0.25">
      <c r="A825" s="13" t="s">
        <v>249</v>
      </c>
      <c r="B825" s="25" t="str">
        <f t="shared" si="48"/>
      </c>
      <c r="C825" s="13" t="s">
        <v>102</v>
      </c>
      <c r="D825" s="13" t="s">
        <v>17</v>
      </c>
      <c r="E825" s="13" t="s">
        <v>120</v>
      </c>
      <c r="F825" s="13" t="s">
        <v>796</v>
      </c>
      <c r="G825" s="13" t="s">
        <v>117</v>
      </c>
      <c r="H825" s="13" t="str">
        <f>IFERROR(VLOOKUP(#REF!825,'정보화기기 명부'!A$2:B$187,2,FALSE),"")</f>
        <v/>
      </c>
      <c r="I825" s="13"/>
      <c r="J825" s="13"/>
      <c r="K825" s="13"/>
      <c r="L825" s="13">
        <v>20030827</v>
      </c>
      <c r="M825" s="13" t="s">
        <v>422</v>
      </c>
      <c r="N825" s="13" t="s">
        <v>1186</v>
      </c>
      <c r="O825" s="13">
        <v>37</v>
      </c>
      <c r="P825" s="13" t="s">
        <v>495</v>
      </c>
      <c r="Q825" s="13" t="s">
        <v>728</v>
      </c>
      <c r="R825" s="13" t="s">
        <v>188</v>
      </c>
      <c r="S825" s="13" t="s">
        <v>201</v>
      </c>
    </row>
    <row r="826" spans="1:22" s="14" customFormat="1" ht="13.5" customHeight="1" ns3:dyDescent="0.25">
      <c r="A826" s="13" t="s">
        <v>250</v>
      </c>
      <c r="B826" s="25" t="str">
        <f t="shared" si="48"/>
      </c>
      <c r="C826" s="13" t="s">
        <v>102</v>
      </c>
      <c r="D826" s="13" t="s">
        <v>17</v>
      </c>
      <c r="E826" s="13" t="s">
        <v>120</v>
      </c>
      <c r="F826" s="13" t="s">
        <v>796</v>
      </c>
      <c r="G826" s="13" t="s">
        <v>117</v>
      </c>
      <c r="H826" s="13" t="str">
        <f>IFERROR(VLOOKUP(#REF!826,'정보화기기 명부'!A$2:B$187,2,FALSE),"")</f>
        <v/>
      </c>
      <c r="I826" s="13"/>
      <c r="J826" s="13"/>
      <c r="K826" s="13"/>
      <c r="L826" s="13">
        <v>20030827</v>
      </c>
      <c r="M826" s="13" t="s">
        <v>422</v>
      </c>
      <c r="N826" s="13" t="s">
        <v>1186</v>
      </c>
      <c r="O826" s="13">
        <v>12</v>
      </c>
      <c r="P826" s="13" t="s">
        <v>495</v>
      </c>
      <c r="Q826" s="13" t="s">
        <v>728</v>
      </c>
      <c r="R826" s="13" t="s">
        <v>188</v>
      </c>
      <c r="S826" s="13" t="s">
        <v>201</v>
      </c>
    </row>
    <row r="827" spans="1:22" s="14" customFormat="1" ht="13.5" customHeight="1" ns3:dyDescent="0.25">
      <c r="A827" s="13" t="s">
        <v>242</v>
      </c>
      <c r="B827" s="25" t="str">
        <f t="shared" si="48"/>
      </c>
      <c r="C827" s="13" t="s">
        <v>102</v>
      </c>
      <c r="D827" s="13" t="s">
        <v>17</v>
      </c>
      <c r="E827" s="13" t="s">
        <v>120</v>
      </c>
      <c r="F827" s="13" t="s">
        <v>796</v>
      </c>
      <c r="G827" s="13" t="s">
        <v>117</v>
      </c>
      <c r="H827" s="13" t="str">
        <f>IFERROR(VLOOKUP(#REF!827,'정보화기기 명부'!A$2:B$187,2,FALSE),"")</f>
        <v/>
      </c>
      <c r="I827" s="13"/>
      <c r="J827" s="13"/>
      <c r="K827" s="13"/>
      <c r="L827" s="13">
        <v>20030827</v>
      </c>
      <c r="M827" s="13" t="s">
        <v>422</v>
      </c>
      <c r="N827" s="13" t="s">
        <v>1186</v>
      </c>
      <c r="O827" s="13">
        <v>1</v>
      </c>
      <c r="P827" s="13" t="s">
        <v>495</v>
      </c>
      <c r="Q827" s="13" t="s">
        <v>728</v>
      </c>
      <c r="R827" s="13" t="s">
        <v>188</v>
      </c>
      <c r="S827" s="13" t="s">
        <v>201</v>
      </c>
    </row>
    <row r="828" spans="1:22" s="14" customFormat="1" ht="13.5" hidden="1" customHeight="1" ns3:dyDescent="0.25">
      <c r="A828" s="13" t="s">
        <v>277</v>
      </c>
      <c r="B828" s="25" t="str">
        <f t="shared" si="48"/>
      </c>
      <c r="C828" s="13" t="s">
        <v>1147</v>
      </c>
      <c r="D828" s="13" t="s">
        <v>17</v>
      </c>
      <c r="E828" s="13" t="s">
        <v>8</v>
      </c>
      <c r="F828" s="13" t="s">
        <v>1283</v>
      </c>
      <c r="G828" s="13" t="s">
        <v>117</v>
      </c>
      <c r="H828" s="13" t="str">
        <f>IFERROR(VLOOKUP(#REF!828,'정보화기기 명부'!A$2:B$187,2,FALSE),"")</f>
        <v/>
      </c>
      <c r="I828" s="13"/>
      <c r="J828" s="13"/>
      <c r="K828" s="13"/>
      <c r="L828" s="13">
        <v>20030529</v>
      </c>
      <c r="M828" s="13" t="s">
        <v>607</v>
      </c>
      <c r="N828" s="13" t="s">
        <v>1186</v>
      </c>
      <c r="O828" s="13">
        <v>191</v>
      </c>
      <c r="P828" s="13" t="s">
        <v>495</v>
      </c>
      <c r="Q828" s="13" t="s">
        <v>728</v>
      </c>
      <c r="R828" s="13" t="s">
        <v>174</v>
      </c>
      <c r="S828" s="13" t="s">
        <v>201</v>
      </c>
    </row>
    <row r="829" spans="1:22" s="14" customFormat="1" ht="13.5" hidden="1" customHeight="1" ns3:dyDescent="0.25">
      <c r="A829" s="13" t="s">
        <v>1158</v>
      </c>
      <c r="B829" s="25" t="str">
        <f t="shared" si="48"/>
      </c>
      <c r="C829" s="13" t="s">
        <v>1147</v>
      </c>
      <c r="D829" s="13" t="s">
        <v>17</v>
      </c>
      <c r="E829" s="13" t="s">
        <v>8</v>
      </c>
      <c r="F829" s="13" t="s">
        <v>1153</v>
      </c>
      <c r="G829" s="13" t="s">
        <v>117</v>
      </c>
      <c r="H829" s="13" t="str">
        <f>IFERROR(VLOOKUP(#REF!829,'정보화기기 명부'!A$2:B$187,2,FALSE),"")</f>
        <v/>
      </c>
      <c r="I829" s="13"/>
      <c r="J829" s="13"/>
      <c r="K829" s="13"/>
      <c r="L829" s="13">
        <v>20030529</v>
      </c>
      <c r="M829" s="13" t="s">
        <v>607</v>
      </c>
      <c r="N829" s="13" t="s">
        <v>1186</v>
      </c>
      <c r="O829" s="13">
        <v>190</v>
      </c>
      <c r="P829" s="13" t="s">
        <v>495</v>
      </c>
      <c r="Q829" s="13" t="s">
        <v>728</v>
      </c>
      <c r="R829" s="13" t="s">
        <v>174</v>
      </c>
      <c r="S829" s="13" t="s">
        <v>201</v>
      </c>
    </row>
    <row r="830" spans="1:22" s="14" customFormat="1" ht="13.5" hidden="1" customHeight="1" ns3:dyDescent="0.25">
      <c r="A830" s="13" t="s">
        <v>280</v>
      </c>
      <c r="B830" s="25" t="str">
        <f t="shared" si="48"/>
      </c>
      <c r="C830" s="13" t="s">
        <v>1147</v>
      </c>
      <c r="D830" s="13" t="s">
        <v>17</v>
      </c>
      <c r="E830" s="13" t="s">
        <v>8</v>
      </c>
      <c r="F830" s="13" t="s">
        <v>1556</v>
      </c>
      <c r="G830" s="13" t="s">
        <v>138</v>
      </c>
      <c r="H830" s="13" t="str">
        <f>IFERROR(VLOOKUP(#REF!830,'정보화기기 명부'!A$2:B$187,2,FALSE),"")</f>
        <v/>
      </c>
      <c r="I830" s="13"/>
      <c r="J830" s="13"/>
      <c r="K830" s="13"/>
      <c r="L830" s="13">
        <v>20030520</v>
      </c>
      <c r="M830" s="13" t="s">
        <v>597</v>
      </c>
      <c r="N830" s="13" t="s">
        <v>1191</v>
      </c>
      <c r="O830" s="13">
        <v>224</v>
      </c>
      <c r="P830" s="13" t="s">
        <v>495</v>
      </c>
      <c r="Q830" s="13" t="s">
        <v>1145</v>
      </c>
      <c r="R830" s="13" t="s">
        <v>209</v>
      </c>
      <c r="S830" s="13" t="s">
        <v>1159</v>
      </c>
    </row>
    <row r="831" spans="1:22" s="14" customFormat="1" ht="13.5" customHeight="1" ns3:dyDescent="0.25">
      <c r="A831" s="13" t="s">
        <v>266</v>
      </c>
      <c r="B831" s="25" t="str">
        <f t="shared" si="48"/>
      </c>
      <c r="C831" s="13" t="s">
        <v>102</v>
      </c>
      <c r="D831" s="13" t="s">
        <v>17</v>
      </c>
      <c r="E831" s="13" t="s">
        <v>120</v>
      </c>
      <c r="F831" s="13" t="s">
        <v>423</v>
      </c>
      <c r="G831" s="13" t="s">
        <v>10</v>
      </c>
      <c r="H831" s="13" t="str">
        <f>IFERROR(VLOOKUP(#REF!831,'정보화기기 명부'!A$2:B$187,2,FALSE),"")</f>
        <v/>
      </c>
      <c r="I831" s="13"/>
      <c r="J831" s="13"/>
      <c r="K831" s="13"/>
      <c r="L831" s="13">
        <v>20030228</v>
      </c>
      <c r="M831" s="13" t="s">
        <v>686</v>
      </c>
      <c r="N831" s="13" t="s">
        <v>1186</v>
      </c>
      <c r="O831" s="13">
        <v>95</v>
      </c>
      <c r="P831" s="13" t="s">
        <v>495</v>
      </c>
      <c r="Q831" s="13" t="s">
        <v>730</v>
      </c>
      <c r="R831" s="13" t="s">
        <v>174</v>
      </c>
      <c r="S831" s="13" t="s">
        <v>175</v>
      </c>
    </row>
    <row r="832" spans="1:22" s="14" customFormat="1" ht="13.5" customHeight="1" ns3:dyDescent="0.25">
      <c r="A832" s="13" t="s">
        <v>282</v>
      </c>
      <c r="B832" s="25" t="str">
        <f t="shared" si="48"/>
      </c>
      <c r="C832" s="13" t="s">
        <v>102</v>
      </c>
      <c r="D832" s="13" t="s">
        <v>17</v>
      </c>
      <c r="E832" s="13" t="s">
        <v>120</v>
      </c>
      <c r="F832" s="13" t="s">
        <v>423</v>
      </c>
      <c r="G832" s="13" t="s">
        <v>10</v>
      </c>
      <c r="H832" s="13" t="str">
        <f>IFERROR(VLOOKUP(#REF!832,'정보화기기 명부'!A$2:B$187,2,FALSE),"")</f>
        <v/>
      </c>
      <c r="I832" s="13"/>
      <c r="J832" s="13"/>
      <c r="K832" s="13"/>
      <c r="L832" s="13">
        <v>20030228</v>
      </c>
      <c r="M832" s="13" t="s">
        <v>686</v>
      </c>
      <c r="N832" s="13" t="s">
        <v>1186</v>
      </c>
      <c r="O832" s="13">
        <v>14</v>
      </c>
      <c r="P832" s="13" t="s">
        <v>495</v>
      </c>
      <c r="Q832" s="13" t="s">
        <v>730</v>
      </c>
      <c r="R832" s="13" t="s">
        <v>174</v>
      </c>
      <c r="S832" s="13" t="s">
        <v>175</v>
      </c>
    </row>
    <row r="833" spans="1:22" s="14" customFormat="1" ht="13.5" hidden="1" customHeight="1" ns3:dyDescent="0.25">
      <c r="A833" s="13" t="s">
        <v>288</v>
      </c>
      <c r="B833" s="25" t="str">
        <f t="shared" si="48"/>
      </c>
      <c r="C833" s="13" t="s">
        <v>1147</v>
      </c>
      <c r="D833" s="13" t="s">
        <v>17</v>
      </c>
      <c r="E833" s="13" t="s">
        <v>8</v>
      </c>
      <c r="F833" s="13" t="s">
        <v>1143</v>
      </c>
      <c r="G833" s="13" t="s">
        <v>117</v>
      </c>
      <c r="H833" s="13" t="str">
        <f>IFERROR(VLOOKUP(#REF!833,'정보화기기 명부'!A$2:B$187,2,FALSE),"")</f>
        <v/>
      </c>
      <c r="I833" s="13"/>
      <c r="J833" s="13"/>
      <c r="K833" s="13"/>
      <c r="L833" s="13">
        <v>20030228</v>
      </c>
      <c r="M833" s="13" t="s">
        <v>685</v>
      </c>
      <c r="N833" s="13" t="s">
        <v>1191</v>
      </c>
      <c r="O833" s="13">
        <v>3</v>
      </c>
      <c r="P833" s="13" t="s">
        <v>683</v>
      </c>
      <c r="Q833" s="13" t="s">
        <v>728</v>
      </c>
      <c r="R833" s="13" t="s">
        <v>188</v>
      </c>
      <c r="S833" s="13" t="s">
        <v>219</v>
      </c>
    </row>
    <row r="834" spans="1:22" s="14" customFormat="1" ht="13.5" hidden="1" customHeight="1" ns3:dyDescent="0.25">
      <c r="A834" s="13" t="s">
        <v>251</v>
      </c>
      <c r="B834" s="25" t="str">
        <f t="shared" si="48"/>
      </c>
      <c r="C834" s="13" t="s">
        <v>1147</v>
      </c>
      <c r="D834" s="13" t="s">
        <v>17</v>
      </c>
      <c r="E834" s="13" t="s">
        <v>8</v>
      </c>
      <c r="F834" s="13" t="s">
        <v>1143</v>
      </c>
      <c r="G834" s="13" t="s">
        <v>117</v>
      </c>
      <c r="H834" s="13" t="str">
        <f>IFERROR(VLOOKUP(#REF!834,'정보화기기 명부'!A$2:B$187,2,FALSE),"")</f>
        <v/>
      </c>
      <c r="I834" s="13"/>
      <c r="J834" s="13"/>
      <c r="K834" s="13"/>
      <c r="L834" s="13">
        <v>20030228</v>
      </c>
      <c r="M834" s="13" t="s">
        <v>685</v>
      </c>
      <c r="N834" s="13" t="s">
        <v>1191</v>
      </c>
      <c r="O834" s="13">
        <v>2</v>
      </c>
      <c r="P834" s="13" t="s">
        <v>683</v>
      </c>
      <c r="Q834" s="13" t="s">
        <v>728</v>
      </c>
      <c r="R834" s="13" t="s">
        <v>188</v>
      </c>
      <c r="S834" s="13" t="s">
        <v>219</v>
      </c>
    </row>
    <row r="835" spans="1:22" s="14" customFormat="1" ht="13.5" customHeight="1" ns3:dyDescent="0.25">
      <c r="A835" s="13" t="s">
        <v>273</v>
      </c>
      <c r="B835" s="25" t="str">
        <f t="shared" si="48"/>
      </c>
      <c r="C835" s="13" t="s">
        <v>102</v>
      </c>
      <c r="D835" s="13" t="s">
        <v>17</v>
      </c>
      <c r="E835" s="13" t="s">
        <v>120</v>
      </c>
      <c r="F835" s="13" t="s">
        <v>600</v>
      </c>
      <c r="G835" s="13" t="s">
        <v>10</v>
      </c>
      <c r="H835" s="13" t="str">
        <f>IFERROR(VLOOKUP(#REF!835,'정보화기기 명부'!A$2:B$187,2,FALSE),"")</f>
        <v/>
      </c>
      <c r="I835" s="13"/>
      <c r="J835" s="13"/>
      <c r="K835" s="13"/>
      <c r="L835" s="13">
        <v>20021231</v>
      </c>
      <c r="M835" s="13" t="s">
        <v>682</v>
      </c>
      <c r="N835" s="13" t="s">
        <v>1186</v>
      </c>
      <c r="O835" s="13">
        <v>200</v>
      </c>
      <c r="P835" s="13" t="s">
        <v>495</v>
      </c>
      <c r="Q835" s="13" t="s">
        <v>748</v>
      </c>
      <c r="R835" s="13" t="s">
        <v>174</v>
      </c>
      <c r="S835" s="13" t="s">
        <v>284</v>
      </c>
    </row>
    <row r="836" spans="1:22" s="14" customFormat="1" ht="13.5" customHeight="1" ns3:dyDescent="0.25">
      <c r="A836" s="13" t="s">
        <v>245</v>
      </c>
      <c r="B836" s="25" t="str">
        <f t="shared" si="48"/>
      </c>
      <c r="C836" s="13" t="s">
        <v>102</v>
      </c>
      <c r="D836" s="13" t="s">
        <v>17</v>
      </c>
      <c r="E836" s="13" t="s">
        <v>120</v>
      </c>
      <c r="F836" s="13" t="s">
        <v>600</v>
      </c>
      <c r="G836" s="13" t="s">
        <v>10</v>
      </c>
      <c r="H836" s="13" t="str">
        <f>IFERROR(VLOOKUP(#REF!836,'정보화기기 명부'!A$2:B$187,2,FALSE),"")</f>
        <v/>
      </c>
      <c r="I836" s="13"/>
      <c r="J836" s="13"/>
      <c r="K836" s="13"/>
      <c r="L836" s="13">
        <v>20021231</v>
      </c>
      <c r="M836" s="13" t="s">
        <v>682</v>
      </c>
      <c r="N836" s="13" t="s">
        <v>1186</v>
      </c>
      <c r="O836" s="13">
        <v>94</v>
      </c>
      <c r="P836" s="13" t="s">
        <v>495</v>
      </c>
      <c r="Q836" s="13" t="s">
        <v>748</v>
      </c>
      <c r="R836" s="13" t="s">
        <v>174</v>
      </c>
      <c r="S836" s="13" t="s">
        <v>284</v>
      </c>
    </row>
    <row r="837" spans="1:22" s="14" customFormat="1" ht="13.5" customHeight="1" ns3:dyDescent="0.25">
      <c r="A837" s="13" t="s">
        <v>56</v>
      </c>
      <c r="B837" s="25" t="str">
        <f t="shared" si="48"/>
      </c>
      <c r="C837" s="13" t="s">
        <v>102</v>
      </c>
      <c r="D837" s="13" t="s">
        <v>17</v>
      </c>
      <c r="E837" s="13" t="s">
        <v>120</v>
      </c>
      <c r="F837" s="13" t="s">
        <v>600</v>
      </c>
      <c r="G837" s="13" t="s">
        <v>10</v>
      </c>
      <c r="H837" s="13" t="str">
        <f>IFERROR(VLOOKUP(#REF!837,'정보화기기 명부'!A$2:B$187,2,FALSE),"")</f>
        <v>혁신교육부</v>
      </c>
      <c r="I837" s="13"/>
      <c r="J837" s="13"/>
      <c r="K837" s="13"/>
      <c r="L837" s="13">
        <v>20021231</v>
      </c>
      <c r="M837" s="13" t="s">
        <v>682</v>
      </c>
      <c r="N837" s="13" t="s">
        <v>1186</v>
      </c>
      <c r="O837" s="13">
        <v>93</v>
      </c>
      <c r="P837" s="13" t="s">
        <v>495</v>
      </c>
      <c r="Q837" s="13" t="s">
        <v>748</v>
      </c>
      <c r="R837" s="13" t="s">
        <v>174</v>
      </c>
      <c r="S837" s="13" t="s">
        <v>284</v>
      </c>
    </row>
    <row r="838" spans="1:22" s="14" customFormat="1" ht="13.5" customHeight="1" ns3:dyDescent="0.25">
      <c r="A838" s="13" t="s">
        <v>313</v>
      </c>
      <c r="B838" s="25" t="str">
        <f t="shared" si="48"/>
      </c>
      <c r="C838" s="13" t="s">
        <v>102</v>
      </c>
      <c r="D838" s="13" t="s">
        <v>17</v>
      </c>
      <c r="E838" s="13" t="s">
        <v>120</v>
      </c>
      <c r="F838" s="13" t="s">
        <v>600</v>
      </c>
      <c r="G838" s="13" t="s">
        <v>10</v>
      </c>
      <c r="H838" s="13" t="str">
        <f>IFERROR(VLOOKUP(#REF!838,'정보화기기 명부'!A$2:B$187,2,FALSE),"")</f>
        <v/>
      </c>
      <c r="I838" s="13"/>
      <c r="J838" s="13"/>
      <c r="K838" s="13"/>
      <c r="L838" s="13">
        <v>20021231</v>
      </c>
      <c r="M838" s="13" t="s">
        <v>682</v>
      </c>
      <c r="N838" s="13" t="s">
        <v>1186</v>
      </c>
      <c r="O838" s="13">
        <v>73</v>
      </c>
      <c r="P838" s="13" t="s">
        <v>495</v>
      </c>
      <c r="Q838" s="13" t="s">
        <v>748</v>
      </c>
      <c r="R838" s="13" t="s">
        <v>174</v>
      </c>
      <c r="S838" s="13" t="s">
        <v>284</v>
      </c>
    </row>
    <row r="839" spans="1:22" s="14" customFormat="1" ht="13.5" customHeight="1" ns3:dyDescent="0.25">
      <c r="A839" s="13" t="s">
        <v>192</v>
      </c>
      <c r="B839" s="25" t="str">
        <f t="shared" si="48"/>
      </c>
      <c r="C839" s="13" t="s">
        <v>102</v>
      </c>
      <c r="D839" s="13" t="s">
        <v>17</v>
      </c>
      <c r="E839" s="13" t="s">
        <v>120</v>
      </c>
      <c r="F839" s="13" t="s">
        <v>600</v>
      </c>
      <c r="G839" s="13" t="s">
        <v>10</v>
      </c>
      <c r="H839" s="13" t="str">
        <f>IFERROR(VLOOKUP(#REF!839,'정보화기기 명부'!A$2:B$187,2,FALSE),"")</f>
        <v/>
      </c>
      <c r="I839" s="13"/>
      <c r="J839" s="13"/>
      <c r="K839" s="13"/>
      <c r="L839" s="13">
        <v>20021231</v>
      </c>
      <c r="M839" s="13" t="s">
        <v>682</v>
      </c>
      <c r="N839" s="13" t="s">
        <v>1186</v>
      </c>
      <c r="O839" s="13">
        <v>72</v>
      </c>
      <c r="P839" s="13" t="s">
        <v>495</v>
      </c>
      <c r="Q839" s="13" t="s">
        <v>748</v>
      </c>
      <c r="R839" s="13" t="s">
        <v>174</v>
      </c>
      <c r="S839" s="13" t="s">
        <v>284</v>
      </c>
    </row>
    <row r="840" spans="1:22" s="14" customFormat="1" ht="13.5" customHeight="1" ns3:dyDescent="0.25">
      <c r="A840" s="13" t="s">
        <v>268</v>
      </c>
      <c r="B840" s="25" t="str">
        <f t="shared" si="48"/>
      </c>
      <c r="C840" s="13" t="s">
        <v>102</v>
      </c>
      <c r="D840" s="13" t="s">
        <v>17</v>
      </c>
      <c r="E840" s="13" t="s">
        <v>120</v>
      </c>
      <c r="F840" s="13" t="s">
        <v>600</v>
      </c>
      <c r="G840" s="13" t="s">
        <v>10</v>
      </c>
      <c r="H840" s="13" t="str">
        <f>IFERROR(VLOOKUP(#REF!840,'정보화기기 명부'!A$2:B$187,2,FALSE),"")</f>
        <v/>
      </c>
      <c r="I840" s="13"/>
      <c r="J840" s="13"/>
      <c r="K840" s="13"/>
      <c r="L840" s="13">
        <v>20021231</v>
      </c>
      <c r="M840" s="13" t="s">
        <v>682</v>
      </c>
      <c r="N840" s="13" t="s">
        <v>1186</v>
      </c>
      <c r="O840" s="13">
        <v>55</v>
      </c>
      <c r="P840" s="13" t="s">
        <v>495</v>
      </c>
      <c r="Q840" s="13" t="s">
        <v>748</v>
      </c>
      <c r="R840" s="13" t="s">
        <v>174</v>
      </c>
      <c r="S840" s="13" t="s">
        <v>284</v>
      </c>
    </row>
    <row r="841" spans="1:22" s="14" customFormat="1" ht="13.5" customHeight="1" ns3:dyDescent="0.25">
      <c r="A841" s="13" t="s">
        <v>240</v>
      </c>
      <c r="B841" s="25" t="str">
        <f t="shared" si="48"/>
      </c>
      <c r="C841" s="13" t="s">
        <v>102</v>
      </c>
      <c r="D841" s="13" t="s">
        <v>17</v>
      </c>
      <c r="E841" s="13" t="s">
        <v>120</v>
      </c>
      <c r="F841" s="13" t="s">
        <v>600</v>
      </c>
      <c r="G841" s="13" t="s">
        <v>10</v>
      </c>
      <c r="H841" s="13" t="str">
        <f>IFERROR(VLOOKUP(#REF!841,'정보화기기 명부'!A$2:B$187,2,FALSE),"")</f>
        <v/>
      </c>
      <c r="I841" s="13"/>
      <c r="J841" s="13"/>
      <c r="K841" s="13"/>
      <c r="L841" s="13">
        <v>20021231</v>
      </c>
      <c r="M841" s="13" t="s">
        <v>682</v>
      </c>
      <c r="N841" s="13" t="s">
        <v>1186</v>
      </c>
      <c r="O841" s="13">
        <v>54</v>
      </c>
      <c r="P841" s="13" t="s">
        <v>495</v>
      </c>
      <c r="Q841" s="13" t="s">
        <v>748</v>
      </c>
      <c r="R841" s="13" t="s">
        <v>174</v>
      </c>
      <c r="S841" s="13" t="s">
        <v>284</v>
      </c>
    </row>
    <row r="842" spans="1:22" s="14" customFormat="1" ht="13.5" customHeight="1" ns3:dyDescent="0.25">
      <c r="A842" s="13" t="s">
        <v>269</v>
      </c>
      <c r="B842" s="25" t="str">
        <f t="shared" si="48"/>
      </c>
      <c r="C842" s="13" t="s">
        <v>102</v>
      </c>
      <c r="D842" s="13" t="s">
        <v>17</v>
      </c>
      <c r="E842" s="13" t="s">
        <v>120</v>
      </c>
      <c r="F842" s="13" t="s">
        <v>600</v>
      </c>
      <c r="G842" s="13" t="s">
        <v>10</v>
      </c>
      <c r="H842" s="13" t="str">
        <f>IFERROR(VLOOKUP(#REF!842,'정보화기기 명부'!A$2:B$187,2,FALSE),"")</f>
        <v/>
      </c>
      <c r="I842" s="13"/>
      <c r="J842" s="13"/>
      <c r="K842" s="13"/>
      <c r="L842" s="13">
        <v>20021231</v>
      </c>
      <c r="M842" s="13" t="s">
        <v>682</v>
      </c>
      <c r="N842" s="13" t="s">
        <v>1186</v>
      </c>
      <c r="O842" s="13">
        <v>53</v>
      </c>
      <c r="P842" s="13" t="s">
        <v>495</v>
      </c>
      <c r="Q842" s="13" t="s">
        <v>748</v>
      </c>
      <c r="R842" s="13" t="s">
        <v>174</v>
      </c>
      <c r="S842" s="13" t="s">
        <v>284</v>
      </c>
    </row>
    <row r="843" spans="1:22" s="14" customFormat="1" ht="13.5" customHeight="1" ns3:dyDescent="0.25">
      <c r="A843" s="13" t="s">
        <v>263</v>
      </c>
      <c r="B843" s="25" t="str">
        <f t="shared" si="48"/>
      </c>
      <c r="C843" s="13" t="s">
        <v>102</v>
      </c>
      <c r="D843" s="13" t="s">
        <v>17</v>
      </c>
      <c r="E843" s="13" t="s">
        <v>120</v>
      </c>
      <c r="F843" s="13" t="s">
        <v>600</v>
      </c>
      <c r="G843" s="13" t="s">
        <v>10</v>
      </c>
      <c r="H843" s="13" t="str">
        <f>IFERROR(VLOOKUP(#REF!843,'정보화기기 명부'!A$2:B$187,2,FALSE),"")</f>
        <v/>
      </c>
      <c r="I843" s="13"/>
      <c r="J843" s="13"/>
      <c r="K843" s="13"/>
      <c r="L843" s="13">
        <v>20021231</v>
      </c>
      <c r="M843" s="13" t="s">
        <v>682</v>
      </c>
      <c r="N843" s="13" t="s">
        <v>1186</v>
      </c>
      <c r="O843" s="13">
        <v>52</v>
      </c>
      <c r="P843" s="13" t="s">
        <v>495</v>
      </c>
      <c r="Q843" s="13" t="s">
        <v>748</v>
      </c>
      <c r="R843" s="13" t="s">
        <v>174</v>
      </c>
      <c r="S843" s="13" t="s">
        <v>284</v>
      </c>
    </row>
    <row r="844" spans="1:22" s="14" customFormat="1" ht="13.5" customHeight="1" ns3:dyDescent="0.25">
      <c r="A844" s="13" t="s">
        <v>289</v>
      </c>
      <c r="B844" s="25" t="str">
        <f t="shared" si="48"/>
      </c>
      <c r="C844" s="13" t="s">
        <v>102</v>
      </c>
      <c r="D844" s="13" t="s">
        <v>17</v>
      </c>
      <c r="E844" s="13" t="s">
        <v>120</v>
      </c>
      <c r="F844" s="13" t="s">
        <v>600</v>
      </c>
      <c r="G844" s="13" t="s">
        <v>10</v>
      </c>
      <c r="H844" s="13" t="str">
        <f>IFERROR(VLOOKUP(#REF!844,'정보화기기 명부'!A$2:B$187,2,FALSE),"")</f>
        <v/>
      </c>
      <c r="I844" s="13"/>
      <c r="J844" s="13"/>
      <c r="K844" s="13"/>
      <c r="L844" s="13">
        <v>20021231</v>
      </c>
      <c r="M844" s="13" t="s">
        <v>682</v>
      </c>
      <c r="N844" s="13" t="s">
        <v>1186</v>
      </c>
      <c r="O844" s="13">
        <v>13</v>
      </c>
      <c r="P844" s="13" t="s">
        <v>495</v>
      </c>
      <c r="Q844" s="13" t="s">
        <v>748</v>
      </c>
      <c r="R844" s="13" t="s">
        <v>174</v>
      </c>
      <c r="S844" s="13" t="s">
        <v>284</v>
      </c>
    </row>
    <row r="845" spans="1:22" s="14" customFormat="1" ht="13.5" hidden="1" customHeight="1" ns3:dyDescent="0.25">
      <c r="A845" s="13" t="s">
        <v>278</v>
      </c>
      <c r="B845" s="25" t="str">
        <f t="shared" si="48"/>
      </c>
      <c r="C845" s="13" t="s">
        <v>322</v>
      </c>
      <c r="D845" s="13" t="s">
        <v>17</v>
      </c>
      <c r="E845" s="13" t="s">
        <v>55</v>
      </c>
      <c r="F845" s="13" t="s">
        <v>1165</v>
      </c>
      <c r="G845" s="13" t="s">
        <v>1146</v>
      </c>
      <c r="H845" s="13" t="str">
        <f>IFERROR(VLOOKUP(#REF!845,'정보화기기 명부'!A$2:B$187,2,FALSE),"")</f>
        <v/>
      </c>
      <c r="I845" s="13"/>
      <c r="J845" s="13"/>
      <c r="K845" s="13"/>
      <c r="L845" s="13">
        <v>20021001</v>
      </c>
      <c r="M845" s="13" t="s">
        <v>1155</v>
      </c>
      <c r="N845" s="13" t="s">
        <v>1193</v>
      </c>
      <c r="O845" s="13">
        <v>173</v>
      </c>
      <c r="P845" s="13" t="s">
        <v>677</v>
      </c>
      <c r="Q845" s="13" t="s">
        <v>1161</v>
      </c>
      <c r="R845" s="13" t="s">
        <v>275</v>
      </c>
      <c r="S845" s="13" t="s">
        <v>1140</v>
      </c>
    </row>
    <row r="846" spans="1:22" s="14" customFormat="1" ht="13.5" hidden="1" customHeight="1" ns3:dyDescent="0.25">
      <c r="A846" s="13" t="s">
        <v>278</v>
      </c>
      <c r="B846" s="25" t="str">
        <f t="shared" si="48"/>
      </c>
      <c r="C846" s="13" t="s">
        <v>322</v>
      </c>
      <c r="D846" s="13" t="s">
        <v>17</v>
      </c>
      <c r="E846" s="13" t="s">
        <v>55</v>
      </c>
      <c r="F846" s="13" t="s">
        <v>1165</v>
      </c>
      <c r="G846" s="13" t="s">
        <v>1146</v>
      </c>
      <c r="H846" s="13" t="str">
        <f>IFERROR(VLOOKUP(#REF!846,'정보화기기 명부'!A$2:B$187,2,FALSE),"")</f>
        <v/>
      </c>
      <c r="I846" s="13"/>
      <c r="J846" s="13"/>
      <c r="K846" s="13"/>
      <c r="L846" s="13">
        <v>20021001</v>
      </c>
      <c r="M846" s="13" t="s">
        <v>1155</v>
      </c>
      <c r="N846" s="13" t="s">
        <v>1193</v>
      </c>
      <c r="O846" s="13">
        <v>172</v>
      </c>
      <c r="P846" s="13" t="s">
        <v>677</v>
      </c>
      <c r="Q846" s="13" t="s">
        <v>1161</v>
      </c>
      <c r="R846" s="13" t="s">
        <v>275</v>
      </c>
      <c r="S846" s="13" t="s">
        <v>1140</v>
      </c>
    </row>
    <row r="847" spans="1:22" s="14" customFormat="1" ht="13.5" hidden="1" customHeight="1" ns3:dyDescent="0.25">
      <c r="A847" s="13" t="s">
        <v>278</v>
      </c>
      <c r="B847" s="25" t="str">
        <f t="shared" si="48"/>
      </c>
      <c r="C847" s="13" t="s">
        <v>322</v>
      </c>
      <c r="D847" s="13" t="s">
        <v>17</v>
      </c>
      <c r="E847" s="13" t="s">
        <v>55</v>
      </c>
      <c r="F847" s="13" t="s">
        <v>1165</v>
      </c>
      <c r="G847" s="13" t="s">
        <v>1146</v>
      </c>
      <c r="H847" s="13" t="str">
        <f>IFERROR(VLOOKUP(#REF!847,'정보화기기 명부'!A$2:B$187,2,FALSE),"")</f>
        <v/>
      </c>
      <c r="I847" s="13"/>
      <c r="J847" s="13"/>
      <c r="K847" s="13"/>
      <c r="L847" s="13">
        <v>20021001</v>
      </c>
      <c r="M847" s="13" t="s">
        <v>1155</v>
      </c>
      <c r="N847" s="13" t="s">
        <v>1193</v>
      </c>
      <c r="O847" s="13">
        <v>171</v>
      </c>
      <c r="P847" s="13" t="s">
        <v>677</v>
      </c>
      <c r="Q847" s="13" t="s">
        <v>1161</v>
      </c>
      <c r="R847" s="13" t="s">
        <v>275</v>
      </c>
      <c r="S847" s="13" t="s">
        <v>1140</v>
      </c>
    </row>
    <row r="848" spans="1:22" s="14" customFormat="1" ht="13.5" hidden="1" customHeight="1" ns3:dyDescent="0.25">
      <c r="A848" s="13" t="s">
        <v>278</v>
      </c>
      <c r="B848" s="25" t="str">
        <f t="shared" si="48"/>
      </c>
      <c r="C848" s="13" t="s">
        <v>322</v>
      </c>
      <c r="D848" s="13" t="s">
        <v>17</v>
      </c>
      <c r="E848" s="13" t="s">
        <v>55</v>
      </c>
      <c r="F848" s="13" t="s">
        <v>1165</v>
      </c>
      <c r="G848" s="13" t="s">
        <v>1146</v>
      </c>
      <c r="H848" s="13" t="str">
        <f>IFERROR(VLOOKUP(#REF!848,'정보화기기 명부'!A$2:B$187,2,FALSE),"")</f>
        <v/>
      </c>
      <c r="I848" s="13"/>
      <c r="J848" s="13"/>
      <c r="K848" s="13"/>
      <c r="L848" s="13">
        <v>20021001</v>
      </c>
      <c r="M848" s="13" t="s">
        <v>1155</v>
      </c>
      <c r="N848" s="13" t="s">
        <v>1193</v>
      </c>
      <c r="O848" s="13">
        <v>170</v>
      </c>
      <c r="P848" s="13" t="s">
        <v>677</v>
      </c>
      <c r="Q848" s="13" t="s">
        <v>1161</v>
      </c>
      <c r="R848" s="13" t="s">
        <v>275</v>
      </c>
      <c r="S848" s="13" t="s">
        <v>1140</v>
      </c>
    </row>
    <row r="849" spans="1:22" s="14" customFormat="1" ht="13.5" hidden="1" customHeight="1" ns3:dyDescent="0.25">
      <c r="A849" s="13" t="s">
        <v>278</v>
      </c>
      <c r="B849" s="25" t="str">
        <f t="shared" si="48"/>
      </c>
      <c r="C849" s="13" t="s">
        <v>322</v>
      </c>
      <c r="D849" s="13" t="s">
        <v>17</v>
      </c>
      <c r="E849" s="13" t="s">
        <v>55</v>
      </c>
      <c r="F849" s="13" t="s">
        <v>1165</v>
      </c>
      <c r="G849" s="13" t="s">
        <v>1146</v>
      </c>
      <c r="H849" s="13" t="str">
        <f>IFERROR(VLOOKUP(#REF!849,'정보화기기 명부'!A$2:B$187,2,FALSE),"")</f>
        <v/>
      </c>
      <c r="I849" s="13"/>
      <c r="J849" s="13"/>
      <c r="K849" s="13"/>
      <c r="L849" s="13">
        <v>20021001</v>
      </c>
      <c r="M849" s="13" t="s">
        <v>1155</v>
      </c>
      <c r="N849" s="13" t="s">
        <v>1193</v>
      </c>
      <c r="O849" s="13">
        <v>169</v>
      </c>
      <c r="P849" s="13" t="s">
        <v>677</v>
      </c>
      <c r="Q849" s="13" t="s">
        <v>1161</v>
      </c>
      <c r="R849" s="13" t="s">
        <v>275</v>
      </c>
      <c r="S849" s="13" t="s">
        <v>1140</v>
      </c>
    </row>
    <row r="850" spans="1:22" s="14" customFormat="1" ht="13.5" hidden="1" customHeight="1" ns3:dyDescent="0.25">
      <c r="A850" s="13" t="s">
        <v>278</v>
      </c>
      <c r="B850" s="25" t="str">
        <f t="shared" si="48"/>
      </c>
      <c r="C850" s="13" t="s">
        <v>322</v>
      </c>
      <c r="D850" s="13" t="s">
        <v>17</v>
      </c>
      <c r="E850" s="13" t="s">
        <v>55</v>
      </c>
      <c r="F850" s="13" t="s">
        <v>1165</v>
      </c>
      <c r="G850" s="13" t="s">
        <v>1146</v>
      </c>
      <c r="H850" s="13" t="str">
        <f>IFERROR(VLOOKUP(#REF!850,'정보화기기 명부'!A$2:B$187,2,FALSE),"")</f>
        <v/>
      </c>
      <c r="I850" s="13"/>
      <c r="J850" s="13"/>
      <c r="K850" s="13"/>
      <c r="L850" s="13">
        <v>20021001</v>
      </c>
      <c r="M850" s="13" t="s">
        <v>1155</v>
      </c>
      <c r="N850" s="13" t="s">
        <v>1193</v>
      </c>
      <c r="O850" s="13">
        <v>168</v>
      </c>
      <c r="P850" s="13" t="s">
        <v>677</v>
      </c>
      <c r="Q850" s="13" t="s">
        <v>1161</v>
      </c>
      <c r="R850" s="13" t="s">
        <v>275</v>
      </c>
      <c r="S850" s="13" t="s">
        <v>1140</v>
      </c>
    </row>
    <row r="851" spans="1:22" s="14" customFormat="1" ht="13.5" hidden="1" customHeight="1" ns3:dyDescent="0.25">
      <c r="A851" s="13" t="s">
        <v>278</v>
      </c>
      <c r="B851" s="25" t="str">
        <f t="shared" si="48"/>
      </c>
      <c r="C851" s="13" t="s">
        <v>322</v>
      </c>
      <c r="D851" s="13" t="s">
        <v>17</v>
      </c>
      <c r="E851" s="13" t="s">
        <v>55</v>
      </c>
      <c r="F851" s="13" t="s">
        <v>1165</v>
      </c>
      <c r="G851" s="13" t="s">
        <v>1146</v>
      </c>
      <c r="H851" s="13" t="str">
        <f>IFERROR(VLOOKUP(#REF!851,'정보화기기 명부'!A$2:B$187,2,FALSE),"")</f>
        <v/>
      </c>
      <c r="I851" s="13"/>
      <c r="J851" s="13"/>
      <c r="K851" s="13"/>
      <c r="L851" s="13">
        <v>20021001</v>
      </c>
      <c r="M851" s="13" t="s">
        <v>1155</v>
      </c>
      <c r="N851" s="13" t="s">
        <v>1193</v>
      </c>
      <c r="O851" s="13">
        <v>167</v>
      </c>
      <c r="P851" s="13" t="s">
        <v>677</v>
      </c>
      <c r="Q851" s="13" t="s">
        <v>1161</v>
      </c>
      <c r="R851" s="13" t="s">
        <v>275</v>
      </c>
      <c r="S851" s="13" t="s">
        <v>1140</v>
      </c>
    </row>
    <row r="852" spans="1:22" s="14" customFormat="1" ht="13.5" hidden="1" customHeight="1" ns3:dyDescent="0.25">
      <c r="A852" s="13" t="s">
        <v>278</v>
      </c>
      <c r="B852" s="25" t="str">
        <f t="shared" si="48"/>
      </c>
      <c r="C852" s="13" t="s">
        <v>322</v>
      </c>
      <c r="D852" s="13" t="s">
        <v>17</v>
      </c>
      <c r="E852" s="13" t="s">
        <v>55</v>
      </c>
      <c r="F852" s="13" t="s">
        <v>1165</v>
      </c>
      <c r="G852" s="13" t="s">
        <v>1146</v>
      </c>
      <c r="H852" s="13" t="str">
        <f>IFERROR(VLOOKUP(#REF!852,'정보화기기 명부'!A$2:B$187,2,FALSE),"")</f>
        <v/>
      </c>
      <c r="I852" s="13"/>
      <c r="J852" s="13"/>
      <c r="K852" s="13"/>
      <c r="L852" s="13">
        <v>20021001</v>
      </c>
      <c r="M852" s="13" t="s">
        <v>1155</v>
      </c>
      <c r="N852" s="13" t="s">
        <v>1193</v>
      </c>
      <c r="O852" s="13">
        <v>166</v>
      </c>
      <c r="P852" s="13" t="s">
        <v>677</v>
      </c>
      <c r="Q852" s="13" t="s">
        <v>1161</v>
      </c>
      <c r="R852" s="13" t="s">
        <v>275</v>
      </c>
      <c r="S852" s="13" t="s">
        <v>1140</v>
      </c>
    </row>
    <row r="853" spans="1:22" s="14" customFormat="1" ht="13.5" hidden="1" customHeight="1" ns3:dyDescent="0.25">
      <c r="A853" s="13" t="s">
        <v>278</v>
      </c>
      <c r="B853" s="25" t="str">
        <f t="shared" si="48"/>
      </c>
      <c r="C853" s="13" t="s">
        <v>322</v>
      </c>
      <c r="D853" s="13" t="s">
        <v>17</v>
      </c>
      <c r="E853" s="13" t="s">
        <v>55</v>
      </c>
      <c r="F853" s="13" t="s">
        <v>1165</v>
      </c>
      <c r="G853" s="13" t="s">
        <v>1146</v>
      </c>
      <c r="H853" s="13" t="str">
        <f>IFERROR(VLOOKUP(#REF!853,'정보화기기 명부'!A$2:B$187,2,FALSE),"")</f>
        <v/>
      </c>
      <c r="I853" s="13"/>
      <c r="J853" s="13"/>
      <c r="K853" s="13"/>
      <c r="L853" s="13">
        <v>20021001</v>
      </c>
      <c r="M853" s="13" t="s">
        <v>1155</v>
      </c>
      <c r="N853" s="13" t="s">
        <v>1193</v>
      </c>
      <c r="O853" s="13">
        <v>165</v>
      </c>
      <c r="P853" s="13" t="s">
        <v>677</v>
      </c>
      <c r="Q853" s="13" t="s">
        <v>1161</v>
      </c>
      <c r="R853" s="13" t="s">
        <v>275</v>
      </c>
      <c r="S853" s="13" t="s">
        <v>1140</v>
      </c>
    </row>
    <row r="854" spans="1:22" s="14" customFormat="1" ht="13.5" hidden="1" customHeight="1" ns3:dyDescent="0.25">
      <c r="A854" s="13" t="s">
        <v>278</v>
      </c>
      <c r="B854" s="25" t="str">
        <f t="shared" si="48"/>
      </c>
      <c r="C854" s="13" t="s">
        <v>322</v>
      </c>
      <c r="D854" s="13" t="s">
        <v>17</v>
      </c>
      <c r="E854" s="13" t="s">
        <v>55</v>
      </c>
      <c r="F854" s="13" t="s">
        <v>1165</v>
      </c>
      <c r="G854" s="13" t="s">
        <v>1146</v>
      </c>
      <c r="H854" s="13" t="str">
        <f>IFERROR(VLOOKUP(#REF!854,'정보화기기 명부'!A$2:B$187,2,FALSE),"")</f>
        <v/>
      </c>
      <c r="I854" s="13"/>
      <c r="J854" s="13"/>
      <c r="K854" s="13"/>
      <c r="L854" s="13">
        <v>20021001</v>
      </c>
      <c r="M854" s="13" t="s">
        <v>1155</v>
      </c>
      <c r="N854" s="13" t="s">
        <v>1193</v>
      </c>
      <c r="O854" s="13">
        <v>164</v>
      </c>
      <c r="P854" s="13" t="s">
        <v>677</v>
      </c>
      <c r="Q854" s="13" t="s">
        <v>1161</v>
      </c>
      <c r="R854" s="13" t="s">
        <v>275</v>
      </c>
      <c r="S854" s="13" t="s">
        <v>1140</v>
      </c>
    </row>
    <row r="855" spans="1:22" s="14" customFormat="1" ht="13.5" hidden="1" customHeight="1" ns3:dyDescent="0.25">
      <c r="A855" s="13" t="s">
        <v>278</v>
      </c>
      <c r="B855" s="25" t="str">
        <f t="shared" si="48"/>
      </c>
      <c r="C855" s="13" t="s">
        <v>322</v>
      </c>
      <c r="D855" s="13" t="s">
        <v>17</v>
      </c>
      <c r="E855" s="13" t="s">
        <v>55</v>
      </c>
      <c r="F855" s="13" t="s">
        <v>1165</v>
      </c>
      <c r="G855" s="13" t="s">
        <v>1146</v>
      </c>
      <c r="H855" s="13" t="str">
        <f>IFERROR(VLOOKUP(#REF!855,'정보화기기 명부'!A$2:B$187,2,FALSE),"")</f>
        <v/>
      </c>
      <c r="I855" s="13"/>
      <c r="J855" s="13"/>
      <c r="K855" s="13"/>
      <c r="L855" s="13">
        <v>20021001</v>
      </c>
      <c r="M855" s="13" t="s">
        <v>1155</v>
      </c>
      <c r="N855" s="13" t="s">
        <v>1193</v>
      </c>
      <c r="O855" s="13">
        <v>163</v>
      </c>
      <c r="P855" s="13" t="s">
        <v>677</v>
      </c>
      <c r="Q855" s="13" t="s">
        <v>1161</v>
      </c>
      <c r="R855" s="13" t="s">
        <v>275</v>
      </c>
      <c r="S855" s="13" t="s">
        <v>1140</v>
      </c>
    </row>
    <row r="856" spans="1:22" s="14" customFormat="1" ht="13.5" hidden="1" customHeight="1" ns3:dyDescent="0.25">
      <c r="A856" s="13" t="s">
        <v>278</v>
      </c>
      <c r="B856" s="25" t="str">
        <f t="shared" si="48"/>
      </c>
      <c r="C856" s="13" t="s">
        <v>322</v>
      </c>
      <c r="D856" s="13" t="s">
        <v>17</v>
      </c>
      <c r="E856" s="13" t="s">
        <v>55</v>
      </c>
      <c r="F856" s="13" t="s">
        <v>1165</v>
      </c>
      <c r="G856" s="13" t="s">
        <v>1146</v>
      </c>
      <c r="H856" s="13" t="str">
        <f>IFERROR(VLOOKUP(#REF!856,'정보화기기 명부'!A$2:B$187,2,FALSE),"")</f>
        <v/>
      </c>
      <c r="I856" s="13"/>
      <c r="J856" s="13"/>
      <c r="K856" s="13"/>
      <c r="L856" s="13">
        <v>20021001</v>
      </c>
      <c r="M856" s="13" t="s">
        <v>1155</v>
      </c>
      <c r="N856" s="13" t="s">
        <v>1193</v>
      </c>
      <c r="O856" s="13">
        <v>162</v>
      </c>
      <c r="P856" s="13" t="s">
        <v>677</v>
      </c>
      <c r="Q856" s="13" t="s">
        <v>1161</v>
      </c>
      <c r="R856" s="13" t="s">
        <v>275</v>
      </c>
      <c r="S856" s="13" t="s">
        <v>1140</v>
      </c>
    </row>
    <row r="857" spans="1:22" s="14" customFormat="1" ht="13.5" hidden="1" customHeight="1" ns3:dyDescent="0.25">
      <c r="A857" s="13" t="s">
        <v>278</v>
      </c>
      <c r="B857" s="25" t="str">
        <f t="shared" si="48"/>
      </c>
      <c r="C857" s="13" t="s">
        <v>322</v>
      </c>
      <c r="D857" s="13" t="s">
        <v>17</v>
      </c>
      <c r="E857" s="13" t="s">
        <v>55</v>
      </c>
      <c r="F857" s="13" t="s">
        <v>1165</v>
      </c>
      <c r="G857" s="13" t="s">
        <v>1146</v>
      </c>
      <c r="H857" s="13" t="str">
        <f>IFERROR(VLOOKUP(#REF!857,'정보화기기 명부'!A$2:B$187,2,FALSE),"")</f>
        <v/>
      </c>
      <c r="I857" s="13"/>
      <c r="J857" s="13"/>
      <c r="K857" s="13"/>
      <c r="L857" s="13">
        <v>20021001</v>
      </c>
      <c r="M857" s="13" t="s">
        <v>1155</v>
      </c>
      <c r="N857" s="13" t="s">
        <v>1193</v>
      </c>
      <c r="O857" s="13">
        <v>161</v>
      </c>
      <c r="P857" s="13" t="s">
        <v>677</v>
      </c>
      <c r="Q857" s="13" t="s">
        <v>1161</v>
      </c>
      <c r="R857" s="13" t="s">
        <v>275</v>
      </c>
      <c r="S857" s="13" t="s">
        <v>1140</v>
      </c>
    </row>
    <row r="858" spans="1:22" s="14" customFormat="1" ht="13.5" hidden="1" customHeight="1" ns3:dyDescent="0.25">
      <c r="A858" s="13" t="s">
        <v>278</v>
      </c>
      <c r="B858" s="25" t="str">
        <f t="shared" si="48"/>
      </c>
      <c r="C858" s="13" t="s">
        <v>322</v>
      </c>
      <c r="D858" s="13" t="s">
        <v>17</v>
      </c>
      <c r="E858" s="13" t="s">
        <v>55</v>
      </c>
      <c r="F858" s="13" t="s">
        <v>1165</v>
      </c>
      <c r="G858" s="13" t="s">
        <v>1146</v>
      </c>
      <c r="H858" s="13" t="str">
        <f>IFERROR(VLOOKUP(#REF!858,'정보화기기 명부'!A$2:B$187,2,FALSE),"")</f>
        <v/>
      </c>
      <c r="I858" s="13"/>
      <c r="J858" s="13"/>
      <c r="K858" s="13"/>
      <c r="L858" s="13">
        <v>20021001</v>
      </c>
      <c r="M858" s="13" t="s">
        <v>1155</v>
      </c>
      <c r="N858" s="13" t="s">
        <v>1193</v>
      </c>
      <c r="O858" s="13">
        <v>160</v>
      </c>
      <c r="P858" s="13" t="s">
        <v>677</v>
      </c>
      <c r="Q858" s="13" t="s">
        <v>1161</v>
      </c>
      <c r="R858" s="13" t="s">
        <v>275</v>
      </c>
      <c r="S858" s="13" t="s">
        <v>1140</v>
      </c>
    </row>
    <row r="859" spans="1:22" s="14" customFormat="1" ht="13.5" hidden="1" customHeight="1" ns3:dyDescent="0.25">
      <c r="A859" s="13" t="s">
        <v>278</v>
      </c>
      <c r="B859" s="25" t="str">
        <f t="shared" si="48"/>
      </c>
      <c r="C859" s="13" t="s">
        <v>322</v>
      </c>
      <c r="D859" s="13" t="s">
        <v>17</v>
      </c>
      <c r="E859" s="13" t="s">
        <v>55</v>
      </c>
      <c r="F859" s="13" t="s">
        <v>1165</v>
      </c>
      <c r="G859" s="13" t="s">
        <v>1146</v>
      </c>
      <c r="H859" s="13" t="str">
        <f>IFERROR(VLOOKUP(#REF!859,'정보화기기 명부'!A$2:B$187,2,FALSE),"")</f>
        <v/>
      </c>
      <c r="I859" s="13"/>
      <c r="J859" s="13"/>
      <c r="K859" s="13"/>
      <c r="L859" s="13">
        <v>20021001</v>
      </c>
      <c r="M859" s="13" t="s">
        <v>1155</v>
      </c>
      <c r="N859" s="13" t="s">
        <v>1193</v>
      </c>
      <c r="O859" s="13">
        <v>159</v>
      </c>
      <c r="P859" s="13" t="s">
        <v>677</v>
      </c>
      <c r="Q859" s="13" t="s">
        <v>1161</v>
      </c>
      <c r="R859" s="13" t="s">
        <v>275</v>
      </c>
      <c r="S859" s="13" t="s">
        <v>1140</v>
      </c>
    </row>
    <row r="860" spans="1:22" s="14" customFormat="1" ht="13.5" hidden="1" customHeight="1" ns3:dyDescent="0.25">
      <c r="A860" s="13" t="s">
        <v>278</v>
      </c>
      <c r="B860" s="25" t="str">
        <f t="shared" si="48"/>
      </c>
      <c r="C860" s="13" t="s">
        <v>322</v>
      </c>
      <c r="D860" s="13" t="s">
        <v>17</v>
      </c>
      <c r="E860" s="13" t="s">
        <v>55</v>
      </c>
      <c r="F860" s="13" t="s">
        <v>1165</v>
      </c>
      <c r="G860" s="13" t="s">
        <v>1146</v>
      </c>
      <c r="H860" s="13" t="str">
        <f>IFERROR(VLOOKUP(#REF!860,'정보화기기 명부'!A$2:B$187,2,FALSE),"")</f>
        <v/>
      </c>
      <c r="I860" s="13"/>
      <c r="J860" s="13"/>
      <c r="K860" s="13"/>
      <c r="L860" s="13">
        <v>20021001</v>
      </c>
      <c r="M860" s="13" t="s">
        <v>1155</v>
      </c>
      <c r="N860" s="13" t="s">
        <v>1193</v>
      </c>
      <c r="O860" s="13">
        <v>158</v>
      </c>
      <c r="P860" s="13" t="s">
        <v>677</v>
      </c>
      <c r="Q860" s="13" t="s">
        <v>1161</v>
      </c>
      <c r="R860" s="13" t="s">
        <v>275</v>
      </c>
      <c r="S860" s="13" t="s">
        <v>1140</v>
      </c>
    </row>
    <row r="861" spans="1:22" s="14" customFormat="1" ht="13.5" hidden="1" customHeight="1" ns3:dyDescent="0.25">
      <c r="A861" s="13" t="s">
        <v>278</v>
      </c>
      <c r="B861" s="25" t="str">
        <f t="shared" si="48"/>
      </c>
      <c r="C861" s="13" t="s">
        <v>322</v>
      </c>
      <c r="D861" s="13" t="s">
        <v>17</v>
      </c>
      <c r="E861" s="13" t="s">
        <v>55</v>
      </c>
      <c r="F861" s="13" t="s">
        <v>1165</v>
      </c>
      <c r="G861" s="13" t="s">
        <v>1146</v>
      </c>
      <c r="H861" s="13" t="str">
        <f>IFERROR(VLOOKUP(#REF!861,'정보화기기 명부'!A$2:B$187,2,FALSE),"")</f>
        <v/>
      </c>
      <c r="I861" s="13"/>
      <c r="J861" s="13"/>
      <c r="K861" s="13"/>
      <c r="L861" s="13">
        <v>20021001</v>
      </c>
      <c r="M861" s="13" t="s">
        <v>1155</v>
      </c>
      <c r="N861" s="13" t="s">
        <v>1193</v>
      </c>
      <c r="O861" s="13">
        <v>157</v>
      </c>
      <c r="P861" s="13" t="s">
        <v>677</v>
      </c>
      <c r="Q861" s="13" t="s">
        <v>1161</v>
      </c>
      <c r="R861" s="13" t="s">
        <v>275</v>
      </c>
      <c r="S861" s="13" t="s">
        <v>1140</v>
      </c>
    </row>
    <row r="862" spans="1:22" s="14" customFormat="1" ht="13.5" hidden="1" customHeight="1" ns3:dyDescent="0.25">
      <c r="A862" s="13" t="s">
        <v>278</v>
      </c>
      <c r="B862" s="25" t="str">
        <f t="shared" si="48"/>
      </c>
      <c r="C862" s="13" t="s">
        <v>322</v>
      </c>
      <c r="D862" s="13" t="s">
        <v>17</v>
      </c>
      <c r="E862" s="13" t="s">
        <v>55</v>
      </c>
      <c r="F862" s="13" t="s">
        <v>1165</v>
      </c>
      <c r="G862" s="13" t="s">
        <v>1146</v>
      </c>
      <c r="H862" s="13" t="str">
        <f>IFERROR(VLOOKUP(#REF!862,'정보화기기 명부'!A$2:B$187,2,FALSE),"")</f>
        <v/>
      </c>
      <c r="I862" s="13"/>
      <c r="J862" s="13"/>
      <c r="K862" s="13"/>
      <c r="L862" s="13">
        <v>20021001</v>
      </c>
      <c r="M862" s="13" t="s">
        <v>1155</v>
      </c>
      <c r="N862" s="13" t="s">
        <v>1193</v>
      </c>
      <c r="O862" s="13">
        <v>156</v>
      </c>
      <c r="P862" s="13" t="s">
        <v>677</v>
      </c>
      <c r="Q862" s="13" t="s">
        <v>1161</v>
      </c>
      <c r="R862" s="13" t="s">
        <v>275</v>
      </c>
      <c r="S862" s="13" t="s">
        <v>1140</v>
      </c>
    </row>
    <row r="863" spans="1:22" s="14" customFormat="1" ht="13.5" hidden="1" customHeight="1" ns3:dyDescent="0.25">
      <c r="A863" s="13" t="s">
        <v>278</v>
      </c>
      <c r="B863" s="25" t="str">
        <f t="shared" si="48"/>
      </c>
      <c r="C863" s="13" t="s">
        <v>322</v>
      </c>
      <c r="D863" s="13" t="s">
        <v>17</v>
      </c>
      <c r="E863" s="13" t="s">
        <v>55</v>
      </c>
      <c r="F863" s="13" t="s">
        <v>1165</v>
      </c>
      <c r="G863" s="13" t="s">
        <v>1146</v>
      </c>
      <c r="H863" s="13" t="str">
        <f>IFERROR(VLOOKUP(#REF!863,'정보화기기 명부'!A$2:B$187,2,FALSE),"")</f>
        <v/>
      </c>
      <c r="I863" s="13"/>
      <c r="J863" s="13"/>
      <c r="K863" s="13"/>
      <c r="L863" s="13">
        <v>20021001</v>
      </c>
      <c r="M863" s="13" t="s">
        <v>1155</v>
      </c>
      <c r="N863" s="13" t="s">
        <v>1193</v>
      </c>
      <c r="O863" s="13">
        <v>155</v>
      </c>
      <c r="P863" s="13" t="s">
        <v>677</v>
      </c>
      <c r="Q863" s="13" t="s">
        <v>1161</v>
      </c>
      <c r="R863" s="13" t="s">
        <v>275</v>
      </c>
      <c r="S863" s="13" t="s">
        <v>1140</v>
      </c>
    </row>
    <row r="864" spans="1:22" s="14" customFormat="1" ht="13.5" hidden="1" customHeight="1" ns3:dyDescent="0.25">
      <c r="A864" s="13" t="s">
        <v>278</v>
      </c>
      <c r="B864" s="25" t="str">
        <f t="shared" si="48"/>
      </c>
      <c r="C864" s="13" t="s">
        <v>322</v>
      </c>
      <c r="D864" s="13" t="s">
        <v>17</v>
      </c>
      <c r="E864" s="13" t="s">
        <v>55</v>
      </c>
      <c r="F864" s="13" t="s">
        <v>1165</v>
      </c>
      <c r="G864" s="13" t="s">
        <v>1146</v>
      </c>
      <c r="H864" s="13" t="str">
        <f>IFERROR(VLOOKUP(#REF!864,'정보화기기 명부'!A$2:B$187,2,FALSE),"")</f>
        <v/>
      </c>
      <c r="I864" s="13"/>
      <c r="J864" s="13"/>
      <c r="K864" s="13"/>
      <c r="L864" s="13">
        <v>20021001</v>
      </c>
      <c r="M864" s="13" t="s">
        <v>1155</v>
      </c>
      <c r="N864" s="13" t="s">
        <v>1193</v>
      </c>
      <c r="O864" s="13">
        <v>154</v>
      </c>
      <c r="P864" s="13" t="s">
        <v>677</v>
      </c>
      <c r="Q864" s="13" t="s">
        <v>1161</v>
      </c>
      <c r="R864" s="13" t="s">
        <v>275</v>
      </c>
      <c r="S864" s="13" t="s">
        <v>1140</v>
      </c>
    </row>
    <row r="865" spans="1:22" s="14" customFormat="1" ht="13.5" hidden="1" customHeight="1" ns3:dyDescent="0.25">
      <c r="A865" s="13" t="s">
        <v>278</v>
      </c>
      <c r="B865" s="25" t="str">
        <f t="shared" si="48"/>
      </c>
      <c r="C865" s="13" t="s">
        <v>322</v>
      </c>
      <c r="D865" s="13" t="s">
        <v>17</v>
      </c>
      <c r="E865" s="13" t="s">
        <v>55</v>
      </c>
      <c r="F865" s="13" t="s">
        <v>1165</v>
      </c>
      <c r="G865" s="13" t="s">
        <v>1146</v>
      </c>
      <c r="H865" s="13" t="str">
        <f>IFERROR(VLOOKUP(#REF!865,'정보화기기 명부'!A$2:B$187,2,FALSE),"")</f>
        <v/>
      </c>
      <c r="I865" s="13"/>
      <c r="J865" s="13"/>
      <c r="K865" s="13"/>
      <c r="L865" s="13">
        <v>20021001</v>
      </c>
      <c r="M865" s="13" t="s">
        <v>1155</v>
      </c>
      <c r="N865" s="13" t="s">
        <v>1193</v>
      </c>
      <c r="O865" s="13">
        <v>153</v>
      </c>
      <c r="P865" s="13" t="s">
        <v>677</v>
      </c>
      <c r="Q865" s="13" t="s">
        <v>1161</v>
      </c>
      <c r="R865" s="13" t="s">
        <v>275</v>
      </c>
      <c r="S865" s="13" t="s">
        <v>1140</v>
      </c>
    </row>
    <row r="866" spans="1:22" s="14" customFormat="1" ht="13.5" hidden="1" customHeight="1" ns3:dyDescent="0.25">
      <c r="A866" s="13" t="s">
        <v>278</v>
      </c>
      <c r="B866" s="25" t="str">
        <f t="shared" si="48"/>
      </c>
      <c r="C866" s="13" t="s">
        <v>322</v>
      </c>
      <c r="D866" s="13" t="s">
        <v>17</v>
      </c>
      <c r="E866" s="13" t="s">
        <v>55</v>
      </c>
      <c r="F866" s="13" t="s">
        <v>1165</v>
      </c>
      <c r="G866" s="13" t="s">
        <v>1146</v>
      </c>
      <c r="H866" s="13" t="str">
        <f>IFERROR(VLOOKUP(#REF!866,'정보화기기 명부'!A$2:B$187,2,FALSE),"")</f>
        <v/>
      </c>
      <c r="I866" s="13"/>
      <c r="J866" s="13"/>
      <c r="K866" s="13"/>
      <c r="L866" s="13">
        <v>20021001</v>
      </c>
      <c r="M866" s="13" t="s">
        <v>1155</v>
      </c>
      <c r="N866" s="13" t="s">
        <v>1193</v>
      </c>
      <c r="O866" s="13">
        <v>152</v>
      </c>
      <c r="P866" s="13" t="s">
        <v>677</v>
      </c>
      <c r="Q866" s="13" t="s">
        <v>1161</v>
      </c>
      <c r="R866" s="13" t="s">
        <v>275</v>
      </c>
      <c r="S866" s="13" t="s">
        <v>1140</v>
      </c>
    </row>
    <row r="867" spans="1:22" s="14" customFormat="1" ht="13.5" hidden="1" customHeight="1" ns3:dyDescent="0.25">
      <c r="A867" s="13" t="s">
        <v>278</v>
      </c>
      <c r="B867" s="25" t="str">
        <f t="shared" si="48"/>
      </c>
      <c r="C867" s="13" t="s">
        <v>322</v>
      </c>
      <c r="D867" s="13" t="s">
        <v>17</v>
      </c>
      <c r="E867" s="13" t="s">
        <v>55</v>
      </c>
      <c r="F867" s="13" t="s">
        <v>1165</v>
      </c>
      <c r="G867" s="13" t="s">
        <v>1146</v>
      </c>
      <c r="H867" s="13" t="str">
        <f>IFERROR(VLOOKUP(#REF!867,'정보화기기 명부'!A$2:B$187,2,FALSE),"")</f>
        <v/>
      </c>
      <c r="I867" s="13"/>
      <c r="J867" s="13"/>
      <c r="K867" s="13"/>
      <c r="L867" s="13">
        <v>20021001</v>
      </c>
      <c r="M867" s="13" t="s">
        <v>1155</v>
      </c>
      <c r="N867" s="13" t="s">
        <v>1193</v>
      </c>
      <c r="O867" s="13">
        <v>151</v>
      </c>
      <c r="P867" s="13" t="s">
        <v>677</v>
      </c>
      <c r="Q867" s="13" t="s">
        <v>1161</v>
      </c>
      <c r="R867" s="13" t="s">
        <v>275</v>
      </c>
      <c r="S867" s="13" t="s">
        <v>1140</v>
      </c>
    </row>
    <row r="868" spans="1:22" s="14" customFormat="1" ht="13.5" hidden="1" customHeight="1" ns3:dyDescent="0.25">
      <c r="A868" s="13" t="s">
        <v>278</v>
      </c>
      <c r="B868" s="25" t="str">
        <f t="shared" si="48"/>
      </c>
      <c r="C868" s="13" t="s">
        <v>322</v>
      </c>
      <c r="D868" s="13" t="s">
        <v>17</v>
      </c>
      <c r="E868" s="13" t="s">
        <v>55</v>
      </c>
      <c r="F868" s="13" t="s">
        <v>1165</v>
      </c>
      <c r="G868" s="13" t="s">
        <v>1146</v>
      </c>
      <c r="H868" s="13" t="str">
        <f>IFERROR(VLOOKUP(#REF!868,'정보화기기 명부'!A$2:B$187,2,FALSE),"")</f>
        <v/>
      </c>
      <c r="I868" s="13"/>
      <c r="J868" s="13"/>
      <c r="K868" s="13"/>
      <c r="L868" s="13">
        <v>20021001</v>
      </c>
      <c r="M868" s="13" t="s">
        <v>1155</v>
      </c>
      <c r="N868" s="13" t="s">
        <v>1193</v>
      </c>
      <c r="O868" s="13">
        <v>150</v>
      </c>
      <c r="P868" s="13" t="s">
        <v>677</v>
      </c>
      <c r="Q868" s="13" t="s">
        <v>1161</v>
      </c>
      <c r="R868" s="13" t="s">
        <v>275</v>
      </c>
      <c r="S868" s="13" t="s">
        <v>1140</v>
      </c>
    </row>
    <row r="869" spans="1:22" s="14" customFormat="1" ht="13.5" hidden="1" customHeight="1" ns3:dyDescent="0.25">
      <c r="A869" s="13" t="s">
        <v>278</v>
      </c>
      <c r="B869" s="25" t="str">
        <f t="shared" si="48"/>
      </c>
      <c r="C869" s="13" t="s">
        <v>322</v>
      </c>
      <c r="D869" s="13" t="s">
        <v>17</v>
      </c>
      <c r="E869" s="13" t="s">
        <v>55</v>
      </c>
      <c r="F869" s="13" t="s">
        <v>1165</v>
      </c>
      <c r="G869" s="13" t="s">
        <v>1146</v>
      </c>
      <c r="H869" s="13" t="str">
        <f>IFERROR(VLOOKUP(#REF!869,'정보화기기 명부'!A$2:B$187,2,FALSE),"")</f>
        <v/>
      </c>
      <c r="I869" s="13"/>
      <c r="J869" s="13"/>
      <c r="K869" s="13"/>
      <c r="L869" s="13">
        <v>20021001</v>
      </c>
      <c r="M869" s="13" t="s">
        <v>1155</v>
      </c>
      <c r="N869" s="13" t="s">
        <v>1193</v>
      </c>
      <c r="O869" s="13">
        <v>149</v>
      </c>
      <c r="P869" s="13" t="s">
        <v>677</v>
      </c>
      <c r="Q869" s="13" t="s">
        <v>1161</v>
      </c>
      <c r="R869" s="13" t="s">
        <v>275</v>
      </c>
      <c r="S869" s="13" t="s">
        <v>1140</v>
      </c>
    </row>
    <row r="870" spans="1:22" s="14" customFormat="1" ht="13.5" hidden="1" customHeight="1" ns3:dyDescent="0.25">
      <c r="A870" s="13" t="s">
        <v>278</v>
      </c>
      <c r="B870" s="25" t="str">
        <f t="shared" si="48"/>
      </c>
      <c r="C870" s="13" t="s">
        <v>322</v>
      </c>
      <c r="D870" s="13" t="s">
        <v>17</v>
      </c>
      <c r="E870" s="13" t="s">
        <v>55</v>
      </c>
      <c r="F870" s="13" t="s">
        <v>1165</v>
      </c>
      <c r="G870" s="13" t="s">
        <v>1146</v>
      </c>
      <c r="H870" s="13" t="str">
        <f>IFERROR(VLOOKUP(#REF!870,'정보화기기 명부'!A$2:B$187,2,FALSE),"")</f>
        <v/>
      </c>
      <c r="I870" s="13"/>
      <c r="J870" s="13"/>
      <c r="K870" s="13"/>
      <c r="L870" s="13">
        <v>20021001</v>
      </c>
      <c r="M870" s="13" t="s">
        <v>1155</v>
      </c>
      <c r="N870" s="13" t="s">
        <v>1193</v>
      </c>
      <c r="O870" s="13">
        <v>148</v>
      </c>
      <c r="P870" s="13" t="s">
        <v>677</v>
      </c>
      <c r="Q870" s="13" t="s">
        <v>1161</v>
      </c>
      <c r="R870" s="13" t="s">
        <v>275</v>
      </c>
      <c r="S870" s="13" t="s">
        <v>1140</v>
      </c>
    </row>
    <row r="871" spans="1:22" s="14" customFormat="1" ht="13.5" hidden="1" customHeight="1" ns3:dyDescent="0.25">
      <c r="A871" s="13" t="s">
        <v>278</v>
      </c>
      <c r="B871" s="25" t="str">
        <f t="shared" si="48"/>
      </c>
      <c r="C871" s="13" t="s">
        <v>322</v>
      </c>
      <c r="D871" s="13" t="s">
        <v>17</v>
      </c>
      <c r="E871" s="13" t="s">
        <v>55</v>
      </c>
      <c r="F871" s="13" t="s">
        <v>1165</v>
      </c>
      <c r="G871" s="13" t="s">
        <v>1146</v>
      </c>
      <c r="H871" s="13" t="str">
        <f>IFERROR(VLOOKUP(#REF!871,'정보화기기 명부'!A$2:B$187,2,FALSE),"")</f>
        <v/>
      </c>
      <c r="I871" s="13"/>
      <c r="J871" s="13"/>
      <c r="K871" s="13"/>
      <c r="L871" s="13">
        <v>20021001</v>
      </c>
      <c r="M871" s="13" t="s">
        <v>1155</v>
      </c>
      <c r="N871" s="13" t="s">
        <v>1193</v>
      </c>
      <c r="O871" s="13">
        <v>147</v>
      </c>
      <c r="P871" s="13" t="s">
        <v>677</v>
      </c>
      <c r="Q871" s="13" t="s">
        <v>1161</v>
      </c>
      <c r="R871" s="13" t="s">
        <v>275</v>
      </c>
      <c r="S871" s="13" t="s">
        <v>1140</v>
      </c>
    </row>
    <row r="872" spans="1:22" s="14" customFormat="1" ht="13.5" customHeight="1" ns3:dyDescent="0.25">
      <c r="A872" s="13" t="s">
        <v>164</v>
      </c>
      <c r="B872" s="25" t="str">
        <f t="shared" si="48"/>
      </c>
      <c r="C872" s="13" t="s">
        <v>102</v>
      </c>
      <c r="D872" s="13" t="s">
        <v>17</v>
      </c>
      <c r="E872" s="13" t="s">
        <v>8</v>
      </c>
      <c r="F872" s="13" t="s">
        <v>610</v>
      </c>
      <c r="G872" s="13" t="s">
        <v>41</v>
      </c>
      <c r="H872" s="13" t="str">
        <f>IFERROR(VLOOKUP(#REF!872,'정보화기기 명부'!A$2:B$187,2,FALSE),"")</f>
        <v/>
      </c>
      <c r="I872" s="13"/>
      <c r="J872" s="13"/>
      <c r="K872" s="13"/>
      <c r="L872" s="13">
        <v>20020628</v>
      </c>
      <c r="M872" s="13" t="s">
        <v>675</v>
      </c>
      <c r="N872" s="13" t="s">
        <v>1186</v>
      </c>
      <c r="O872" s="13">
        <v>194</v>
      </c>
      <c r="P872" s="13" t="s">
        <v>495</v>
      </c>
      <c r="Q872" s="13" t="s">
        <v>1138</v>
      </c>
      <c r="R872" s="13" t="s">
        <v>274</v>
      </c>
      <c r="S872" s="13" t="s">
        <v>284</v>
      </c>
    </row>
    <row r="873" spans="1:22" s="14" customFormat="1" ht="13.5" customHeight="1" ns3:dyDescent="0.25">
      <c r="A873" s="13" t="s">
        <v>46</v>
      </c>
      <c r="B873" s="25" t="str">
        <f t="shared" si="48"/>
      </c>
      <c r="C873" s="13" t="s">
        <v>102</v>
      </c>
      <c r="D873" s="13" t="s">
        <v>17</v>
      </c>
      <c r="E873" s="13" t="s">
        <v>8</v>
      </c>
      <c r="F873" s="13" t="s">
        <v>610</v>
      </c>
      <c r="G873" s="13" t="s">
        <v>41</v>
      </c>
      <c r="H873" s="13" t="str">
        <f>IFERROR(VLOOKUP(#REF!873,'정보화기기 명부'!A$2:B$187,2,FALSE),"")</f>
        <v/>
      </c>
      <c r="I873" s="13"/>
      <c r="J873" s="13"/>
      <c r="K873" s="13"/>
      <c r="L873" s="13">
        <v>20020628</v>
      </c>
      <c r="M873" s="13" t="s">
        <v>675</v>
      </c>
      <c r="N873" s="13" t="s">
        <v>1186</v>
      </c>
      <c r="O873" s="13">
        <v>97</v>
      </c>
      <c r="P873" s="13" t="s">
        <v>495</v>
      </c>
      <c r="Q873" s="13" t="s">
        <v>1138</v>
      </c>
      <c r="R873" s="13" t="s">
        <v>274</v>
      </c>
      <c r="S873" s="13" t="s">
        <v>284</v>
      </c>
    </row>
    <row r="874" spans="1:22" s="14" customFormat="1" ht="13.5" customHeight="1" ns3:dyDescent="0.25">
      <c r="A874" s="13" t="s">
        <v>260</v>
      </c>
      <c r="B874" s="25" t="str">
        <f t="shared" si="48"/>
      </c>
      <c r="C874" s="13" t="s">
        <v>102</v>
      </c>
      <c r="D874" s="13" t="s">
        <v>17</v>
      </c>
      <c r="E874" s="13" t="s">
        <v>8</v>
      </c>
      <c r="F874" s="13" t="s">
        <v>610</v>
      </c>
      <c r="G874" s="13" t="s">
        <v>41</v>
      </c>
      <c r="H874" s="13" t="str">
        <f>IFERROR(VLOOKUP(#REF!874,'정보화기기 명부'!A$2:B$187,2,FALSE),"")</f>
        <v/>
      </c>
      <c r="I874" s="13"/>
      <c r="J874" s="13"/>
      <c r="K874" s="13"/>
      <c r="L874" s="13">
        <v>20020628</v>
      </c>
      <c r="M874" s="13" t="s">
        <v>675</v>
      </c>
      <c r="N874" s="13" t="s">
        <v>1186</v>
      </c>
      <c r="O874" s="13">
        <v>75</v>
      </c>
      <c r="P874" s="13" t="s">
        <v>495</v>
      </c>
      <c r="Q874" s="13" t="s">
        <v>1138</v>
      </c>
      <c r="R874" s="13" t="s">
        <v>274</v>
      </c>
      <c r="S874" s="13" t="s">
        <v>284</v>
      </c>
    </row>
    <row r="875" spans="1:22" s="14" customFormat="1" ht="13.5" customHeight="1" ns3:dyDescent="0.25">
      <c r="A875" s="13" t="s">
        <v>247</v>
      </c>
      <c r="B875" s="25" t="str">
        <f t="shared" si="48"/>
      </c>
      <c r="C875" s="13" t="s">
        <v>102</v>
      </c>
      <c r="D875" s="13" t="s">
        <v>17</v>
      </c>
      <c r="E875" s="13" t="s">
        <v>8</v>
      </c>
      <c r="F875" s="13" t="s">
        <v>610</v>
      </c>
      <c r="G875" s="13" t="s">
        <v>41</v>
      </c>
      <c r="H875" s="13" t="str">
        <f>IFERROR(VLOOKUP(#REF!875,'정보화기기 명부'!A$2:B$187,2,FALSE),"")</f>
        <v/>
      </c>
      <c r="I875" s="13"/>
      <c r="J875" s="13"/>
      <c r="K875" s="13"/>
      <c r="L875" s="13">
        <v>20020628</v>
      </c>
      <c r="M875" s="13" t="s">
        <v>675</v>
      </c>
      <c r="N875" s="13" t="s">
        <v>1186</v>
      </c>
      <c r="O875" s="13">
        <v>60</v>
      </c>
      <c r="P875" s="13" t="s">
        <v>495</v>
      </c>
      <c r="Q875" s="13" t="s">
        <v>1138</v>
      </c>
      <c r="R875" s="13" t="s">
        <v>274</v>
      </c>
      <c r="S875" s="13" t="s">
        <v>284</v>
      </c>
    </row>
    <row r="876" spans="1:22" s="14" customFormat="1" ht="13.5" customHeight="1" ns3:dyDescent="0.25">
      <c r="A876" s="13" t="s">
        <v>164</v>
      </c>
      <c r="B876" s="25" t="str">
        <f t="shared" si="48"/>
      </c>
      <c r="C876" s="13" t="s">
        <v>102</v>
      </c>
      <c r="D876" s="13" t="s">
        <v>17</v>
      </c>
      <c r="E876" s="13" t="s">
        <v>8</v>
      </c>
      <c r="F876" s="13" t="s">
        <v>610</v>
      </c>
      <c r="G876" s="13" t="s">
        <v>41</v>
      </c>
      <c r="H876" s="13" t="str">
        <f>IFERROR(VLOOKUP(#REF!876,'정보화기기 명부'!A$2:B$187,2,FALSE),"")</f>
        <v/>
      </c>
      <c r="I876" s="13"/>
      <c r="J876" s="13"/>
      <c r="K876" s="13"/>
      <c r="L876" s="13">
        <v>20020628</v>
      </c>
      <c r="M876" s="13" t="s">
        <v>675</v>
      </c>
      <c r="N876" s="13" t="s">
        <v>1186</v>
      </c>
      <c r="O876" s="13">
        <v>59</v>
      </c>
      <c r="P876" s="13" t="s">
        <v>495</v>
      </c>
      <c r="Q876" s="13" t="s">
        <v>1138</v>
      </c>
      <c r="R876" s="13" t="s">
        <v>274</v>
      </c>
      <c r="S876" s="13" t="s">
        <v>284</v>
      </c>
    </row>
    <row r="877" spans="1:22" s="14" customFormat="1" ht="13.5" hidden="1" customHeight="1" ns3:dyDescent="0.25">
      <c r="A877" s="13" t="s">
        <v>211</v>
      </c>
      <c r="B877" s="25" t="str">
        <f t="shared" si="48"/>
      </c>
      <c r="C877" s="13" t="s">
        <v>1147</v>
      </c>
      <c r="D877" s="13" t="s">
        <v>17</v>
      </c>
      <c r="E877" s="13" t="s">
        <v>8</v>
      </c>
      <c r="F877" s="13" t="s">
        <v>1703</v>
      </c>
      <c r="G877" s="13" t="s">
        <v>41</v>
      </c>
      <c r="H877" s="13" t="str">
        <f>IFERROR(VLOOKUP(#REF!877,'정보화기기 명부'!A$2:B$187,2,FALSE),"")</f>
        <v/>
      </c>
      <c r="I877" s="13"/>
      <c r="J877" s="13"/>
      <c r="K877" s="13"/>
      <c r="L877" s="13">
        <v>20020628</v>
      </c>
      <c r="M877" s="13" t="s">
        <v>675</v>
      </c>
      <c r="N877" s="13" t="s">
        <v>1186</v>
      </c>
      <c r="O877" s="13">
        <v>57</v>
      </c>
      <c r="P877" s="13" t="s">
        <v>683</v>
      </c>
      <c r="Q877" s="13" t="s">
        <v>1149</v>
      </c>
      <c r="R877" s="13" t="s">
        <v>298</v>
      </c>
      <c r="S877" s="13" t="s">
        <v>261</v>
      </c>
    </row>
    <row r="878" spans="1:22" s="14" customFormat="1" ht="13.5" customHeight="1" ns3:dyDescent="0.25">
      <c r="A878" s="13" t="s">
        <v>248</v>
      </c>
      <c r="B878" s="25" t="str">
        <f t="shared" si="48"/>
      </c>
      <c r="C878" s="13" t="s">
        <v>102</v>
      </c>
      <c r="D878" s="13" t="s">
        <v>17</v>
      </c>
      <c r="E878" s="13" t="s">
        <v>120</v>
      </c>
      <c r="F878" s="13" t="s">
        <v>610</v>
      </c>
      <c r="G878" s="13" t="s">
        <v>41</v>
      </c>
      <c r="H878" s="13" t="str">
        <f>IFERROR(VLOOKUP(#REF!878,'정보화기기 명부'!A$2:B$187,2,FALSE),"")</f>
        <v/>
      </c>
      <c r="I878" s="13"/>
      <c r="J878" s="13"/>
      <c r="K878" s="13"/>
      <c r="L878" s="13">
        <v>20020628</v>
      </c>
      <c r="M878" s="13" t="s">
        <v>675</v>
      </c>
      <c r="N878" s="13" t="s">
        <v>1186</v>
      </c>
      <c r="O878" s="13">
        <v>28</v>
      </c>
      <c r="P878" s="13" t="s">
        <v>495</v>
      </c>
      <c r="Q878" s="13" t="s">
        <v>1138</v>
      </c>
      <c r="R878" s="13" t="s">
        <v>274</v>
      </c>
      <c r="S878" s="13" t="s">
        <v>284</v>
      </c>
    </row>
    <row r="879" spans="1:22" s="14" customFormat="1" ht="13.5" customHeight="1" ns3:dyDescent="0.25">
      <c r="A879" s="13" t="s">
        <v>265</v>
      </c>
      <c r="B879" s="25" t="str">
        <f t="shared" si="48"/>
      </c>
      <c r="C879" s="13" t="s">
        <v>102</v>
      </c>
      <c r="D879" s="13" t="s">
        <v>17</v>
      </c>
      <c r="E879" s="13" t="s">
        <v>120</v>
      </c>
      <c r="F879" s="13" t="s">
        <v>610</v>
      </c>
      <c r="G879" s="13" t="s">
        <v>41</v>
      </c>
      <c r="H879" s="13" t="str">
        <f>IFERROR(VLOOKUP(#REF!879,'정보화기기 명부'!A$2:B$187,2,FALSE),"")</f>
        <v/>
      </c>
      <c r="I879" s="13"/>
      <c r="J879" s="13"/>
      <c r="K879" s="13"/>
      <c r="L879" s="13">
        <v>20020628</v>
      </c>
      <c r="M879" s="13" t="s">
        <v>675</v>
      </c>
      <c r="N879" s="13" t="s">
        <v>1186</v>
      </c>
      <c r="O879" s="13">
        <v>27</v>
      </c>
      <c r="P879" s="13" t="s">
        <v>495</v>
      </c>
      <c r="Q879" s="13" t="s">
        <v>1138</v>
      </c>
      <c r="R879" s="13" t="s">
        <v>274</v>
      </c>
      <c r="S879" s="13" t="s">
        <v>284</v>
      </c>
    </row>
    <row r="880" spans="1:22" s="14" customFormat="1" ht="13.5" customHeight="1" ns3:dyDescent="0.25">
      <c r="A880" s="13" t="s">
        <v>18</v>
      </c>
      <c r="B880" s="25" t="str">
        <f t="shared" si="48"/>
      </c>
      <c r="C880" s="13" t="s">
        <v>102</v>
      </c>
      <c r="D880" s="13" t="s">
        <v>17</v>
      </c>
      <c r="E880" s="13" t="s">
        <v>8</v>
      </c>
      <c r="F880" s="13" t="s">
        <v>610</v>
      </c>
      <c r="G880" s="13" t="s">
        <v>41</v>
      </c>
      <c r="H880" s="13" t="str">
        <f>IFERROR(VLOOKUP(#REF!880,'정보화기기 명부'!A$2:B$187,2,FALSE),"")</f>
        <v>진로진학상담부</v>
      </c>
      <c r="I880" s="13"/>
      <c r="J880" s="13"/>
      <c r="K880" s="13"/>
      <c r="L880" s="13">
        <v>20020628</v>
      </c>
      <c r="M880" s="13" t="s">
        <v>675</v>
      </c>
      <c r="N880" s="13" t="s">
        <v>1186</v>
      </c>
      <c r="O880" s="13">
        <v>26</v>
      </c>
      <c r="P880" s="13" t="s">
        <v>495</v>
      </c>
      <c r="Q880" s="13" t="s">
        <v>1138</v>
      </c>
      <c r="R880" s="13" t="s">
        <v>274</v>
      </c>
      <c r="S880" s="13" t="s">
        <v>284</v>
      </c>
    </row>
    <row r="881" spans="1:22" s="14" customFormat="1" ht="13.5" customHeight="1" ns3:dyDescent="0.25">
      <c r="A881" s="13" t="s">
        <v>271</v>
      </c>
      <c r="B881" s="25" t="str">
        <f t="shared" si="48"/>
      </c>
      <c r="C881" s="13" t="s">
        <v>102</v>
      </c>
      <c r="D881" s="13" t="s">
        <v>17</v>
      </c>
      <c r="E881" s="13" t="s">
        <v>120</v>
      </c>
      <c r="F881" s="13" t="s">
        <v>610</v>
      </c>
      <c r="G881" s="13" t="s">
        <v>41</v>
      </c>
      <c r="H881" s="13" t="str">
        <f>IFERROR(VLOOKUP(#REF!881,'정보화기기 명부'!A$2:B$187,2,FALSE),"")</f>
        <v/>
      </c>
      <c r="I881" s="13"/>
      <c r="J881" s="13"/>
      <c r="K881" s="13"/>
      <c r="L881" s="13">
        <v>20020628</v>
      </c>
      <c r="M881" s="13" t="s">
        <v>675</v>
      </c>
      <c r="N881" s="13" t="s">
        <v>1186</v>
      </c>
      <c r="O881" s="13">
        <v>25</v>
      </c>
      <c r="P881" s="13" t="s">
        <v>495</v>
      </c>
      <c r="Q881" s="13" t="s">
        <v>1138</v>
      </c>
      <c r="R881" s="13" t="s">
        <v>274</v>
      </c>
      <c r="S881" s="13" t="s">
        <v>284</v>
      </c>
    </row>
    <row r="882" spans="1:22" s="14" customFormat="1" ht="13.5" customHeight="1" ns3:dyDescent="0.25">
      <c r="A882" s="13" t="s">
        <v>217</v>
      </c>
      <c r="B882" s="25" t="str">
        <f t="shared" ref="B882:B945" si="51">LEFT(L882,6)&amp;"-"&amp;TEXT(O882,"0000")</f>
      </c>
      <c r="C882" s="13" t="s">
        <v>102</v>
      </c>
      <c r="D882" s="13" t="s">
        <v>17</v>
      </c>
      <c r="E882" s="13" t="s">
        <v>120</v>
      </c>
      <c r="F882" s="13" t="s">
        <v>610</v>
      </c>
      <c r="G882" s="13" t="s">
        <v>41</v>
      </c>
      <c r="H882" s="13" t="str">
        <f>IFERROR(VLOOKUP(#REF!882,'정보화기기 명부'!A$2:B$187,2,FALSE),"")</f>
        <v/>
      </c>
      <c r="I882" s="13"/>
      <c r="J882" s="13"/>
      <c r="K882" s="13"/>
      <c r="L882" s="13">
        <v>20020628</v>
      </c>
      <c r="M882" s="13" t="s">
        <v>675</v>
      </c>
      <c r="N882" s="13" t="s">
        <v>1186</v>
      </c>
      <c r="O882" s="13">
        <v>24</v>
      </c>
      <c r="P882" s="13" t="s">
        <v>495</v>
      </c>
      <c r="Q882" s="13" t="s">
        <v>1138</v>
      </c>
      <c r="R882" s="13" t="s">
        <v>274</v>
      </c>
      <c r="S882" s="13" t="s">
        <v>284</v>
      </c>
    </row>
    <row r="883" spans="1:22" s="14" customFormat="1" ht="13.5" customHeight="1" ns3:dyDescent="0.25">
      <c r="A883" s="13" t="s">
        <v>300</v>
      </c>
      <c r="B883" s="25" t="str">
        <f t="shared" si="51"/>
      </c>
      <c r="C883" s="13" t="s">
        <v>102</v>
      </c>
      <c r="D883" s="13" t="s">
        <v>17</v>
      </c>
      <c r="E883" s="13" t="s">
        <v>120</v>
      </c>
      <c r="F883" s="13" t="s">
        <v>610</v>
      </c>
      <c r="G883" s="13" t="s">
        <v>41</v>
      </c>
      <c r="H883" s="13" t="str">
        <f>IFERROR(VLOOKUP(#REF!883,'정보화기기 명부'!A$2:B$187,2,FALSE),"")</f>
        <v/>
      </c>
      <c r="I883" s="13"/>
      <c r="J883" s="13"/>
      <c r="K883" s="13"/>
      <c r="L883" s="13">
        <v>20020628</v>
      </c>
      <c r="M883" s="13" t="s">
        <v>675</v>
      </c>
      <c r="N883" s="13" t="s">
        <v>1186</v>
      </c>
      <c r="O883" s="13">
        <v>23</v>
      </c>
      <c r="P883" s="13" t="s">
        <v>495</v>
      </c>
      <c r="Q883" s="13" t="s">
        <v>1138</v>
      </c>
      <c r="R883" s="13" t="s">
        <v>274</v>
      </c>
      <c r="S883" s="13" t="s">
        <v>284</v>
      </c>
    </row>
    <row r="884" spans="1:22" s="14" customFormat="1" ht="13.5" customHeight="1" ns3:dyDescent="0.25">
      <c r="A884" s="13" t="s">
        <v>291</v>
      </c>
      <c r="B884" s="25" t="str">
        <f t="shared" si="51"/>
      </c>
      <c r="C884" s="13" t="s">
        <v>102</v>
      </c>
      <c r="D884" s="13" t="s">
        <v>17</v>
      </c>
      <c r="E884" s="13" t="s">
        <v>120</v>
      </c>
      <c r="F884" s="13" t="s">
        <v>610</v>
      </c>
      <c r="G884" s="13" t="s">
        <v>41</v>
      </c>
      <c r="H884" s="13" t="str">
        <f>IFERROR(VLOOKUP(#REF!884,'정보화기기 명부'!A$2:B$187,2,FALSE),"")</f>
        <v/>
      </c>
      <c r="I884" s="13"/>
      <c r="J884" s="13"/>
      <c r="K884" s="13"/>
      <c r="L884" s="13">
        <v>20020628</v>
      </c>
      <c r="M884" s="13" t="s">
        <v>675</v>
      </c>
      <c r="N884" s="13" t="s">
        <v>1186</v>
      </c>
      <c r="O884" s="13">
        <v>22</v>
      </c>
      <c r="P884" s="13" t="s">
        <v>495</v>
      </c>
      <c r="Q884" s="13" t="s">
        <v>1138</v>
      </c>
      <c r="R884" s="13" t="s">
        <v>274</v>
      </c>
      <c r="S884" s="13" t="s">
        <v>284</v>
      </c>
    </row>
    <row r="885" spans="1:22" s="14" customFormat="1" ht="13.5" customHeight="1" ns3:dyDescent="0.25">
      <c r="A885" s="13" t="s">
        <v>211</v>
      </c>
      <c r="B885" s="25" t="str">
        <f t="shared" si="51"/>
      </c>
      <c r="C885" s="13" t="s">
        <v>102</v>
      </c>
      <c r="D885" s="13" t="s">
        <v>17</v>
      </c>
      <c r="E885" s="13" t="s">
        <v>120</v>
      </c>
      <c r="F885" s="13" t="s">
        <v>610</v>
      </c>
      <c r="G885" s="13" t="s">
        <v>41</v>
      </c>
      <c r="H885" s="13" t="str">
        <f>IFERROR(VLOOKUP(#REF!885,'정보화기기 명부'!A$2:B$187,2,FALSE),"")</f>
        <v/>
      </c>
      <c r="I885" s="13"/>
      <c r="J885" s="13"/>
      <c r="K885" s="13"/>
      <c r="L885" s="13">
        <v>20020628</v>
      </c>
      <c r="M885" s="13" t="s">
        <v>675</v>
      </c>
      <c r="N885" s="13" t="s">
        <v>1186</v>
      </c>
      <c r="O885" s="13">
        <v>21</v>
      </c>
      <c r="P885" s="13" t="s">
        <v>495</v>
      </c>
      <c r="Q885" s="13" t="s">
        <v>1138</v>
      </c>
      <c r="R885" s="13" t="s">
        <v>274</v>
      </c>
      <c r="S885" s="13" t="s">
        <v>284</v>
      </c>
    </row>
    <row r="886" spans="1:22" s="14" customFormat="1" ht="13.5" customHeight="1" ns3:dyDescent="0.25">
      <c r="A886" s="13" t="s">
        <v>244</v>
      </c>
      <c r="B886" s="25" t="str">
        <f t="shared" si="51"/>
      </c>
      <c r="C886" s="13" t="s">
        <v>102</v>
      </c>
      <c r="D886" s="13" t="s">
        <v>17</v>
      </c>
      <c r="E886" s="13" t="s">
        <v>120</v>
      </c>
      <c r="F886" s="13" t="s">
        <v>610</v>
      </c>
      <c r="G886" s="13" t="s">
        <v>41</v>
      </c>
      <c r="H886" s="13" t="str">
        <f>IFERROR(VLOOKUP(#REF!886,'정보화기기 명부'!A$2:B$187,2,FALSE),"")</f>
        <v/>
      </c>
      <c r="I886" s="13"/>
      <c r="J886" s="13"/>
      <c r="K886" s="13"/>
      <c r="L886" s="13">
        <v>20020628</v>
      </c>
      <c r="M886" s="13" t="s">
        <v>675</v>
      </c>
      <c r="N886" s="13" t="s">
        <v>1186</v>
      </c>
      <c r="O886" s="13">
        <v>20</v>
      </c>
      <c r="P886" s="13" t="s">
        <v>495</v>
      </c>
      <c r="Q886" s="13" t="s">
        <v>1138</v>
      </c>
      <c r="R886" s="13" t="s">
        <v>274</v>
      </c>
      <c r="S886" s="13" t="s">
        <v>284</v>
      </c>
    </row>
    <row r="887" spans="1:22" s="14" customFormat="1" ht="13.5" customHeight="1" ns3:dyDescent="0.25">
      <c r="A887" s="13" t="s">
        <v>264</v>
      </c>
      <c r="B887" s="25" t="str">
        <f t="shared" si="51"/>
      </c>
      <c r="C887" s="13" t="s">
        <v>102</v>
      </c>
      <c r="D887" s="13" t="s">
        <v>17</v>
      </c>
      <c r="E887" s="13" t="s">
        <v>120</v>
      </c>
      <c r="F887" s="13" t="s">
        <v>610</v>
      </c>
      <c r="G887" s="13" t="s">
        <v>41</v>
      </c>
      <c r="H887" s="13" t="str">
        <f>IFERROR(VLOOKUP(#REF!887,'정보화기기 명부'!A$2:B$187,2,FALSE),"")</f>
        <v/>
      </c>
      <c r="I887" s="13"/>
      <c r="J887" s="13"/>
      <c r="K887" s="13"/>
      <c r="L887" s="13">
        <v>20020628</v>
      </c>
      <c r="M887" s="13" t="s">
        <v>675</v>
      </c>
      <c r="N887" s="13" t="s">
        <v>1186</v>
      </c>
      <c r="O887" s="13">
        <v>19</v>
      </c>
      <c r="P887" s="13" t="s">
        <v>495</v>
      </c>
      <c r="Q887" s="13" t="s">
        <v>1138</v>
      </c>
      <c r="R887" s="13" t="s">
        <v>274</v>
      </c>
      <c r="S887" s="13" t="s">
        <v>284</v>
      </c>
    </row>
    <row r="888" spans="1:22" s="14" customFormat="1" ht="13.5" customHeight="1" ns3:dyDescent="0.25">
      <c r="A888" s="13" t="s">
        <v>246</v>
      </c>
      <c r="B888" s="25" t="str">
        <f t="shared" si="51"/>
      </c>
      <c r="C888" s="13" t="s">
        <v>102</v>
      </c>
      <c r="D888" s="13" t="s">
        <v>17</v>
      </c>
      <c r="E888" s="13" t="s">
        <v>120</v>
      </c>
      <c r="F888" s="13" t="s">
        <v>610</v>
      </c>
      <c r="G888" s="13" t="s">
        <v>41</v>
      </c>
      <c r="H888" s="13" t="str">
        <f>IFERROR(VLOOKUP(#REF!888,'정보화기기 명부'!A$2:B$187,2,FALSE),"")</f>
        <v/>
      </c>
      <c r="I888" s="13"/>
      <c r="J888" s="13"/>
      <c r="K888" s="13"/>
      <c r="L888" s="13">
        <v>20020628</v>
      </c>
      <c r="M888" s="13" t="s">
        <v>675</v>
      </c>
      <c r="N888" s="13" t="s">
        <v>1186</v>
      </c>
      <c r="O888" s="13">
        <v>18</v>
      </c>
      <c r="P888" s="13" t="s">
        <v>495</v>
      </c>
      <c r="Q888" s="13" t="s">
        <v>1138</v>
      </c>
      <c r="R888" s="13" t="s">
        <v>274</v>
      </c>
      <c r="S888" s="13" t="s">
        <v>284</v>
      </c>
    </row>
    <row r="889" spans="1:22" s="14" customFormat="1" ht="13.5" customHeight="1" ns3:dyDescent="0.25">
      <c r="A889" s="13" t="s">
        <v>148</v>
      </c>
      <c r="B889" s="25" t="str">
        <f t="shared" si="51"/>
      </c>
      <c r="C889" s="13" t="s">
        <v>102</v>
      </c>
      <c r="D889" s="13" t="s">
        <v>17</v>
      </c>
      <c r="E889" s="13" t="s">
        <v>120</v>
      </c>
      <c r="F889" s="13" t="s">
        <v>610</v>
      </c>
      <c r="G889" s="13" t="s">
        <v>41</v>
      </c>
      <c r="H889" s="13" t="str">
        <f>IFERROR(VLOOKUP(#REF!889,'정보화기기 명부'!A$2:B$187,2,FALSE),"")</f>
        <v/>
      </c>
      <c r="I889" s="13"/>
      <c r="J889" s="13"/>
      <c r="K889" s="13"/>
      <c r="L889" s="13">
        <v>20020628</v>
      </c>
      <c r="M889" s="13" t="s">
        <v>675</v>
      </c>
      <c r="N889" s="13" t="s">
        <v>1186</v>
      </c>
      <c r="O889" s="13">
        <v>17</v>
      </c>
      <c r="P889" s="13" t="s">
        <v>495</v>
      </c>
      <c r="Q889" s="13" t="s">
        <v>1138</v>
      </c>
      <c r="R889" s="13" t="s">
        <v>274</v>
      </c>
      <c r="S889" s="13" t="s">
        <v>284</v>
      </c>
    </row>
    <row r="890" spans="1:22" s="14" customFormat="1" ht="13.5" hidden="1" customHeight="1" ns3:dyDescent="0.25">
      <c r="A890" s="13" t="s">
        <v>290</v>
      </c>
      <c r="B890" s="25" t="str">
        <f t="shared" si="51"/>
      </c>
      <c r="C890" s="13" t="s">
        <v>1147</v>
      </c>
      <c r="D890" s="13" t="s">
        <v>17</v>
      </c>
      <c r="E890" s="13" t="s">
        <v>8</v>
      </c>
      <c r="F890" s="13" t="s">
        <v>1164</v>
      </c>
      <c r="G890" s="13" t="s">
        <v>117</v>
      </c>
      <c r="H890" s="13" t="str">
        <f>IFERROR(VLOOKUP(#REF!890,'정보화기기 명부'!A$2:B$187,2,FALSE),"")</f>
        <v/>
      </c>
      <c r="I890" s="13"/>
      <c r="J890" s="13"/>
      <c r="K890" s="13"/>
      <c r="L890" s="13">
        <v>20020420</v>
      </c>
      <c r="M890" s="13" t="s">
        <v>673</v>
      </c>
      <c r="N890" s="13" t="s">
        <v>1186</v>
      </c>
      <c r="O890" s="13">
        <v>189</v>
      </c>
      <c r="P890" s="13" t="s">
        <v>495</v>
      </c>
      <c r="Q890" s="13" t="s">
        <v>1167</v>
      </c>
      <c r="R890" s="13" t="s">
        <v>188</v>
      </c>
      <c r="S890" s="13" t="s">
        <v>284</v>
      </c>
    </row>
    <row r="891" spans="1:22" s="14" customFormat="1" ht="13.5" hidden="1" customHeight="1" ns3:dyDescent="0.25">
      <c r="A891" s="13" t="s">
        <v>680</v>
      </c>
      <c r="B891" s="25" t="str">
        <f t="shared" si="51"/>
      </c>
      <c r="C891" s="13" t="s">
        <v>1147</v>
      </c>
      <c r="D891" s="13" t="s">
        <v>17</v>
      </c>
      <c r="E891" s="13" t="s">
        <v>8</v>
      </c>
      <c r="F891" s="13" t="s">
        <v>1251</v>
      </c>
      <c r="G891" s="13" t="s">
        <v>117</v>
      </c>
      <c r="H891" s="13" t="str">
        <f>IFERROR(VLOOKUP(#REF!891,'정보화기기 명부'!A$2:B$187,2,FALSE),"")</f>
        <v/>
      </c>
      <c r="I891" s="13"/>
      <c r="J891" s="13"/>
      <c r="K891" s="13"/>
      <c r="L891" s="13">
        <v>20020420</v>
      </c>
      <c r="M891" s="13" t="s">
        <v>673</v>
      </c>
      <c r="N891" s="13" t="s">
        <v>1186</v>
      </c>
      <c r="O891" s="13">
        <v>188</v>
      </c>
      <c r="P891" s="13" t="s">
        <v>683</v>
      </c>
      <c r="Q891" s="13" t="s">
        <v>1167</v>
      </c>
      <c r="R891" s="13" t="s">
        <v>298</v>
      </c>
      <c r="S891" s="13" t="s">
        <v>262</v>
      </c>
    </row>
    <row r="892" spans="1:22" s="14" customFormat="1" ht="13.5" hidden="1" customHeight="1" ns3:dyDescent="0.25">
      <c r="A892" s="13" t="s">
        <v>678</v>
      </c>
      <c r="B892" s="25" t="str">
        <f t="shared" si="51"/>
      </c>
      <c r="C892" s="13" t="s">
        <v>1147</v>
      </c>
      <c r="D892" s="13" t="s">
        <v>17</v>
      </c>
      <c r="E892" s="13" t="s">
        <v>8</v>
      </c>
      <c r="F892" s="13" t="s">
        <v>1253</v>
      </c>
      <c r="G892" s="13" t="s">
        <v>117</v>
      </c>
      <c r="H892" s="13" t="str">
        <f>IFERROR(VLOOKUP(#REF!892,'정보화기기 명부'!A$2:B$187,2,FALSE),"")</f>
        <v/>
      </c>
      <c r="I892" s="13"/>
      <c r="J892" s="13"/>
      <c r="K892" s="13"/>
      <c r="L892" s="13">
        <v>20020402</v>
      </c>
      <c r="M892" s="13" t="s">
        <v>598</v>
      </c>
      <c r="N892" s="13" t="s">
        <v>1191</v>
      </c>
      <c r="O892" s="13">
        <v>105</v>
      </c>
      <c r="P892" s="13" t="s">
        <v>683</v>
      </c>
      <c r="Q892" s="13" t="s">
        <v>748</v>
      </c>
      <c r="R892" s="13" t="s">
        <v>20</v>
      </c>
      <c r="S892" s="13" t="s">
        <v>201</v>
      </c>
    </row>
    <row r="893" spans="1:22" s="14" customFormat="1" ht="13.5" hidden="1" customHeight="1" ns3:dyDescent="0.25">
      <c r="A893" s="13" t="s">
        <v>605</v>
      </c>
      <c r="B893" s="25" t="str">
        <f t="shared" si="51"/>
      </c>
      <c r="C893" s="13" t="s">
        <v>1147</v>
      </c>
      <c r="D893" s="13" t="s">
        <v>17</v>
      </c>
      <c r="E893" s="13" t="s">
        <v>8</v>
      </c>
      <c r="F893" s="13" t="s">
        <v>1253</v>
      </c>
      <c r="G893" s="13" t="s">
        <v>117</v>
      </c>
      <c r="H893" s="13" t="str">
        <f>IFERROR(VLOOKUP(#REF!893,'정보화기기 명부'!A$2:B$187,2,FALSE),"")</f>
        <v/>
      </c>
      <c r="I893" s="13"/>
      <c r="J893" s="13"/>
      <c r="K893" s="13"/>
      <c r="L893" s="13">
        <v>20020402</v>
      </c>
      <c r="M893" s="13" t="s">
        <v>598</v>
      </c>
      <c r="N893" s="13" t="s">
        <v>1191</v>
      </c>
      <c r="O893" s="13">
        <v>104</v>
      </c>
      <c r="P893" s="13" t="s">
        <v>683</v>
      </c>
      <c r="Q893" s="13" t="s">
        <v>748</v>
      </c>
      <c r="R893" s="13" t="s">
        <v>20</v>
      </c>
      <c r="S893" s="13" t="s">
        <v>201</v>
      </c>
    </row>
    <row r="894" spans="1:22" s="14" customFormat="1" ht="13.5" hidden="1" customHeight="1" ns3:dyDescent="0.25">
      <c r="A894" s="13" t="s">
        <v>252</v>
      </c>
      <c r="B894" s="25" t="str">
        <f t="shared" si="51"/>
      </c>
      <c r="C894" s="13" t="s">
        <v>1147</v>
      </c>
      <c r="D894" s="13" t="s">
        <v>17</v>
      </c>
      <c r="E894" s="13" t="s">
        <v>8</v>
      </c>
      <c r="F894" s="13" t="s">
        <v>1169</v>
      </c>
      <c r="G894" s="13" t="s">
        <v>117</v>
      </c>
      <c r="H894" s="13" t="str">
        <f>IFERROR(VLOOKUP(#REF!894,'정보화기기 명부'!A$2:B$187,2,FALSE),"")</f>
        <v/>
      </c>
      <c r="I894" s="13"/>
      <c r="J894" s="13"/>
      <c r="K894" s="13"/>
      <c r="L894" s="13">
        <v>20020320</v>
      </c>
      <c r="M894" s="13" t="s">
        <v>598</v>
      </c>
      <c r="N894" s="13" t="s">
        <v>1191</v>
      </c>
      <c r="O894" s="13">
        <v>202</v>
      </c>
      <c r="P894" s="13" t="s">
        <v>683</v>
      </c>
      <c r="Q894" s="13" t="s">
        <v>748</v>
      </c>
      <c r="R894" s="13" t="s">
        <v>20</v>
      </c>
      <c r="S894" s="13" t="s">
        <v>201</v>
      </c>
    </row>
    <row r="895" spans="1:22" s="14" customFormat="1" ht="13.5" customHeight="1" ns3:dyDescent="0.25">
      <c r="A895" s="13" t="s">
        <v>215</v>
      </c>
      <c r="B895" s="25" t="str">
        <f t="shared" si="51"/>
      </c>
      <c r="C895" s="13" t="s">
        <v>102</v>
      </c>
      <c r="D895" s="13" t="s">
        <v>17</v>
      </c>
      <c r="E895" s="13" t="s">
        <v>8</v>
      </c>
      <c r="F895" s="13" t="s">
        <v>1142</v>
      </c>
      <c r="G895" s="13" t="s">
        <v>117</v>
      </c>
      <c r="H895" s="13" t="str">
        <f>IFERROR(VLOOKUP(#REF!895,'정보화기기 명부'!A$2:B$187,2,FALSE),"")</f>
        <v/>
      </c>
      <c r="I895" s="13"/>
      <c r="J895" s="13"/>
      <c r="K895" s="13"/>
      <c r="L895" s="13">
        <v>20010702</v>
      </c>
      <c r="M895" s="13" t="s">
        <v>611</v>
      </c>
      <c r="N895" s="13" t="s">
        <v>1186</v>
      </c>
      <c r="O895" s="13">
        <v>58</v>
      </c>
      <c r="P895" s="13" t="s">
        <v>683</v>
      </c>
      <c r="Q895" s="13" t="s">
        <v>1150</v>
      </c>
      <c r="R895" s="13" t="s">
        <v>298</v>
      </c>
      <c r="S895" s="13" t="s">
        <v>261</v>
      </c>
    </row>
    <row r="896" spans="1:22" s="14" customFormat="1" ht="13.5" customHeight="1" ns3:dyDescent="0.25">
      <c r="A896" s="13" t="s">
        <v>283</v>
      </c>
      <c r="B896" s="25" t="str">
        <f t="shared" si="51"/>
      </c>
      <c r="C896" s="13" t="s">
        <v>102</v>
      </c>
      <c r="D896" s="13" t="s">
        <v>17</v>
      </c>
      <c r="E896" s="13" t="s">
        <v>8</v>
      </c>
      <c r="F896" s="13" t="s">
        <v>1142</v>
      </c>
      <c r="G896" s="13" t="s">
        <v>117</v>
      </c>
      <c r="H896" s="13" t="str">
        <f>IFERROR(VLOOKUP(#REF!896,'정보화기기 명부'!A$2:B$187,2,FALSE),"")</f>
        <v/>
      </c>
      <c r="I896" s="13"/>
      <c r="J896" s="13"/>
      <c r="K896" s="13"/>
      <c r="L896" s="13">
        <v>20010702</v>
      </c>
      <c r="M896" s="13" t="s">
        <v>611</v>
      </c>
      <c r="N896" s="13" t="s">
        <v>1186</v>
      </c>
      <c r="O896" s="13">
        <v>15</v>
      </c>
      <c r="P896" s="13" t="s">
        <v>683</v>
      </c>
      <c r="Q896" s="13" t="s">
        <v>1150</v>
      </c>
      <c r="R896" s="13" t="s">
        <v>298</v>
      </c>
      <c r="S896" s="13" t="s">
        <v>261</v>
      </c>
    </row>
    <row r="897" spans="1:22" s="14" customFormat="1" ht="13.5" hidden="1" customHeight="1" ns3:dyDescent="0.25">
      <c r="A897" s="13" t="s">
        <v>290</v>
      </c>
      <c r="B897" s="25" t="str">
        <f t="shared" si="51"/>
      </c>
      <c r="C897" s="13" t="s">
        <v>1147</v>
      </c>
      <c r="D897" s="13" t="s">
        <v>17</v>
      </c>
      <c r="E897" s="13" t="s">
        <v>8</v>
      </c>
      <c r="F897" s="13" t="s">
        <v>1157</v>
      </c>
      <c r="G897" s="13" t="s">
        <v>117</v>
      </c>
      <c r="H897" s="13" t="str">
        <f>IFERROR(VLOOKUP(#REF!897,'정보화기기 명부'!A$2:B$187,2,FALSE),"")</f>
        <v/>
      </c>
      <c r="I897" s="13"/>
      <c r="J897" s="13"/>
      <c r="K897" s="13"/>
      <c r="L897" s="13">
        <v>20010101</v>
      </c>
      <c r="M897" s="13" t="s">
        <v>1156</v>
      </c>
      <c r="N897" s="13" t="s">
        <v>1191</v>
      </c>
      <c r="O897" s="13">
        <v>226</v>
      </c>
      <c r="P897" s="13" t="s">
        <v>683</v>
      </c>
      <c r="Q897" s="13" t="s">
        <v>1166</v>
      </c>
      <c r="R897" s="13" t="s">
        <v>267</v>
      </c>
      <c r="S897" s="13" t="s">
        <v>262</v>
      </c>
    </row>
    <row r="898" spans="1:22" s="14" customFormat="1" ht="13.5" hidden="1" customHeight="1" ns3:dyDescent="0.25">
      <c r="A898" s="13" t="s">
        <v>290</v>
      </c>
      <c r="B898" s="25" t="str">
        <f t="shared" si="51"/>
      </c>
      <c r="C898" s="13" t="s">
        <v>1147</v>
      </c>
      <c r="D898" s="13" t="s">
        <v>17</v>
      </c>
      <c r="E898" s="13" t="s">
        <v>8</v>
      </c>
      <c r="F898" s="13" t="s">
        <v>1157</v>
      </c>
      <c r="G898" s="13" t="s">
        <v>117</v>
      </c>
      <c r="H898" s="13" t="str">
        <f>IFERROR(VLOOKUP(#REF!898,'정보화기기 명부'!A$2:B$187,2,FALSE),"")</f>
        <v/>
      </c>
      <c r="I898" s="13"/>
      <c r="J898" s="13"/>
      <c r="K898" s="13"/>
      <c r="L898" s="13">
        <v>20010101</v>
      </c>
      <c r="M898" s="13" t="s">
        <v>1156</v>
      </c>
      <c r="N898" s="13" t="s">
        <v>1191</v>
      </c>
      <c r="O898" s="13">
        <v>186</v>
      </c>
      <c r="P898" s="13" t="s">
        <v>683</v>
      </c>
      <c r="Q898" s="13" t="s">
        <v>1166</v>
      </c>
      <c r="R898" s="13" t="s">
        <v>267</v>
      </c>
      <c r="S898" s="13" t="s">
        <v>262</v>
      </c>
    </row>
    <row r="899" spans="1:22" s="14" customFormat="1" ht="13.5" hidden="1" customHeight="1" ns3:dyDescent="0.25">
      <c r="A899" s="13" t="s">
        <v>258</v>
      </c>
      <c r="B899" s="25" t="str">
        <f t="shared" si="51"/>
      </c>
      <c r="C899" s="13" t="s">
        <v>1147</v>
      </c>
      <c r="D899" s="13" t="s">
        <v>17</v>
      </c>
      <c r="E899" s="13" t="s">
        <v>8</v>
      </c>
      <c r="F899" s="13" t="s">
        <v>286</v>
      </c>
      <c r="G899" s="13" t="s">
        <v>10</v>
      </c>
      <c r="H899" s="13" t="str">
        <f>IFERROR(VLOOKUP(#REF!899,'정보화기기 명부'!A$2:B$187,2,FALSE),"")</f>
        <v/>
      </c>
      <c r="I899" s="13"/>
      <c r="J899" s="13"/>
      <c r="K899" s="13"/>
      <c r="L899" s="13">
        <v>20010101</v>
      </c>
      <c r="M899" s="13" t="s">
        <v>604</v>
      </c>
      <c r="N899" s="13" t="s">
        <v>1191</v>
      </c>
      <c r="O899" s="13">
        <v>106</v>
      </c>
      <c r="P899" s="13" t="s">
        <v>683</v>
      </c>
      <c r="Q899" s="13" t="s">
        <v>1149</v>
      </c>
      <c r="R899" s="13" t="s">
        <v>298</v>
      </c>
      <c r="S899" s="13" t="s">
        <v>285</v>
      </c>
    </row>
    <row r="900" spans="1:22" s="14" customFormat="1" ht="13.5" hidden="1" customHeight="1" ns3:dyDescent="0.25">
      <c r="A900" s="13" t="s">
        <v>311</v>
      </c>
      <c r="B900" s="25" t="str">
        <f t="shared" si="51"/>
      </c>
      <c r="C900" s="13" t="s">
        <v>1147</v>
      </c>
      <c r="D900" s="13" t="s">
        <v>17</v>
      </c>
      <c r="E900" s="13" t="s">
        <v>8</v>
      </c>
      <c r="F900" s="13" t="s">
        <v>1088</v>
      </c>
      <c r="G900" s="13" t="s">
        <v>30</v>
      </c>
      <c r="H900" s="13" t="str">
        <f>IFERROR(VLOOKUP(#REF!900,'정보화기기 명부'!A$2:B$187,2,FALSE),"")</f>
        <v/>
      </c>
      <c r="I900" s="13"/>
      <c r="J900" s="13"/>
      <c r="K900" s="13"/>
      <c r="L900" s="13">
        <v>20010101</v>
      </c>
      <c r="M900" s="13" t="s">
        <v>510</v>
      </c>
      <c r="N900" s="13" t="s">
        <v>1191</v>
      </c>
      <c r="O900" s="13">
        <v>16</v>
      </c>
      <c r="P900" s="13" t="s">
        <v>683</v>
      </c>
      <c r="Q900" s="13" t="s">
        <v>1166</v>
      </c>
      <c r="R900" s="13" t="s">
        <v>298</v>
      </c>
      <c r="S900" s="13" t="s">
        <v>304</v>
      </c>
    </row>
    <row r="901" spans="1:22" s="14" customFormat="1" ht="13.5" hidden="1" customHeight="1" ns3:dyDescent="0.25">
      <c r="A901" s="13" t="s">
        <v>211</v>
      </c>
      <c r="B901" s="25" t="str">
        <f t="shared" si="51"/>
      </c>
      <c r="C901" s="13" t="s">
        <v>1147</v>
      </c>
      <c r="D901" s="13" t="s">
        <v>17</v>
      </c>
      <c r="E901" s="13" t="s">
        <v>8</v>
      </c>
      <c r="F901" s="13" t="s">
        <v>1144</v>
      </c>
      <c r="G901" s="13" t="s">
        <v>117</v>
      </c>
      <c r="H901" s="13" t="str">
        <f>IFERROR(VLOOKUP(#REF!901,'정보화기기 명부'!A$2:B$187,2,FALSE),"")</f>
        <v/>
      </c>
      <c r="I901" s="13"/>
      <c r="J901" s="13"/>
      <c r="K901" s="13"/>
      <c r="L901" s="13">
        <v>20001006</v>
      </c>
      <c r="M901" s="13" t="s">
        <v>673</v>
      </c>
      <c r="N901" s="13" t="s">
        <v>1186</v>
      </c>
      <c r="O901" s="13">
        <v>196</v>
      </c>
      <c r="P901" s="13" t="s">
        <v>683</v>
      </c>
      <c r="Q901" s="13" t="s">
        <v>1150</v>
      </c>
      <c r="R901" s="13" t="s">
        <v>298</v>
      </c>
      <c r="S901" s="13" t="s">
        <v>261</v>
      </c>
    </row>
    <row r="902" spans="1:22" s="14" customFormat="1" ht="13.5" hidden="1" customHeight="1" ns3:dyDescent="0.25">
      <c r="A902" s="13" t="s">
        <v>211</v>
      </c>
      <c r="B902" s="25" t="str">
        <f t="shared" si="51"/>
      </c>
      <c r="C902" s="13" t="s">
        <v>1147</v>
      </c>
      <c r="D902" s="13" t="s">
        <v>17</v>
      </c>
      <c r="E902" s="13" t="s">
        <v>8</v>
      </c>
      <c r="F902" s="13" t="s">
        <v>1144</v>
      </c>
      <c r="G902" s="13" t="s">
        <v>117</v>
      </c>
      <c r="H902" s="13" t="str">
        <f>IFERROR(VLOOKUP(#REF!902,'정보화기기 명부'!A$2:B$187,2,FALSE),"")</f>
        <v/>
      </c>
      <c r="I902" s="13"/>
      <c r="J902" s="13"/>
      <c r="K902" s="13"/>
      <c r="L902" s="13">
        <v>20001006</v>
      </c>
      <c r="M902" s="13" t="s">
        <v>673</v>
      </c>
      <c r="N902" s="13" t="s">
        <v>1186</v>
      </c>
      <c r="O902" s="13">
        <v>195</v>
      </c>
      <c r="P902" s="13" t="s">
        <v>683</v>
      </c>
      <c r="Q902" s="13" t="s">
        <v>1150</v>
      </c>
      <c r="R902" s="13" t="s">
        <v>298</v>
      </c>
      <c r="S902" s="13" t="s">
        <v>261</v>
      </c>
    </row>
    <row r="903" spans="1:22" s="14" customFormat="1" ht="13.5" hidden="1" customHeight="1" ns3:dyDescent="0.25">
      <c r="A903" s="13" t="s">
        <v>290</v>
      </c>
      <c r="B903" s="25" t="str">
        <f t="shared" si="51"/>
      </c>
      <c r="C903" s="13" t="s">
        <v>1147</v>
      </c>
      <c r="D903" s="13" t="s">
        <v>17</v>
      </c>
      <c r="E903" s="13" t="s">
        <v>8</v>
      </c>
      <c r="F903" s="13" t="s">
        <v>1144</v>
      </c>
      <c r="G903" s="13" t="s">
        <v>117</v>
      </c>
      <c r="H903" s="13" t="str">
        <f>IFERROR(VLOOKUP(#REF!903,'정보화기기 명부'!A$2:B$187,2,FALSE),"")</f>
        <v/>
      </c>
      <c r="I903" s="13"/>
      <c r="J903" s="13"/>
      <c r="K903" s="13"/>
      <c r="L903" s="13">
        <v>20001006</v>
      </c>
      <c r="M903" s="13" t="s">
        <v>673</v>
      </c>
      <c r="N903" s="13" t="s">
        <v>1191</v>
      </c>
      <c r="O903" s="13">
        <v>187</v>
      </c>
      <c r="P903" s="13" t="s">
        <v>683</v>
      </c>
      <c r="Q903" s="13" t="s">
        <v>1150</v>
      </c>
      <c r="R903" s="13" t="s">
        <v>298</v>
      </c>
      <c r="S903" s="13" t="s">
        <v>261</v>
      </c>
    </row>
    <row r="904" spans="1:22" s="14" customFormat="1" ht="13.5" hidden="1" customHeight="1" ns3:dyDescent="0.25">
      <c r="A904" s="13" t="s">
        <v>278</v>
      </c>
      <c r="B904" s="25" t="str">
        <f t="shared" si="51"/>
      </c>
      <c r="C904" s="13" t="s">
        <v>1147</v>
      </c>
      <c r="D904" s="13" t="s">
        <v>17</v>
      </c>
      <c r="E904" s="13" t="s">
        <v>8</v>
      </c>
      <c r="F904" s="13" t="s">
        <v>1144</v>
      </c>
      <c r="G904" s="13" t="s">
        <v>117</v>
      </c>
      <c r="H904" s="13" t="str">
        <f>IFERROR(VLOOKUP(#REF!904,'정보화기기 명부'!A$2:B$187,2,FALSE),"")</f>
        <v/>
      </c>
      <c r="I904" s="13"/>
      <c r="J904" s="13"/>
      <c r="K904" s="13"/>
      <c r="L904" s="13">
        <v>20001006</v>
      </c>
      <c r="M904" s="13" t="s">
        <v>673</v>
      </c>
      <c r="N904" s="13" t="s">
        <v>1191</v>
      </c>
      <c r="O904" s="13">
        <v>99</v>
      </c>
      <c r="P904" s="13" t="s">
        <v>683</v>
      </c>
      <c r="Q904" s="13" t="s">
        <v>1150</v>
      </c>
      <c r="R904" s="13" t="s">
        <v>307</v>
      </c>
      <c r="S904" s="13" t="s">
        <v>201</v>
      </c>
    </row>
    <row r="905" spans="1:22" s="14" customFormat="1" ht="13.5" hidden="1" customHeight="1" ns3:dyDescent="0.25">
      <c r="A905" s="13" t="s">
        <v>268</v>
      </c>
      <c r="B905" s="25" t="str">
        <f t="shared" si="51"/>
      </c>
      <c r="C905" s="13" t="s">
        <v>1147</v>
      </c>
      <c r="D905" s="13" t="s">
        <v>17</v>
      </c>
      <c r="E905" s="13" t="s">
        <v>8</v>
      </c>
      <c r="F905" s="13" t="s">
        <v>1154</v>
      </c>
      <c r="G905" s="13" t="s">
        <v>30</v>
      </c>
      <c r="H905" s="13" t="str">
        <f>IFERROR(VLOOKUP(#REF!905,'정보화기기 명부'!A$2:B$187,2,FALSE),"")</f>
        <v/>
      </c>
      <c r="I905" s="13"/>
      <c r="J905" s="13"/>
      <c r="K905" s="13"/>
      <c r="L905" s="13">
        <v>20001006</v>
      </c>
      <c r="M905" s="13" t="s">
        <v>673</v>
      </c>
      <c r="N905" s="13" t="s">
        <v>1186</v>
      </c>
      <c r="O905" s="13">
        <v>74</v>
      </c>
      <c r="P905" s="13" t="s">
        <v>683</v>
      </c>
      <c r="Q905" s="13" t="s">
        <v>1139</v>
      </c>
      <c r="R905" s="13" t="s">
        <v>338</v>
      </c>
      <c r="S905" s="13" t="s">
        <v>201</v>
      </c>
    </row>
    <row r="906" spans="1:22" s="14" customFormat="1" ht="13.5" hidden="1" customHeight="1" ns3:dyDescent="0.25">
      <c r="A906" s="13" t="s">
        <v>278</v>
      </c>
      <c r="B906" s="25" t="str">
        <f t="shared" si="51"/>
      </c>
      <c r="C906" s="13" t="s">
        <v>1147</v>
      </c>
      <c r="D906" s="13" t="s">
        <v>17</v>
      </c>
      <c r="E906" s="13" t="s">
        <v>8</v>
      </c>
      <c r="F906" s="13" t="s">
        <v>1144</v>
      </c>
      <c r="G906" s="13" t="s">
        <v>117</v>
      </c>
      <c r="H906" s="13" t="str">
        <f>IFERROR(VLOOKUP(#REF!906,'정보화기기 명부'!A$2:B$187,2,FALSE),"")</f>
        <v/>
      </c>
      <c r="I906" s="13"/>
      <c r="J906" s="13"/>
      <c r="K906" s="13"/>
      <c r="L906" s="13">
        <v>20001006</v>
      </c>
      <c r="M906" s="13" t="s">
        <v>673</v>
      </c>
      <c r="N906" s="13" t="s">
        <v>1191</v>
      </c>
      <c r="O906" s="13">
        <v>36</v>
      </c>
      <c r="P906" s="13" t="s">
        <v>683</v>
      </c>
      <c r="Q906" s="13" t="s">
        <v>1150</v>
      </c>
      <c r="R906" s="13" t="s">
        <v>298</v>
      </c>
      <c r="S906" s="13" t="s">
        <v>261</v>
      </c>
    </row>
    <row r="907" spans="1:22" s="14" customFormat="1" ht="13.5" hidden="1" customHeight="1" ns3:dyDescent="0.25">
      <c r="A907" s="13" t="s">
        <v>330</v>
      </c>
      <c r="B907" s="25" t="str">
        <f t="shared" si="51"/>
      </c>
      <c r="C907" s="13" t="s">
        <v>1147</v>
      </c>
      <c r="D907" s="13" t="s">
        <v>17</v>
      </c>
      <c r="E907" s="13" t="s">
        <v>8</v>
      </c>
      <c r="F907" s="13" t="s">
        <v>1144</v>
      </c>
      <c r="G907" s="13" t="s">
        <v>117</v>
      </c>
      <c r="H907" s="13" t="str">
        <f>IFERROR(VLOOKUP(#REF!907,'정보화기기 명부'!A$2:B$187,2,FALSE),"")</f>
        <v/>
      </c>
      <c r="I907" s="13"/>
      <c r="J907" s="13"/>
      <c r="K907" s="13"/>
      <c r="L907" s="13">
        <v>20001006</v>
      </c>
      <c r="M907" s="13" t="s">
        <v>673</v>
      </c>
      <c r="N907" s="13" t="s">
        <v>1191</v>
      </c>
      <c r="O907" s="13">
        <v>35</v>
      </c>
      <c r="P907" s="13" t="s">
        <v>683</v>
      </c>
      <c r="Q907" s="13" t="s">
        <v>1150</v>
      </c>
      <c r="R907" s="13" t="s">
        <v>298</v>
      </c>
      <c r="S907" s="13" t="s">
        <v>52</v>
      </c>
    </row>
    <row r="908" spans="1:22" s="14" customFormat="1" ht="13.5" hidden="1" customHeight="1" ns3:dyDescent="0.25">
      <c r="A908" s="13" t="s">
        <v>148</v>
      </c>
      <c r="B908" s="25" t="str">
        <f t="shared" si="51"/>
      </c>
      <c r="C908" s="13" t="s">
        <v>1147</v>
      </c>
      <c r="D908" s="13" t="s">
        <v>17</v>
      </c>
      <c r="E908" s="13" t="s">
        <v>8</v>
      </c>
      <c r="F908" s="13" t="s">
        <v>1144</v>
      </c>
      <c r="G908" s="13" t="s">
        <v>117</v>
      </c>
      <c r="H908" s="13" t="str">
        <f>IFERROR(VLOOKUP(#REF!908,'정보화기기 명부'!A$2:B$187,2,FALSE),"")</f>
        <v/>
      </c>
      <c r="I908" s="13"/>
      <c r="J908" s="13"/>
      <c r="K908" s="13"/>
      <c r="L908" s="13">
        <v>20001006</v>
      </c>
      <c r="M908" s="13" t="s">
        <v>673</v>
      </c>
      <c r="N908" s="13" t="s">
        <v>1186</v>
      </c>
      <c r="O908" s="13">
        <v>34</v>
      </c>
      <c r="P908" s="13" t="s">
        <v>495</v>
      </c>
      <c r="Q908" s="13" t="s">
        <v>1150</v>
      </c>
      <c r="R908" s="13" t="s">
        <v>174</v>
      </c>
      <c r="S908" s="13" t="s">
        <v>262</v>
      </c>
    </row>
    <row r="909" spans="1:22" s="14" customFormat="1" ht="13.5" hidden="1" customHeight="1" ns3:dyDescent="0.25">
      <c r="A909" s="13" t="s">
        <v>278</v>
      </c>
      <c r="B909" s="25" t="str">
        <f t="shared" si="51"/>
      </c>
      <c r="C909" s="13" t="s">
        <v>1147</v>
      </c>
      <c r="D909" s="13" t="s">
        <v>17</v>
      </c>
      <c r="E909" s="13" t="s">
        <v>8</v>
      </c>
      <c r="F909" s="13" t="s">
        <v>1144</v>
      </c>
      <c r="G909" s="13" t="s">
        <v>117</v>
      </c>
      <c r="H909" s="13" t="str">
        <f>IFERROR(VLOOKUP(#REF!909,'정보화기기 명부'!A$2:B$187,2,FALSE),"")</f>
        <v/>
      </c>
      <c r="I909" s="13"/>
      <c r="J909" s="13"/>
      <c r="K909" s="13"/>
      <c r="L909" s="13">
        <v>20001006</v>
      </c>
      <c r="M909" s="13" t="s">
        <v>673</v>
      </c>
      <c r="N909" s="13" t="s">
        <v>1191</v>
      </c>
      <c r="O909" s="13">
        <v>11</v>
      </c>
      <c r="P909" s="13" t="s">
        <v>683</v>
      </c>
      <c r="Q909" s="13" t="s">
        <v>1149</v>
      </c>
      <c r="R909" s="13" t="s">
        <v>174</v>
      </c>
      <c r="S909" s="13" t="s">
        <v>285</v>
      </c>
    </row>
    <row r="910" spans="1:22" s="14" customFormat="1" ht="13.5" hidden="1" customHeight="1" ns3:dyDescent="0.25">
      <c r="A910" s="13" t="s">
        <v>164</v>
      </c>
      <c r="B910" s="25" t="str">
        <f t="shared" si="51"/>
      </c>
      <c r="C910" s="13" t="s">
        <v>1147</v>
      </c>
      <c r="D910" s="13" t="s">
        <v>17</v>
      </c>
      <c r="E910" s="13" t="s">
        <v>120</v>
      </c>
      <c r="F910" s="13" t="s">
        <v>1093</v>
      </c>
      <c r="G910" s="13" t="s">
        <v>117</v>
      </c>
      <c r="H910" s="13" t="str">
        <f>IFERROR(VLOOKUP(#REF!910,'정보화기기 명부'!A$2:B$187,2,FALSE),"")</f>
        <v/>
      </c>
      <c r="I910" s="13"/>
      <c r="J910" s="13"/>
      <c r="K910" s="13"/>
      <c r="L910" s="13">
        <v>20001006</v>
      </c>
      <c r="M910" s="13" t="s">
        <v>673</v>
      </c>
      <c r="N910" s="13" t="s">
        <v>1191</v>
      </c>
      <c r="O910" s="13">
        <v>8</v>
      </c>
      <c r="P910" s="13" t="s">
        <v>683</v>
      </c>
      <c r="Q910" s="13" t="s">
        <v>1149</v>
      </c>
      <c r="R910" s="13" t="s">
        <v>174</v>
      </c>
      <c r="S910" s="13" t="s">
        <v>309</v>
      </c>
    </row>
    <row r="911" spans="1:22" s="14" customFormat="1" ht="13.5" hidden="1" customHeight="1" ns3:dyDescent="0.25">
      <c r="A911" s="13" t="s">
        <v>211</v>
      </c>
      <c r="B911" s="25" t="str">
        <f t="shared" si="51"/>
      </c>
      <c r="C911" s="13" t="s">
        <v>1147</v>
      </c>
      <c r="D911" s="13" t="s">
        <v>17</v>
      </c>
      <c r="E911" s="13" t="s">
        <v>8</v>
      </c>
      <c r="F911" s="13" t="s">
        <v>1703</v>
      </c>
      <c r="G911" s="13" t="s">
        <v>41</v>
      </c>
      <c r="H911" s="13" t="str">
        <f>IFERROR(VLOOKUP(#REF!911,'정보화기기 명부'!A$2:B$187,2,FALSE),"")</f>
        <v/>
      </c>
      <c r="I911" s="13"/>
      <c r="J911" s="13"/>
      <c r="K911" s="13"/>
      <c r="L911" s="13">
        <v>20000628</v>
      </c>
      <c r="M911" s="13" t="s">
        <v>675</v>
      </c>
      <c r="N911" s="13" t="s">
        <v>1186</v>
      </c>
      <c r="O911" s="13">
        <v>193</v>
      </c>
      <c r="P911" s="13" t="s">
        <v>683</v>
      </c>
      <c r="Q911" s="13" t="s">
        <v>1149</v>
      </c>
      <c r="R911" s="13" t="s">
        <v>298</v>
      </c>
      <c r="S911" s="13" t="s">
        <v>261</v>
      </c>
    </row>
    <row r="912" spans="1:22" s="14" customFormat="1" ht="13.5" hidden="1" customHeight="1" ns3:dyDescent="0.25">
      <c r="A912" s="13" t="s">
        <v>278</v>
      </c>
      <c r="B912" s="25" t="str">
        <f t="shared" si="51"/>
      </c>
      <c r="C912" s="13" t="s">
        <v>1147</v>
      </c>
      <c r="D912" s="13" t="s">
        <v>17</v>
      </c>
      <c r="E912" s="13" t="s">
        <v>8</v>
      </c>
      <c r="F912" s="13" t="s">
        <v>1160</v>
      </c>
      <c r="G912" s="13" t="s">
        <v>117</v>
      </c>
      <c r="H912" s="13" t="str">
        <f>IFERROR(VLOOKUP(#REF!912,'정보화기기 명부'!A$2:B$187,2,FALSE),"")</f>
        <v/>
      </c>
      <c r="I912" s="13"/>
      <c r="J912" s="13"/>
      <c r="K912" s="13"/>
      <c r="L912" s="13">
        <v>20000525</v>
      </c>
      <c r="M912" s="13" t="s">
        <v>604</v>
      </c>
      <c r="N912" s="13" t="s">
        <v>1191</v>
      </c>
      <c r="O912" s="13">
        <v>103</v>
      </c>
      <c r="P912" s="13" t="s">
        <v>495</v>
      </c>
      <c r="Q912" s="13" t="s">
        <v>1151</v>
      </c>
      <c r="R912" s="13" t="s">
        <v>174</v>
      </c>
      <c r="S912" s="13" t="s">
        <v>201</v>
      </c>
    </row>
    <row r="913" spans="1:22" s="14" customFormat="1" ht="13.5" hidden="1" customHeight="1" ns3:dyDescent="0.25">
      <c r="A913" s="13" t="s">
        <v>18</v>
      </c>
      <c r="B913" s="25" t="str">
        <f t="shared" si="51"/>
      </c>
      <c r="C913" s="13" t="s">
        <v>1147</v>
      </c>
      <c r="D913" s="13" t="s">
        <v>17</v>
      </c>
      <c r="E913" s="13" t="s">
        <v>120</v>
      </c>
      <c r="F913" s="13" t="s">
        <v>1160</v>
      </c>
      <c r="G913" s="13" t="s">
        <v>117</v>
      </c>
      <c r="H913" s="13" t="str">
        <f>IFERROR(VLOOKUP(#REF!913,'정보화기기 명부'!A$2:B$187,2,FALSE),"")</f>
        <v>진로진학상담부</v>
      </c>
      <c r="I913" s="13"/>
      <c r="J913" s="13"/>
      <c r="K913" s="13"/>
      <c r="L913" s="13">
        <v>20000525</v>
      </c>
      <c r="M913" s="13" t="s">
        <v>604</v>
      </c>
      <c r="N913" s="13" t="s">
        <v>1186</v>
      </c>
      <c r="O913" s="13">
        <v>98</v>
      </c>
      <c r="P913" s="13" t="s">
        <v>683</v>
      </c>
      <c r="Q913" s="13" t="s">
        <v>1151</v>
      </c>
      <c r="R913" s="13" t="s">
        <v>174</v>
      </c>
      <c r="S913" s="13" t="s">
        <v>261</v>
      </c>
    </row>
    <row r="914" spans="1:22" s="14" customFormat="1" ht="13.5" hidden="1" customHeight="1" ns3:dyDescent="0.25">
      <c r="A914" s="13" t="s">
        <v>321</v>
      </c>
      <c r="B914" s="25" t="str">
        <f t="shared" si="51"/>
      </c>
      <c r="C914" s="13" t="s">
        <v>1147</v>
      </c>
      <c r="D914" s="13" t="s">
        <v>17</v>
      </c>
      <c r="E914" s="13" t="s">
        <v>120</v>
      </c>
      <c r="F914" s="13" t="s">
        <v>1093</v>
      </c>
      <c r="G914" s="13" t="s">
        <v>117</v>
      </c>
      <c r="H914" s="13" t="str">
        <f>IFERROR(VLOOKUP(#REF!914,'정보화기기 명부'!A$2:B$187,2,FALSE),"")</f>
        <v/>
      </c>
      <c r="I914" s="13"/>
      <c r="J914" s="13"/>
      <c r="K914" s="13"/>
      <c r="L914" s="13">
        <v>19990526</v>
      </c>
      <c r="M914" s="13" t="s">
        <v>596</v>
      </c>
      <c r="N914" s="13" t="s">
        <v>1186</v>
      </c>
      <c r="O914" s="13">
        <v>201</v>
      </c>
      <c r="P914" s="13" t="s">
        <v>683</v>
      </c>
      <c r="Q914" s="13" t="s">
        <v>1149</v>
      </c>
      <c r="R914" s="13" t="s">
        <v>275</v>
      </c>
      <c r="S914" s="13" t="s">
        <v>261</v>
      </c>
    </row>
    <row r="915" spans="1:22" s="14" customFormat="1" ht="13.5" hidden="1" customHeight="1" ns3:dyDescent="0.25">
      <c r="A915" s="13" t="s">
        <v>276</v>
      </c>
      <c r="B915" s="25" t="str">
        <f t="shared" si="51"/>
      </c>
      <c r="C915" s="13" t="s">
        <v>1147</v>
      </c>
      <c r="D915" s="13" t="s">
        <v>17</v>
      </c>
      <c r="E915" s="13" t="s">
        <v>55</v>
      </c>
      <c r="F915" s="13" t="s">
        <v>1093</v>
      </c>
      <c r="G915" s="13" t="s">
        <v>117</v>
      </c>
      <c r="H915" s="13" t="str">
        <f>IFERROR(VLOOKUP(#REF!915,'정보화기기 명부'!A$2:B$187,2,FALSE),"")</f>
        <v/>
      </c>
      <c r="I915" s="13"/>
      <c r="J915" s="13"/>
      <c r="K915" s="13"/>
      <c r="L915" s="13">
        <v>19990526</v>
      </c>
      <c r="M915" s="13" t="s">
        <v>596</v>
      </c>
      <c r="N915" s="13" t="s">
        <v>1186</v>
      </c>
      <c r="O915" s="13">
        <v>126</v>
      </c>
      <c r="P915" s="13" t="s">
        <v>683</v>
      </c>
      <c r="Q915" s="13" t="s">
        <v>1149</v>
      </c>
      <c r="R915" s="13" t="s">
        <v>298</v>
      </c>
      <c r="S915" s="13" t="s">
        <v>261</v>
      </c>
    </row>
    <row r="916" spans="1:22" s="14" customFormat="1" ht="13.5" hidden="1" customHeight="1" ns3:dyDescent="0.25">
      <c r="A916" s="13" t="s">
        <v>276</v>
      </c>
      <c r="B916" s="25" t="str">
        <f t="shared" si="51"/>
      </c>
      <c r="C916" s="13" t="s">
        <v>1147</v>
      </c>
      <c r="D916" s="13" t="s">
        <v>17</v>
      </c>
      <c r="E916" s="13" t="s">
        <v>55</v>
      </c>
      <c r="F916" s="13" t="s">
        <v>1093</v>
      </c>
      <c r="G916" s="13" t="s">
        <v>117</v>
      </c>
      <c r="H916" s="13" t="str">
        <f>IFERROR(VLOOKUP(#REF!916,'정보화기기 명부'!A$2:B$187,2,FALSE),"")</f>
        <v/>
      </c>
      <c r="I916" s="13"/>
      <c r="J916" s="13"/>
      <c r="K916" s="13"/>
      <c r="L916" s="13">
        <v>19990526</v>
      </c>
      <c r="M916" s="13" t="s">
        <v>596</v>
      </c>
      <c r="N916" s="13" t="s">
        <v>1186</v>
      </c>
      <c r="O916" s="13">
        <v>125</v>
      </c>
      <c r="P916" s="13" t="s">
        <v>683</v>
      </c>
      <c r="Q916" s="13" t="s">
        <v>1149</v>
      </c>
      <c r="R916" s="13" t="s">
        <v>298</v>
      </c>
      <c r="S916" s="13" t="s">
        <v>261</v>
      </c>
    </row>
    <row r="917" spans="1:22" s="14" customFormat="1" ht="13.5" hidden="1" customHeight="1" ns3:dyDescent="0.25">
      <c r="A917" s="13" t="s">
        <v>276</v>
      </c>
      <c r="B917" s="25" t="str">
        <f t="shared" si="51"/>
      </c>
      <c r="C917" s="13" t="s">
        <v>1147</v>
      </c>
      <c r="D917" s="13" t="s">
        <v>17</v>
      </c>
      <c r="E917" s="13" t="s">
        <v>55</v>
      </c>
      <c r="F917" s="13" t="s">
        <v>1093</v>
      </c>
      <c r="G917" s="13" t="s">
        <v>117</v>
      </c>
      <c r="H917" s="13" t="str">
        <f>IFERROR(VLOOKUP(#REF!917,'정보화기기 명부'!A$2:B$187,2,FALSE),"")</f>
        <v/>
      </c>
      <c r="I917" s="13"/>
      <c r="J917" s="13"/>
      <c r="K917" s="13"/>
      <c r="L917" s="13">
        <v>19990526</v>
      </c>
      <c r="M917" s="13" t="s">
        <v>596</v>
      </c>
      <c r="N917" s="13" t="s">
        <v>1186</v>
      </c>
      <c r="O917" s="13">
        <v>124</v>
      </c>
      <c r="P917" s="13" t="s">
        <v>683</v>
      </c>
      <c r="Q917" s="13" t="s">
        <v>1149</v>
      </c>
      <c r="R917" s="13" t="s">
        <v>298</v>
      </c>
      <c r="S917" s="13" t="s">
        <v>261</v>
      </c>
    </row>
    <row r="918" spans="1:22" s="14" customFormat="1" ht="13.5" hidden="1" customHeight="1" ns3:dyDescent="0.25">
      <c r="A918" s="13" t="s">
        <v>276</v>
      </c>
      <c r="B918" s="25" t="str">
        <f t="shared" si="51"/>
      </c>
      <c r="C918" s="13" t="s">
        <v>1147</v>
      </c>
      <c r="D918" s="13" t="s">
        <v>17</v>
      </c>
      <c r="E918" s="13" t="s">
        <v>55</v>
      </c>
      <c r="F918" s="13" t="s">
        <v>1093</v>
      </c>
      <c r="G918" s="13" t="s">
        <v>117</v>
      </c>
      <c r="H918" s="13" t="str">
        <f>IFERROR(VLOOKUP(#REF!918,'정보화기기 명부'!A$2:B$187,2,FALSE),"")</f>
        <v/>
      </c>
      <c r="I918" s="13"/>
      <c r="J918" s="13"/>
      <c r="K918" s="13"/>
      <c r="L918" s="13">
        <v>19990526</v>
      </c>
      <c r="M918" s="13" t="s">
        <v>596</v>
      </c>
      <c r="N918" s="13" t="s">
        <v>1186</v>
      </c>
      <c r="O918" s="13">
        <v>123</v>
      </c>
      <c r="P918" s="13" t="s">
        <v>683</v>
      </c>
      <c r="Q918" s="13" t="s">
        <v>1149</v>
      </c>
      <c r="R918" s="13" t="s">
        <v>298</v>
      </c>
      <c r="S918" s="13" t="s">
        <v>261</v>
      </c>
    </row>
    <row r="919" spans="1:22" s="14" customFormat="1" ht="13.5" hidden="1" customHeight="1" ns3:dyDescent="0.25">
      <c r="A919" s="13" t="s">
        <v>276</v>
      </c>
      <c r="B919" s="25" t="str">
        <f t="shared" si="51"/>
      </c>
      <c r="C919" s="13" t="s">
        <v>1147</v>
      </c>
      <c r="D919" s="13" t="s">
        <v>17</v>
      </c>
      <c r="E919" s="13" t="s">
        <v>55</v>
      </c>
      <c r="F919" s="13" t="s">
        <v>1093</v>
      </c>
      <c r="G919" s="13" t="s">
        <v>117</v>
      </c>
      <c r="H919" s="13" t="str">
        <f>IFERROR(VLOOKUP(#REF!919,'정보화기기 명부'!A$2:B$187,2,FALSE),"")</f>
        <v/>
      </c>
      <c r="I919" s="13"/>
      <c r="J919" s="13"/>
      <c r="K919" s="13"/>
      <c r="L919" s="13">
        <v>19990526</v>
      </c>
      <c r="M919" s="13" t="s">
        <v>596</v>
      </c>
      <c r="N919" s="13" t="s">
        <v>1186</v>
      </c>
      <c r="O919" s="13">
        <v>122</v>
      </c>
      <c r="P919" s="13" t="s">
        <v>683</v>
      </c>
      <c r="Q919" s="13" t="s">
        <v>1149</v>
      </c>
      <c r="R919" s="13" t="s">
        <v>298</v>
      </c>
      <c r="S919" s="13" t="s">
        <v>261</v>
      </c>
    </row>
    <row r="920" spans="1:22" s="14" customFormat="1" ht="13.5" hidden="1" customHeight="1" ns3:dyDescent="0.25">
      <c r="A920" s="13" t="s">
        <v>276</v>
      </c>
      <c r="B920" s="25" t="str">
        <f t="shared" si="51"/>
      </c>
      <c r="C920" s="13" t="s">
        <v>1147</v>
      </c>
      <c r="D920" s="13" t="s">
        <v>17</v>
      </c>
      <c r="E920" s="13" t="s">
        <v>55</v>
      </c>
      <c r="F920" s="13" t="s">
        <v>1093</v>
      </c>
      <c r="G920" s="13" t="s">
        <v>117</v>
      </c>
      <c r="H920" s="13" t="str">
        <f>IFERROR(VLOOKUP(#REF!920,'정보화기기 명부'!A$2:B$187,2,FALSE),"")</f>
        <v/>
      </c>
      <c r="I920" s="13"/>
      <c r="J920" s="13"/>
      <c r="K920" s="13"/>
      <c r="L920" s="13">
        <v>19990526</v>
      </c>
      <c r="M920" s="13" t="s">
        <v>596</v>
      </c>
      <c r="N920" s="13" t="s">
        <v>1186</v>
      </c>
      <c r="O920" s="13">
        <v>121</v>
      </c>
      <c r="P920" s="13" t="s">
        <v>683</v>
      </c>
      <c r="Q920" s="13" t="s">
        <v>1149</v>
      </c>
      <c r="R920" s="13" t="s">
        <v>298</v>
      </c>
      <c r="S920" s="13" t="s">
        <v>261</v>
      </c>
    </row>
    <row r="921" spans="1:22" s="14" customFormat="1" ht="13.5" hidden="1" customHeight="1" ns3:dyDescent="0.25">
      <c r="A921" s="13" t="s">
        <v>276</v>
      </c>
      <c r="B921" s="25" t="str">
        <f t="shared" si="51"/>
      </c>
      <c r="C921" s="13" t="s">
        <v>1147</v>
      </c>
      <c r="D921" s="13" t="s">
        <v>17</v>
      </c>
      <c r="E921" s="13" t="s">
        <v>55</v>
      </c>
      <c r="F921" s="13" t="s">
        <v>1093</v>
      </c>
      <c r="G921" s="13" t="s">
        <v>117</v>
      </c>
      <c r="H921" s="13" t="str">
        <f>IFERROR(VLOOKUP(#REF!921,'정보화기기 명부'!A$2:B$187,2,FALSE),"")</f>
        <v/>
      </c>
      <c r="I921" s="13"/>
      <c r="J921" s="13"/>
      <c r="K921" s="13"/>
      <c r="L921" s="13">
        <v>19990526</v>
      </c>
      <c r="M921" s="13" t="s">
        <v>596</v>
      </c>
      <c r="N921" s="13" t="s">
        <v>1186</v>
      </c>
      <c r="O921" s="13">
        <v>120</v>
      </c>
      <c r="P921" s="13" t="s">
        <v>683</v>
      </c>
      <c r="Q921" s="13" t="s">
        <v>1149</v>
      </c>
      <c r="R921" s="13" t="s">
        <v>298</v>
      </c>
      <c r="S921" s="13" t="s">
        <v>261</v>
      </c>
    </row>
    <row r="922" spans="1:22" s="14" customFormat="1" ht="13.5" hidden="1" customHeight="1" ns3:dyDescent="0.25">
      <c r="A922" s="13" t="s">
        <v>276</v>
      </c>
      <c r="B922" s="25" t="str">
        <f t="shared" si="51"/>
      </c>
      <c r="C922" s="13" t="s">
        <v>1147</v>
      </c>
      <c r="D922" s="13" t="s">
        <v>17</v>
      </c>
      <c r="E922" s="13" t="s">
        <v>55</v>
      </c>
      <c r="F922" s="13" t="s">
        <v>1093</v>
      </c>
      <c r="G922" s="13" t="s">
        <v>117</v>
      </c>
      <c r="H922" s="13" t="str">
        <f>IFERROR(VLOOKUP(#REF!922,'정보화기기 명부'!A$2:B$187,2,FALSE),"")</f>
        <v/>
      </c>
      <c r="I922" s="13"/>
      <c r="J922" s="13"/>
      <c r="K922" s="13"/>
      <c r="L922" s="13">
        <v>19990526</v>
      </c>
      <c r="M922" s="13" t="s">
        <v>596</v>
      </c>
      <c r="N922" s="13" t="s">
        <v>1186</v>
      </c>
      <c r="O922" s="13">
        <v>119</v>
      </c>
      <c r="P922" s="13" t="s">
        <v>683</v>
      </c>
      <c r="Q922" s="13" t="s">
        <v>1149</v>
      </c>
      <c r="R922" s="13" t="s">
        <v>298</v>
      </c>
      <c r="S922" s="13" t="s">
        <v>261</v>
      </c>
    </row>
    <row r="923" spans="1:22" s="14" customFormat="1" ht="13.5" hidden="1" customHeight="1" ns3:dyDescent="0.25">
      <c r="A923" s="13" t="s">
        <v>276</v>
      </c>
      <c r="B923" s="25" t="str">
        <f t="shared" si="51"/>
      </c>
      <c r="C923" s="13" t="s">
        <v>1147</v>
      </c>
      <c r="D923" s="13" t="s">
        <v>17</v>
      </c>
      <c r="E923" s="13" t="s">
        <v>55</v>
      </c>
      <c r="F923" s="13" t="s">
        <v>1093</v>
      </c>
      <c r="G923" s="13" t="s">
        <v>117</v>
      </c>
      <c r="H923" s="13" t="str">
        <f>IFERROR(VLOOKUP(#REF!923,'정보화기기 명부'!A$2:B$187,2,FALSE),"")</f>
        <v/>
      </c>
      <c r="I923" s="13"/>
      <c r="J923" s="13"/>
      <c r="K923" s="13"/>
      <c r="L923" s="13">
        <v>19990526</v>
      </c>
      <c r="M923" s="13" t="s">
        <v>596</v>
      </c>
      <c r="N923" s="13" t="s">
        <v>1186</v>
      </c>
      <c r="O923" s="13">
        <v>118</v>
      </c>
      <c r="P923" s="13" t="s">
        <v>683</v>
      </c>
      <c r="Q923" s="13" t="s">
        <v>1149</v>
      </c>
      <c r="R923" s="13" t="s">
        <v>298</v>
      </c>
      <c r="S923" s="13" t="s">
        <v>261</v>
      </c>
    </row>
    <row r="924" spans="1:22" s="14" customFormat="1" ht="13.5" hidden="1" customHeight="1" ns3:dyDescent="0.25">
      <c r="A924" s="13" t="s">
        <v>276</v>
      </c>
      <c r="B924" s="25" t="str">
        <f t="shared" si="51"/>
      </c>
      <c r="C924" s="13" t="s">
        <v>1147</v>
      </c>
      <c r="D924" s="13" t="s">
        <v>17</v>
      </c>
      <c r="E924" s="13" t="s">
        <v>55</v>
      </c>
      <c r="F924" s="13" t="s">
        <v>1093</v>
      </c>
      <c r="G924" s="13" t="s">
        <v>117</v>
      </c>
      <c r="H924" s="13" t="str">
        <f>IFERROR(VLOOKUP(#REF!924,'정보화기기 명부'!A$2:B$187,2,FALSE),"")</f>
        <v/>
      </c>
      <c r="I924" s="13"/>
      <c r="J924" s="13"/>
      <c r="K924" s="13"/>
      <c r="L924" s="13">
        <v>19990526</v>
      </c>
      <c r="M924" s="13" t="s">
        <v>596</v>
      </c>
      <c r="N924" s="13" t="s">
        <v>1186</v>
      </c>
      <c r="O924" s="13">
        <v>117</v>
      </c>
      <c r="P924" s="13" t="s">
        <v>683</v>
      </c>
      <c r="Q924" s="13" t="s">
        <v>1149</v>
      </c>
      <c r="R924" s="13" t="s">
        <v>298</v>
      </c>
      <c r="S924" s="13" t="s">
        <v>261</v>
      </c>
    </row>
    <row r="925" spans="1:22" s="14" customFormat="1" ht="13.5" hidden="1" customHeight="1" ns3:dyDescent="0.25">
      <c r="A925" s="13" t="s">
        <v>278</v>
      </c>
      <c r="B925" s="25" t="str">
        <f t="shared" si="51"/>
      </c>
      <c r="C925" s="13" t="s">
        <v>1147</v>
      </c>
      <c r="D925" s="13" t="s">
        <v>17</v>
      </c>
      <c r="E925" s="13" t="s">
        <v>8</v>
      </c>
      <c r="F925" s="13" t="s">
        <v>1093</v>
      </c>
      <c r="G925" s="13" t="s">
        <v>117</v>
      </c>
      <c r="H925" s="13" t="str">
        <f>IFERROR(VLOOKUP(#REF!925,'정보화기기 명부'!A$2:B$187,2,FALSE),"")</f>
        <v/>
      </c>
      <c r="I925" s="13"/>
      <c r="J925" s="13"/>
      <c r="K925" s="13"/>
      <c r="L925" s="13">
        <v>19990526</v>
      </c>
      <c r="M925" s="13" t="s">
        <v>596</v>
      </c>
      <c r="N925" s="13" t="s">
        <v>1186</v>
      </c>
      <c r="O925" s="13">
        <v>116</v>
      </c>
      <c r="P925" s="13" t="s">
        <v>683</v>
      </c>
      <c r="Q925" s="13" t="s">
        <v>1149</v>
      </c>
      <c r="R925" s="13" t="s">
        <v>298</v>
      </c>
      <c r="S925" s="13" t="s">
        <v>261</v>
      </c>
    </row>
    <row r="926" spans="1:22" s="14" customFormat="1" ht="13.5" hidden="1" customHeight="1" ns3:dyDescent="0.25">
      <c r="A926" s="13" t="s">
        <v>276</v>
      </c>
      <c r="B926" s="25" t="str">
        <f t="shared" si="51"/>
      </c>
      <c r="C926" s="13" t="s">
        <v>1147</v>
      </c>
      <c r="D926" s="13" t="s">
        <v>17</v>
      </c>
      <c r="E926" s="13" t="s">
        <v>55</v>
      </c>
      <c r="F926" s="13" t="s">
        <v>1093</v>
      </c>
      <c r="G926" s="13" t="s">
        <v>117</v>
      </c>
      <c r="H926" s="13" t="str">
        <f>IFERROR(VLOOKUP(#REF!926,'정보화기기 명부'!A$2:B$187,2,FALSE),"")</f>
        <v/>
      </c>
      <c r="I926" s="13"/>
      <c r="J926" s="13"/>
      <c r="K926" s="13"/>
      <c r="L926" s="13">
        <v>19990526</v>
      </c>
      <c r="M926" s="13" t="s">
        <v>596</v>
      </c>
      <c r="N926" s="13" t="s">
        <v>1186</v>
      </c>
      <c r="O926" s="13">
        <v>115</v>
      </c>
      <c r="P926" s="13" t="s">
        <v>683</v>
      </c>
      <c r="Q926" s="13" t="s">
        <v>1149</v>
      </c>
      <c r="R926" s="13" t="s">
        <v>298</v>
      </c>
      <c r="S926" s="13" t="s">
        <v>261</v>
      </c>
    </row>
    <row r="927" spans="1:22" s="14" customFormat="1" ht="13.5" hidden="1" customHeight="1" ns3:dyDescent="0.25">
      <c r="A927" s="13" t="s">
        <v>276</v>
      </c>
      <c r="B927" s="25" t="str">
        <f t="shared" si="51"/>
      </c>
      <c r="C927" s="13" t="s">
        <v>1147</v>
      </c>
      <c r="D927" s="13" t="s">
        <v>17</v>
      </c>
      <c r="E927" s="13" t="s">
        <v>55</v>
      </c>
      <c r="F927" s="13" t="s">
        <v>1093</v>
      </c>
      <c r="G927" s="13" t="s">
        <v>117</v>
      </c>
      <c r="H927" s="13" t="str">
        <f>IFERROR(VLOOKUP(#REF!927,'정보화기기 명부'!A$2:B$187,2,FALSE),"")</f>
        <v/>
      </c>
      <c r="I927" s="13"/>
      <c r="J927" s="13"/>
      <c r="K927" s="13"/>
      <c r="L927" s="13">
        <v>19990526</v>
      </c>
      <c r="M927" s="13" t="s">
        <v>596</v>
      </c>
      <c r="N927" s="13" t="s">
        <v>1186</v>
      </c>
      <c r="O927" s="13">
        <v>114</v>
      </c>
      <c r="P927" s="13" t="s">
        <v>683</v>
      </c>
      <c r="Q927" s="13" t="s">
        <v>1149</v>
      </c>
      <c r="R927" s="13" t="s">
        <v>298</v>
      </c>
      <c r="S927" s="13" t="s">
        <v>261</v>
      </c>
    </row>
    <row r="928" spans="1:22" s="14" customFormat="1" ht="13.5" hidden="1" customHeight="1" ns3:dyDescent="0.25">
      <c r="A928" s="13" t="s">
        <v>276</v>
      </c>
      <c r="B928" s="25" t="str">
        <f t="shared" si="51"/>
      </c>
      <c r="C928" s="13" t="s">
        <v>1147</v>
      </c>
      <c r="D928" s="13" t="s">
        <v>17</v>
      </c>
      <c r="E928" s="13" t="s">
        <v>55</v>
      </c>
      <c r="F928" s="13" t="s">
        <v>1093</v>
      </c>
      <c r="G928" s="13" t="s">
        <v>117</v>
      </c>
      <c r="H928" s="13" t="str">
        <f>IFERROR(VLOOKUP(#REF!928,'정보화기기 명부'!A$2:B$187,2,FALSE),"")</f>
        <v/>
      </c>
      <c r="I928" s="13"/>
      <c r="J928" s="13"/>
      <c r="K928" s="13"/>
      <c r="L928" s="13">
        <v>19990526</v>
      </c>
      <c r="M928" s="13" t="s">
        <v>596</v>
      </c>
      <c r="N928" s="13" t="s">
        <v>1186</v>
      </c>
      <c r="O928" s="13">
        <v>113</v>
      </c>
      <c r="P928" s="13" t="s">
        <v>683</v>
      </c>
      <c r="Q928" s="13" t="s">
        <v>1149</v>
      </c>
      <c r="R928" s="13" t="s">
        <v>298</v>
      </c>
      <c r="S928" s="13" t="s">
        <v>261</v>
      </c>
    </row>
    <row r="929" spans="1:26" s="14" customFormat="1" ht="13.5" hidden="1" customHeight="1" ns3:dyDescent="0.25">
      <c r="A929" s="13" t="s">
        <v>276</v>
      </c>
      <c r="B929" s="25" t="str">
        <f t="shared" si="51"/>
      </c>
      <c r="C929" s="13" t="s">
        <v>1147</v>
      </c>
      <c r="D929" s="13" t="s">
        <v>17</v>
      </c>
      <c r="E929" s="13" t="s">
        <v>55</v>
      </c>
      <c r="F929" s="13" t="s">
        <v>1093</v>
      </c>
      <c r="G929" s="13" t="s">
        <v>117</v>
      </c>
      <c r="H929" s="13" t="str">
        <f>IFERROR(VLOOKUP(#REF!929,'정보화기기 명부'!A$2:B$187,2,FALSE),"")</f>
        <v/>
      </c>
      <c r="I929" s="13"/>
      <c r="J929" s="13"/>
      <c r="K929" s="13"/>
      <c r="L929" s="13">
        <v>19990526</v>
      </c>
      <c r="M929" s="13" t="s">
        <v>596</v>
      </c>
      <c r="N929" s="13" t="s">
        <v>1186</v>
      </c>
      <c r="O929" s="13">
        <v>112</v>
      </c>
      <c r="P929" s="13" t="s">
        <v>683</v>
      </c>
      <c r="Q929" s="13" t="s">
        <v>1149</v>
      </c>
      <c r="R929" s="13" t="s">
        <v>298</v>
      </c>
      <c r="S929" s="13" t="s">
        <v>261</v>
      </c>
    </row>
    <row r="930" spans="1:26" s="14" customFormat="1" ht="13.5" hidden="1" customHeight="1" ns3:dyDescent="0.25">
      <c r="A930" s="13" t="s">
        <v>276</v>
      </c>
      <c r="B930" s="25" t="str">
        <f t="shared" si="51"/>
      </c>
      <c r="C930" s="13" t="s">
        <v>1147</v>
      </c>
      <c r="D930" s="13" t="s">
        <v>17</v>
      </c>
      <c r="E930" s="13" t="s">
        <v>55</v>
      </c>
      <c r="F930" s="13" t="s">
        <v>1093</v>
      </c>
      <c r="G930" s="13" t="s">
        <v>117</v>
      </c>
      <c r="H930" s="13" t="str">
        <f>IFERROR(VLOOKUP(#REF!930,'정보화기기 명부'!A$2:B$187,2,FALSE),"")</f>
        <v/>
      </c>
      <c r="I930" s="13"/>
      <c r="J930" s="13"/>
      <c r="K930" s="13"/>
      <c r="L930" s="13">
        <v>19990526</v>
      </c>
      <c r="M930" s="13" t="s">
        <v>596</v>
      </c>
      <c r="N930" s="13" t="s">
        <v>1186</v>
      </c>
      <c r="O930" s="13">
        <v>111</v>
      </c>
      <c r="P930" s="13" t="s">
        <v>683</v>
      </c>
      <c r="Q930" s="13" t="s">
        <v>1149</v>
      </c>
      <c r="R930" s="13" t="s">
        <v>298</v>
      </c>
      <c r="S930" s="13" t="s">
        <v>261</v>
      </c>
    </row>
    <row r="931" spans="1:26" s="14" customFormat="1" ht="13.5" hidden="1" customHeight="1" ns3:dyDescent="0.25">
      <c r="A931" s="13" t="s">
        <v>276</v>
      </c>
      <c r="B931" s="25" t="str">
        <f t="shared" si="51"/>
      </c>
      <c r="C931" s="13" t="s">
        <v>1147</v>
      </c>
      <c r="D931" s="13" t="s">
        <v>17</v>
      </c>
      <c r="E931" s="13" t="s">
        <v>55</v>
      </c>
      <c r="F931" s="13" t="s">
        <v>1093</v>
      </c>
      <c r="G931" s="13" t="s">
        <v>117</v>
      </c>
      <c r="H931" s="13" t="str">
        <f>IFERROR(VLOOKUP(#REF!931,'정보화기기 명부'!A$2:B$187,2,FALSE),"")</f>
        <v/>
      </c>
      <c r="I931" s="13"/>
      <c r="J931" s="13"/>
      <c r="K931" s="13"/>
      <c r="L931" s="13">
        <v>19990526</v>
      </c>
      <c r="M931" s="13" t="s">
        <v>596</v>
      </c>
      <c r="N931" s="13" t="s">
        <v>1186</v>
      </c>
      <c r="O931" s="13">
        <v>110</v>
      </c>
      <c r="P931" s="13" t="s">
        <v>683</v>
      </c>
      <c r="Q931" s="13" t="s">
        <v>1149</v>
      </c>
      <c r="R931" s="13" t="s">
        <v>298</v>
      </c>
      <c r="S931" s="13" t="s">
        <v>261</v>
      </c>
    </row>
    <row r="932" spans="1:26" s="14" customFormat="1" ht="13.5" hidden="1" customHeight="1" ns3:dyDescent="0.25">
      <c r="A932" s="13" t="s">
        <v>276</v>
      </c>
      <c r="B932" s="25" t="str">
        <f t="shared" si="51"/>
      </c>
      <c r="C932" s="13" t="s">
        <v>1147</v>
      </c>
      <c r="D932" s="13" t="s">
        <v>17</v>
      </c>
      <c r="E932" s="13" t="s">
        <v>55</v>
      </c>
      <c r="F932" s="13" t="s">
        <v>1093</v>
      </c>
      <c r="G932" s="13" t="s">
        <v>117</v>
      </c>
      <c r="H932" s="13" t="str">
        <f>IFERROR(VLOOKUP(#REF!932,'정보화기기 명부'!A$2:B$187,2,FALSE),"")</f>
        <v/>
      </c>
      <c r="I932" s="13"/>
      <c r="J932" s="13"/>
      <c r="K932" s="13"/>
      <c r="L932" s="13">
        <v>19990526</v>
      </c>
      <c r="M932" s="13" t="s">
        <v>596</v>
      </c>
      <c r="N932" s="13" t="s">
        <v>1186</v>
      </c>
      <c r="O932" s="13">
        <v>109</v>
      </c>
      <c r="P932" s="13" t="s">
        <v>683</v>
      </c>
      <c r="Q932" s="13" t="s">
        <v>1149</v>
      </c>
      <c r="R932" s="13" t="s">
        <v>298</v>
      </c>
      <c r="S932" s="13" t="s">
        <v>261</v>
      </c>
    </row>
    <row r="933" spans="1:26" s="14" customFormat="1" ht="13.5" hidden="1" customHeight="1" ns3:dyDescent="0.25">
      <c r="A933" s="13" t="s">
        <v>265</v>
      </c>
      <c r="B933" s="25" t="str">
        <f t="shared" si="51"/>
      </c>
      <c r="C933" s="13" t="s">
        <v>1147</v>
      </c>
      <c r="D933" s="13" t="s">
        <v>17</v>
      </c>
      <c r="E933" s="13" t="s">
        <v>120</v>
      </c>
      <c r="F933" s="13" t="s">
        <v>1093</v>
      </c>
      <c r="G933" s="13" t="s">
        <v>117</v>
      </c>
      <c r="H933" s="13" t="str">
        <f>IFERROR(VLOOKUP(#REF!933,'정보화기기 명부'!A$2:B$187,2,FALSE),"")</f>
        <v/>
      </c>
      <c r="I933" s="13"/>
      <c r="J933" s="13"/>
      <c r="K933" s="13"/>
      <c r="L933" s="13">
        <v>19990526</v>
      </c>
      <c r="M933" s="13" t="s">
        <v>596</v>
      </c>
      <c r="N933" s="13" t="s">
        <v>1186</v>
      </c>
      <c r="O933" s="13">
        <v>101</v>
      </c>
      <c r="P933" s="13" t="s">
        <v>683</v>
      </c>
      <c r="Q933" s="13" t="s">
        <v>1133</v>
      </c>
      <c r="R933" s="13" t="s">
        <v>20</v>
      </c>
      <c r="S933" s="13" t="s">
        <v>285</v>
      </c>
    </row>
    <row r="934" spans="1:26" s="14" customFormat="1" ht="13.5" hidden="1" customHeight="1" ns3:dyDescent="0.25">
      <c r="A934" s="13" t="s">
        <v>297</v>
      </c>
      <c r="B934" s="25" t="str">
        <f t="shared" si="51"/>
      </c>
      <c r="C934" s="13" t="s">
        <v>1147</v>
      </c>
      <c r="D934" s="13" t="s">
        <v>17</v>
      </c>
      <c r="E934" s="13" t="s">
        <v>8</v>
      </c>
      <c r="F934" s="13" t="s">
        <v>1093</v>
      </c>
      <c r="G934" s="13" t="s">
        <v>117</v>
      </c>
      <c r="H934" s="13" t="str">
        <f>IFERROR(VLOOKUP(#REF!934,'정보화기기 명부'!A$2:B$187,2,FALSE),"")</f>
        <v/>
      </c>
      <c r="I934" s="13"/>
      <c r="J934" s="13"/>
      <c r="K934" s="13"/>
      <c r="L934" s="13">
        <v>19990526</v>
      </c>
      <c r="M934" s="13" t="s">
        <v>596</v>
      </c>
      <c r="N934" s="13" t="s">
        <v>1186</v>
      </c>
      <c r="O934" s="13">
        <v>77</v>
      </c>
      <c r="P934" s="13" t="s">
        <v>683</v>
      </c>
      <c r="Q934" s="13" t="s">
        <v>1133</v>
      </c>
      <c r="R934" s="13" t="s">
        <v>20</v>
      </c>
      <c r="S934" s="13" t="s">
        <v>285</v>
      </c>
    </row>
    <row r="935" spans="1:26" s="14" customFormat="1" ht="13.5" hidden="1" customHeight="1" ns3:dyDescent="0.25">
      <c r="A935" s="13" t="s">
        <v>271</v>
      </c>
      <c r="B935" s="25" t="str">
        <f t="shared" si="51"/>
      </c>
      <c r="C935" s="16" t="s">
        <v>1147</v>
      </c>
      <c r="D935" s="16" t="s">
        <v>17</v>
      </c>
      <c r="E935" s="16" t="s">
        <v>8</v>
      </c>
      <c r="F935" s="16" t="s">
        <v>1093</v>
      </c>
      <c r="G935" s="16" t="s">
        <v>117</v>
      </c>
      <c r="H935" s="16" t="str">
        <f>IFERROR(VLOOKUP(#REF!935,'정보화기기 명부'!A$2:B$187,2,FALSE),"")</f>
        <v/>
      </c>
      <c r="I935" s="16"/>
      <c r="J935" s="16"/>
      <c r="K935" s="16"/>
      <c r="L935" s="16">
        <v>19990526</v>
      </c>
      <c r="M935" s="16" t="s">
        <v>596</v>
      </c>
      <c r="N935" s="16" t="s">
        <v>1186</v>
      </c>
      <c r="O935" s="16">
        <v>76</v>
      </c>
      <c r="P935" s="16" t="s">
        <v>683</v>
      </c>
      <c r="Q935" s="16" t="s">
        <v>1133</v>
      </c>
      <c r="R935" s="16" t="s">
        <v>20</v>
      </c>
      <c r="S935" s="16" t="s">
        <v>285</v>
      </c>
    </row>
    <row r="936" spans="1:26" s="14" customFormat="1" ht="13.5" hidden="1" customHeight="1" ns3:dyDescent="0.25">
      <c r="A936" s="13" t="s">
        <v>320</v>
      </c>
      <c r="B936" s="25" t="str">
        <f t="shared" si="51"/>
      </c>
      <c r="C936" s="16" t="s">
        <v>1147</v>
      </c>
      <c r="D936" s="16" t="s">
        <v>17</v>
      </c>
      <c r="E936" s="16" t="s">
        <v>120</v>
      </c>
      <c r="F936" s="16" t="s">
        <v>1093</v>
      </c>
      <c r="G936" s="16" t="s">
        <v>117</v>
      </c>
      <c r="H936" s="16" t="str">
        <f>IFERROR(VLOOKUP(#REF!936,'정보화기기 명부'!A$2:B$187,2,FALSE),"")</f>
        <v/>
      </c>
      <c r="I936" s="16"/>
      <c r="J936" s="16"/>
      <c r="K936" s="16"/>
      <c r="L936" s="16">
        <v>19990526</v>
      </c>
      <c r="M936" s="16" t="s">
        <v>596</v>
      </c>
      <c r="N936" s="16" t="s">
        <v>1186</v>
      </c>
      <c r="O936" s="16">
        <v>33</v>
      </c>
      <c r="P936" s="16" t="s">
        <v>495</v>
      </c>
      <c r="Q936" s="16" t="s">
        <v>1133</v>
      </c>
      <c r="R936" s="16" t="s">
        <v>174</v>
      </c>
      <c r="S936" s="16" t="s">
        <v>285</v>
      </c>
    </row>
    <row r="937" spans="1:26" s="14" customFormat="1" ht="13.5" hidden="1" customHeight="1" ns3:dyDescent="0.25">
      <c r="A937" s="13" t="s">
        <v>290</v>
      </c>
      <c r="B937" s="25" t="str">
        <f t="shared" si="51"/>
      </c>
      <c r="C937" s="16" t="s">
        <v>1147</v>
      </c>
      <c r="D937" s="16" t="s">
        <v>17</v>
      </c>
      <c r="E937" s="16" t="s">
        <v>8</v>
      </c>
      <c r="F937" s="16" t="s">
        <v>1093</v>
      </c>
      <c r="G937" s="16" t="s">
        <v>117</v>
      </c>
      <c r="H937" s="16" t="str">
        <f>IFERROR(VLOOKUP(#REF!937,'정보화기기 명부'!A$2:B$187,2,FALSE),"")</f>
        <v/>
      </c>
      <c r="I937" s="16"/>
      <c r="J937" s="16"/>
      <c r="K937" s="16"/>
      <c r="L937" s="16">
        <v>19990526</v>
      </c>
      <c r="M937" s="16" t="s">
        <v>596</v>
      </c>
      <c r="N937" s="16" t="s">
        <v>1186</v>
      </c>
      <c r="O937" s="16">
        <v>32</v>
      </c>
      <c r="P937" s="16" t="s">
        <v>683</v>
      </c>
      <c r="Q937" s="16" t="s">
        <v>1149</v>
      </c>
      <c r="R937" s="16" t="s">
        <v>20</v>
      </c>
      <c r="S937" s="16" t="s">
        <v>285</v>
      </c>
    </row>
    <row r="938" spans="1:26" s="14" customFormat="1" ht="13.5" hidden="1" customHeight="1" ns3:dyDescent="0.25">
      <c r="A938" s="13" t="s">
        <v>246</v>
      </c>
      <c r="B938" s="25" t="str">
        <f t="shared" si="51"/>
      </c>
      <c r="C938" s="16" t="s">
        <v>1147</v>
      </c>
      <c r="D938" s="16" t="s">
        <v>17</v>
      </c>
      <c r="E938" s="16" t="s">
        <v>120</v>
      </c>
      <c r="F938" s="16" t="s">
        <v>1093</v>
      </c>
      <c r="G938" s="16" t="s">
        <v>117</v>
      </c>
      <c r="H938" s="16" t="str">
        <f>IFERROR(VLOOKUP(#REF!938,'정보화기기 명부'!A$2:B$187,2,FALSE),"")</f>
        <v/>
      </c>
      <c r="I938" s="16"/>
      <c r="J938" s="16"/>
      <c r="K938" s="16"/>
      <c r="L938" s="16">
        <v>19990526</v>
      </c>
      <c r="M938" s="16" t="s">
        <v>596</v>
      </c>
      <c r="N938" s="16" t="s">
        <v>1186</v>
      </c>
      <c r="O938" s="16">
        <v>31</v>
      </c>
      <c r="P938" s="16" t="s">
        <v>683</v>
      </c>
      <c r="Q938" s="16" t="s">
        <v>1149</v>
      </c>
      <c r="R938" s="16" t="s">
        <v>298</v>
      </c>
      <c r="S938" s="16" t="s">
        <v>261</v>
      </c>
    </row>
    <row r="939" spans="1:26" s="14" customFormat="1" ht="13.5" hidden="1" customHeight="1" ns3:dyDescent="0.25">
      <c r="A939" s="13" t="s">
        <v>302</v>
      </c>
      <c r="B939" s="25" t="str">
        <f t="shared" si="51"/>
      </c>
      <c r="C939" s="19" t="s">
        <v>1147</v>
      </c>
      <c r="D939" s="19" t="s">
        <v>17</v>
      </c>
      <c r="E939" s="19" t="s">
        <v>120</v>
      </c>
      <c r="F939" s="19" t="s">
        <v>1093</v>
      </c>
      <c r="G939" s="19" t="s">
        <v>117</v>
      </c>
      <c r="H939" s="19" t="str">
        <f>IFERROR(VLOOKUP(#REF!939,'정보화기기 명부'!A$2:B$187,2,FALSE),"")</f>
        <v/>
      </c>
      <c r="I939" s="19"/>
      <c r="J939" s="19"/>
      <c r="K939" s="19"/>
      <c r="L939" s="19">
        <v>19990526</v>
      </c>
      <c r="M939" s="19" t="s">
        <v>596</v>
      </c>
      <c r="N939" s="19" t="s">
        <v>1186</v>
      </c>
      <c r="O939" s="19">
        <v>10</v>
      </c>
      <c r="P939" s="19" t="s">
        <v>495</v>
      </c>
      <c r="Q939" s="19" t="s">
        <v>1133</v>
      </c>
      <c r="R939" s="19" t="s">
        <v>174</v>
      </c>
      <c r="S939" s="19" t="s">
        <v>285</v>
      </c>
    </row>
    <row r="940" spans="1:26" s="14" customFormat="1" ht="13.5" hidden="1" customHeight="1" ns3:dyDescent="0.25">
      <c r="A940" s="13" t="s">
        <v>268</v>
      </c>
      <c r="B940" s="25" t="str">
        <f t="shared" si="51"/>
      </c>
      <c r="C940" s="13" t="s">
        <v>1147</v>
      </c>
      <c r="D940" s="13" t="s">
        <v>17</v>
      </c>
      <c r="E940" s="13" t="s">
        <v>120</v>
      </c>
      <c r="F940" s="13" t="s">
        <v>1093</v>
      </c>
      <c r="G940" s="13" t="s">
        <v>117</v>
      </c>
      <c r="H940" s="13" t="str">
        <f>IFERROR(VLOOKUP(#REF!940,'정보화기기 명부'!A$2:B$187,2,FALSE),"")</f>
        <v/>
      </c>
      <c r="I940" s="13"/>
      <c r="J940" s="13"/>
      <c r="K940" s="13"/>
      <c r="L940" s="13">
        <v>19990526</v>
      </c>
      <c r="M940" s="13" t="s">
        <v>596</v>
      </c>
      <c r="N940" s="13" t="s">
        <v>1186</v>
      </c>
      <c r="O940" s="13">
        <v>9</v>
      </c>
      <c r="P940" s="13" t="s">
        <v>495</v>
      </c>
      <c r="Q940" s="13" t="s">
        <v>1133</v>
      </c>
      <c r="R940" s="13" t="s">
        <v>174</v>
      </c>
      <c r="S940" s="13" t="s">
        <v>285</v>
      </c>
    </row>
    <row r="941" spans="1:26" s="14" customFormat="1" ht="13.5" hidden="1" customHeight="1" ns3:dyDescent="0.25">
      <c r="A941" s="13" t="s">
        <v>276</v>
      </c>
      <c r="B941" s="25" t="str">
        <f t="shared" si="51"/>
      </c>
      <c r="C941" s="13" t="s">
        <v>1147</v>
      </c>
      <c r="D941" s="13" t="s">
        <v>17</v>
      </c>
      <c r="E941" s="13" t="s">
        <v>55</v>
      </c>
      <c r="F941" s="13" t="s">
        <v>1163</v>
      </c>
      <c r="G941" s="13" t="s">
        <v>117</v>
      </c>
      <c r="H941" s="13" t="str">
        <f>IFERROR(VLOOKUP(#REF!941,'정보화기기 명부'!A$2:B$187,2,FALSE),"")</f>
        <v/>
      </c>
      <c r="I941" s="13"/>
      <c r="J941" s="13"/>
      <c r="K941" s="13"/>
      <c r="L941" s="13">
        <v>19990101</v>
      </c>
      <c r="M941" s="13" t="s">
        <v>1148</v>
      </c>
      <c r="N941" s="13" t="s">
        <v>1186</v>
      </c>
      <c r="O941" s="13">
        <v>142</v>
      </c>
      <c r="P941" s="13" t="s">
        <v>683</v>
      </c>
      <c r="Q941" s="13" t="s">
        <v>1141</v>
      </c>
      <c r="R941" s="13" t="s">
        <v>275</v>
      </c>
      <c r="S941" s="13" t="s">
        <v>304</v>
      </c>
    </row>
    <row r="942" spans="1:26" s="14" customFormat="1" ht="13.5" hidden="1" customHeight="1" ns3:dyDescent="0.25">
      <c r="A942" s="13" t="s">
        <v>276</v>
      </c>
      <c r="B942" s="25" t="str">
        <f t="shared" si="51"/>
      </c>
      <c r="C942" s="13" t="s">
        <v>1147</v>
      </c>
      <c r="D942" s="13" t="s">
        <v>17</v>
      </c>
      <c r="E942" s="13" t="s">
        <v>55</v>
      </c>
      <c r="F942" s="13" t="s">
        <v>1163</v>
      </c>
      <c r="G942" s="13" t="s">
        <v>117</v>
      </c>
      <c r="H942" s="13" t="str">
        <f>IFERROR(VLOOKUP(#REF!942,'정보화기기 명부'!A$2:B$187,2,FALSE),"")</f>
        <v/>
      </c>
      <c r="I942" s="13"/>
      <c r="J942" s="13"/>
      <c r="K942" s="13"/>
      <c r="L942" s="13">
        <v>19990101</v>
      </c>
      <c r="M942" s="13" t="s">
        <v>1148</v>
      </c>
      <c r="N942" s="13" t="s">
        <v>1186</v>
      </c>
      <c r="O942" s="13">
        <v>141</v>
      </c>
      <c r="P942" s="13" t="s">
        <v>683</v>
      </c>
      <c r="Q942" s="13" t="s">
        <v>1141</v>
      </c>
      <c r="R942" s="13" t="s">
        <v>275</v>
      </c>
      <c r="S942" s="13" t="s">
        <v>304</v>
      </c>
    </row>
    <row r="943" spans="1:26" s="14" customFormat="1" ht="13.5" hidden="1" customHeight="1" ns3:dyDescent="0.25">
      <c r="A943" s="13" t="s">
        <v>276</v>
      </c>
      <c r="B943" s="25" t="str">
        <f t="shared" si="51"/>
      </c>
      <c r="C943" s="13" t="s">
        <v>1147</v>
      </c>
      <c r="D943" s="13" t="s">
        <v>17</v>
      </c>
      <c r="E943" s="13" t="s">
        <v>55</v>
      </c>
      <c r="F943" s="13" t="s">
        <v>1163</v>
      </c>
      <c r="G943" s="13" t="s">
        <v>117</v>
      </c>
      <c r="H943" s="13" t="str">
        <f>IFERROR(VLOOKUP(#REF!943,'정보화기기 명부'!A$2:B$187,2,FALSE),"")</f>
        <v/>
      </c>
      <c r="I943" s="13"/>
      <c r="J943" s="13"/>
      <c r="K943" s="13"/>
      <c r="L943" s="13">
        <v>19990101</v>
      </c>
      <c r="M943" s="13" t="s">
        <v>1148</v>
      </c>
      <c r="N943" s="13" t="s">
        <v>1186</v>
      </c>
      <c r="O943" s="13">
        <v>140</v>
      </c>
      <c r="P943" s="13" t="s">
        <v>683</v>
      </c>
      <c r="Q943" s="13" t="s">
        <v>1141</v>
      </c>
      <c r="R943" s="13" t="s">
        <v>275</v>
      </c>
      <c r="S943" s="13" t="s">
        <v>304</v>
      </c>
    </row>
    <row r="944" spans="1:26" s="14" customFormat="1" ht="13.5" hidden="1" customHeight="1" ns3:dyDescent="0.25">
      <c r="A944" s="13" t="s">
        <v>276</v>
      </c>
      <c r="B944" s="25" t="str">
        <f t="shared" si="51"/>
      </c>
      <c r="C944" s="13" t="s">
        <v>1147</v>
      </c>
      <c r="D944" s="13" t="s">
        <v>17</v>
      </c>
      <c r="E944" s="13" t="s">
        <v>55</v>
      </c>
      <c r="F944" s="13" t="s">
        <v>1163</v>
      </c>
      <c r="G944" s="13" t="s">
        <v>117</v>
      </c>
      <c r="H944" s="13" t="str">
        <f>IFERROR(VLOOKUP(#REF!944,'정보화기기 명부'!A$2:B$187,2,FALSE),"")</f>
        <v/>
      </c>
      <c r="I944" s="13"/>
      <c r="J944" s="13"/>
      <c r="K944" s="13"/>
      <c r="L944" s="13">
        <v>19990101</v>
      </c>
      <c r="M944" s="13" t="s">
        <v>1148</v>
      </c>
      <c r="N944" s="13" t="s">
        <v>1186</v>
      </c>
      <c r="O944" s="13">
        <v>139</v>
      </c>
      <c r="P944" s="13" t="s">
        <v>683</v>
      </c>
      <c r="Q944" s="13" t="s">
        <v>1141</v>
      </c>
      <c r="R944" s="13" t="s">
        <v>275</v>
      </c>
      <c r="S944" s="13" t="s">
        <v>304</v>
      </c>
    </row>
    <row r="945" spans="1:22" s="14" customFormat="1" ht="13.5" hidden="1" customHeight="1" ns3:dyDescent="0.25">
      <c r="A945" s="13" t="s">
        <v>276</v>
      </c>
      <c r="B945" s="25" t="str">
        <f t="shared" si="51"/>
      </c>
      <c r="C945" s="13" t="s">
        <v>1147</v>
      </c>
      <c r="D945" s="13" t="s">
        <v>17</v>
      </c>
      <c r="E945" s="13" t="s">
        <v>55</v>
      </c>
      <c r="F945" s="13" t="s">
        <v>1163</v>
      </c>
      <c r="G945" s="13" t="s">
        <v>117</v>
      </c>
      <c r="H945" s="13" t="str">
        <f>IFERROR(VLOOKUP(#REF!945,'정보화기기 명부'!A$2:B$187,2,FALSE),"")</f>
        <v/>
      </c>
      <c r="I945" s="13"/>
      <c r="J945" s="13"/>
      <c r="K945" s="13"/>
      <c r="L945" s="13">
        <v>19990101</v>
      </c>
      <c r="M945" s="13" t="s">
        <v>1148</v>
      </c>
      <c r="N945" s="13" t="s">
        <v>1186</v>
      </c>
      <c r="O945" s="13">
        <v>138</v>
      </c>
      <c r="P945" s="13" t="s">
        <v>683</v>
      </c>
      <c r="Q945" s="13" t="s">
        <v>1141</v>
      </c>
      <c r="R945" s="13" t="s">
        <v>275</v>
      </c>
      <c r="S945" s="13" t="s">
        <v>304</v>
      </c>
    </row>
    <row r="946" spans="1:22" s="14" customFormat="1" ht="13.5" hidden="1" customHeight="1" ns3:dyDescent="0.25">
      <c r="A946" s="13" t="s">
        <v>276</v>
      </c>
      <c r="B946" s="25" t="str">
        <f t="shared" ref="B946:B961" si="53">LEFT(L946,6)&amp;"-"&amp;TEXT(O946,"0000")</f>
      </c>
      <c r="C946" s="13" t="s">
        <v>1147</v>
      </c>
      <c r="D946" s="13" t="s">
        <v>17</v>
      </c>
      <c r="E946" s="13" t="s">
        <v>55</v>
      </c>
      <c r="F946" s="13" t="s">
        <v>1163</v>
      </c>
      <c r="G946" s="13" t="s">
        <v>117</v>
      </c>
      <c r="H946" s="13" t="str">
        <f>IFERROR(VLOOKUP(#REF!946,'정보화기기 명부'!A$2:B$187,2,FALSE),"")</f>
        <v/>
      </c>
      <c r="I946" s="13"/>
      <c r="J946" s="13"/>
      <c r="K946" s="13"/>
      <c r="L946" s="13">
        <v>19990101</v>
      </c>
      <c r="M946" s="13" t="s">
        <v>1148</v>
      </c>
      <c r="N946" s="13" t="s">
        <v>1186</v>
      </c>
      <c r="O946" s="13">
        <v>137</v>
      </c>
      <c r="P946" s="13" t="s">
        <v>683</v>
      </c>
      <c r="Q946" s="13" t="s">
        <v>1141</v>
      </c>
      <c r="R946" s="13" t="s">
        <v>275</v>
      </c>
      <c r="S946" s="13" t="s">
        <v>304</v>
      </c>
    </row>
    <row r="947" spans="1:22" s="14" customFormat="1" ht="13.5" hidden="1" customHeight="1" ns3:dyDescent="0.25">
      <c r="A947" s="13" t="s">
        <v>276</v>
      </c>
      <c r="B947" s="25" t="str">
        <f t="shared" si="53"/>
      </c>
      <c r="C947" s="13" t="s">
        <v>1147</v>
      </c>
      <c r="D947" s="13" t="s">
        <v>17</v>
      </c>
      <c r="E947" s="13" t="s">
        <v>55</v>
      </c>
      <c r="F947" s="13" t="s">
        <v>1163</v>
      </c>
      <c r="G947" s="13" t="s">
        <v>117</v>
      </c>
      <c r="H947" s="13" t="str">
        <f>IFERROR(VLOOKUP(#REF!947,'정보화기기 명부'!A$2:B$187,2,FALSE),"")</f>
        <v/>
      </c>
      <c r="I947" s="13"/>
      <c r="J947" s="13"/>
      <c r="K947" s="13"/>
      <c r="L947" s="13">
        <v>19990101</v>
      </c>
      <c r="M947" s="13" t="s">
        <v>1148</v>
      </c>
      <c r="N947" s="13" t="s">
        <v>1186</v>
      </c>
      <c r="O947" s="13">
        <v>136</v>
      </c>
      <c r="P947" s="13" t="s">
        <v>683</v>
      </c>
      <c r="Q947" s="13" t="s">
        <v>1141</v>
      </c>
      <c r="R947" s="13" t="s">
        <v>275</v>
      </c>
      <c r="S947" s="13" t="s">
        <v>304</v>
      </c>
    </row>
    <row r="948" spans="1:22" s="14" customFormat="1" ht="13.5" hidden="1" customHeight="1" ns3:dyDescent="0.25">
      <c r="A948" s="13" t="s">
        <v>276</v>
      </c>
      <c r="B948" s="25" t="str">
        <f t="shared" si="53"/>
      </c>
      <c r="C948" s="13" t="s">
        <v>1147</v>
      </c>
      <c r="D948" s="13" t="s">
        <v>17</v>
      </c>
      <c r="E948" s="13" t="s">
        <v>55</v>
      </c>
      <c r="F948" s="13" t="s">
        <v>1163</v>
      </c>
      <c r="G948" s="13" t="s">
        <v>117</v>
      </c>
      <c r="H948" s="13" t="str">
        <f>IFERROR(VLOOKUP(#REF!948,'정보화기기 명부'!A$2:B$187,2,FALSE),"")</f>
        <v/>
      </c>
      <c r="I948" s="13"/>
      <c r="J948" s="13"/>
      <c r="K948" s="13"/>
      <c r="L948" s="13">
        <v>19990101</v>
      </c>
      <c r="M948" s="13" t="s">
        <v>1148</v>
      </c>
      <c r="N948" s="13" t="s">
        <v>1186</v>
      </c>
      <c r="O948" s="13">
        <v>135</v>
      </c>
      <c r="P948" s="13" t="s">
        <v>683</v>
      </c>
      <c r="Q948" s="13" t="s">
        <v>1141</v>
      </c>
      <c r="R948" s="13" t="s">
        <v>275</v>
      </c>
      <c r="S948" s="13" t="s">
        <v>304</v>
      </c>
    </row>
    <row r="949" spans="1:22" s="14" customFormat="1" ht="13.5" hidden="1" customHeight="1" ns3:dyDescent="0.25">
      <c r="A949" s="13" t="s">
        <v>276</v>
      </c>
      <c r="B949" s="25" t="str">
        <f t="shared" si="53"/>
      </c>
      <c r="C949" s="13" t="s">
        <v>1147</v>
      </c>
      <c r="D949" s="13" t="s">
        <v>17</v>
      </c>
      <c r="E949" s="13" t="s">
        <v>55</v>
      </c>
      <c r="F949" s="13" t="s">
        <v>1163</v>
      </c>
      <c r="G949" s="13" t="s">
        <v>117</v>
      </c>
      <c r="H949" s="13" t="str">
        <f>IFERROR(VLOOKUP(#REF!949,'정보화기기 명부'!A$2:B$187,2,FALSE),"")</f>
        <v/>
      </c>
      <c r="I949" s="13"/>
      <c r="J949" s="13"/>
      <c r="K949" s="13"/>
      <c r="L949" s="13">
        <v>19990101</v>
      </c>
      <c r="M949" s="13" t="s">
        <v>1148</v>
      </c>
      <c r="N949" s="13" t="s">
        <v>1186</v>
      </c>
      <c r="O949" s="13">
        <v>134</v>
      </c>
      <c r="P949" s="13" t="s">
        <v>683</v>
      </c>
      <c r="Q949" s="13" t="s">
        <v>1141</v>
      </c>
      <c r="R949" s="13" t="s">
        <v>275</v>
      </c>
      <c r="S949" s="13" t="s">
        <v>304</v>
      </c>
    </row>
    <row r="950" spans="1:22" s="14" customFormat="1" ht="13.5" hidden="1" customHeight="1" ns3:dyDescent="0.25">
      <c r="A950" s="13" t="s">
        <v>276</v>
      </c>
      <c r="B950" s="25" t="str">
        <f t="shared" si="53"/>
      </c>
      <c r="C950" s="13" t="s">
        <v>1147</v>
      </c>
      <c r="D950" s="13" t="s">
        <v>17</v>
      </c>
      <c r="E950" s="13" t="s">
        <v>55</v>
      </c>
      <c r="F950" s="13" t="s">
        <v>1163</v>
      </c>
      <c r="G950" s="13" t="s">
        <v>117</v>
      </c>
      <c r="H950" s="13" t="str">
        <f>IFERROR(VLOOKUP(#REF!950,'정보화기기 명부'!A$2:B$187,2,FALSE),"")</f>
        <v/>
      </c>
      <c r="I950" s="13"/>
      <c r="J950" s="13"/>
      <c r="K950" s="13"/>
      <c r="L950" s="13">
        <v>19990101</v>
      </c>
      <c r="M950" s="13" t="s">
        <v>1148</v>
      </c>
      <c r="N950" s="13" t="s">
        <v>1186</v>
      </c>
      <c r="O950" s="13">
        <v>133</v>
      </c>
      <c r="P950" s="13" t="s">
        <v>683</v>
      </c>
      <c r="Q950" s="13" t="s">
        <v>1141</v>
      </c>
      <c r="R950" s="13" t="s">
        <v>275</v>
      </c>
      <c r="S950" s="13" t="s">
        <v>304</v>
      </c>
    </row>
    <row r="951" spans="1:22" s="14" customFormat="1" ht="13.5" hidden="1" customHeight="1" ns3:dyDescent="0.25">
      <c r="A951" s="13" t="s">
        <v>276</v>
      </c>
      <c r="B951" s="25" t="str">
        <f t="shared" si="53"/>
      </c>
      <c r="C951" s="13" t="s">
        <v>1147</v>
      </c>
      <c r="D951" s="13" t="s">
        <v>17</v>
      </c>
      <c r="E951" s="13" t="s">
        <v>55</v>
      </c>
      <c r="F951" s="13" t="s">
        <v>1163</v>
      </c>
      <c r="G951" s="13" t="s">
        <v>117</v>
      </c>
      <c r="H951" s="13" t="str">
        <f>IFERROR(VLOOKUP(#REF!951,'정보화기기 명부'!A$2:B$187,2,FALSE),"")</f>
        <v/>
      </c>
      <c r="I951" s="13"/>
      <c r="J951" s="13"/>
      <c r="K951" s="13"/>
      <c r="L951" s="13">
        <v>19990101</v>
      </c>
      <c r="M951" s="13" t="s">
        <v>1148</v>
      </c>
      <c r="N951" s="13" t="s">
        <v>1186</v>
      </c>
      <c r="O951" s="13">
        <v>132</v>
      </c>
      <c r="P951" s="13" t="s">
        <v>683</v>
      </c>
      <c r="Q951" s="13" t="s">
        <v>1141</v>
      </c>
      <c r="R951" s="13" t="s">
        <v>275</v>
      </c>
      <c r="S951" s="13" t="s">
        <v>304</v>
      </c>
    </row>
    <row r="952" spans="1:22" s="14" customFormat="1" ht="13.5" hidden="1" customHeight="1" ns3:dyDescent="0.25">
      <c r="A952" s="13" t="s">
        <v>276</v>
      </c>
      <c r="B952" s="25" t="str">
        <f t="shared" si="53"/>
      </c>
      <c r="C952" s="13" t="s">
        <v>1147</v>
      </c>
      <c r="D952" s="13" t="s">
        <v>17</v>
      </c>
      <c r="E952" s="13" t="s">
        <v>55</v>
      </c>
      <c r="F952" s="13" t="s">
        <v>1163</v>
      </c>
      <c r="G952" s="13" t="s">
        <v>117</v>
      </c>
      <c r="H952" s="13" t="str">
        <f>IFERROR(VLOOKUP(#REF!952,'정보화기기 명부'!A$2:B$187,2,FALSE),"")</f>
        <v/>
      </c>
      <c r="I952" s="13"/>
      <c r="J952" s="13"/>
      <c r="K952" s="13"/>
      <c r="L952" s="13">
        <v>19990101</v>
      </c>
      <c r="M952" s="13" t="s">
        <v>1148</v>
      </c>
      <c r="N952" s="13" t="s">
        <v>1186</v>
      </c>
      <c r="O952" s="13">
        <v>131</v>
      </c>
      <c r="P952" s="13" t="s">
        <v>683</v>
      </c>
      <c r="Q952" s="13" t="s">
        <v>1141</v>
      </c>
      <c r="R952" s="13" t="s">
        <v>275</v>
      </c>
      <c r="S952" s="13" t="s">
        <v>304</v>
      </c>
    </row>
    <row r="953" spans="1:22" s="14" customFormat="1" ht="13.5" hidden="1" customHeight="1" ns3:dyDescent="0.25">
      <c r="A953" s="13" t="s">
        <v>276</v>
      </c>
      <c r="B953" s="25" t="str">
        <f t="shared" si="53"/>
      </c>
      <c r="C953" s="13" t="s">
        <v>1147</v>
      </c>
      <c r="D953" s="13" t="s">
        <v>17</v>
      </c>
      <c r="E953" s="13" t="s">
        <v>55</v>
      </c>
      <c r="F953" s="13" t="s">
        <v>1163</v>
      </c>
      <c r="G953" s="13" t="s">
        <v>117</v>
      </c>
      <c r="H953" s="13" t="str">
        <f>IFERROR(VLOOKUP(#REF!953,'정보화기기 명부'!A$2:B$187,2,FALSE),"")</f>
        <v/>
      </c>
      <c r="I953" s="13"/>
      <c r="J953" s="13"/>
      <c r="K953" s="13"/>
      <c r="L953" s="13">
        <v>19990101</v>
      </c>
      <c r="M953" s="13" t="s">
        <v>1148</v>
      </c>
      <c r="N953" s="13" t="s">
        <v>1186</v>
      </c>
      <c r="O953" s="13">
        <v>130</v>
      </c>
      <c r="P953" s="13" t="s">
        <v>683</v>
      </c>
      <c r="Q953" s="13" t="s">
        <v>1141</v>
      </c>
      <c r="R953" s="13" t="s">
        <v>275</v>
      </c>
      <c r="S953" s="13" t="s">
        <v>304</v>
      </c>
    </row>
    <row r="954" spans="1:22" s="14" customFormat="1" ht="13.5" hidden="1" customHeight="1" ns3:dyDescent="0.25">
      <c r="A954" s="13" t="s">
        <v>276</v>
      </c>
      <c r="B954" s="25" t="str">
        <f t="shared" si="53"/>
      </c>
      <c r="C954" s="13" t="s">
        <v>1147</v>
      </c>
      <c r="D954" s="13" t="s">
        <v>17</v>
      </c>
      <c r="E954" s="13" t="s">
        <v>55</v>
      </c>
      <c r="F954" s="13" t="s">
        <v>1163</v>
      </c>
      <c r="G954" s="13" t="s">
        <v>117</v>
      </c>
      <c r="H954" s="13" t="str">
        <f>IFERROR(VLOOKUP(#REF!954,'정보화기기 명부'!A$2:B$187,2,FALSE),"")</f>
        <v/>
      </c>
      <c r="I954" s="13"/>
      <c r="J954" s="13"/>
      <c r="K954" s="13"/>
      <c r="L954" s="13">
        <v>19990101</v>
      </c>
      <c r="M954" s="13" t="s">
        <v>1148</v>
      </c>
      <c r="N954" s="13" t="s">
        <v>1186</v>
      </c>
      <c r="O954" s="13">
        <v>129</v>
      </c>
      <c r="P954" s="13" t="s">
        <v>683</v>
      </c>
      <c r="Q954" s="13" t="s">
        <v>1141</v>
      </c>
      <c r="R954" s="13" t="s">
        <v>275</v>
      </c>
      <c r="S954" s="13" t="s">
        <v>304</v>
      </c>
    </row>
    <row r="955" spans="1:22" s="14" customFormat="1" ht="13.5" hidden="1" customHeight="1" ns3:dyDescent="0.25">
      <c r="A955" s="13" t="s">
        <v>276</v>
      </c>
      <c r="B955" s="25" t="str">
        <f t="shared" si="53"/>
      </c>
      <c r="C955" s="13" t="s">
        <v>1147</v>
      </c>
      <c r="D955" s="13" t="s">
        <v>17</v>
      </c>
      <c r="E955" s="13" t="s">
        <v>55</v>
      </c>
      <c r="F955" s="13" t="s">
        <v>1163</v>
      </c>
      <c r="G955" s="13" t="s">
        <v>117</v>
      </c>
      <c r="H955" s="13" t="str">
        <f>IFERROR(VLOOKUP(#REF!955,'정보화기기 명부'!A$2:B$187,2,FALSE),"")</f>
        <v/>
      </c>
      <c r="I955" s="13"/>
      <c r="J955" s="13"/>
      <c r="K955" s="13"/>
      <c r="L955" s="13">
        <v>19990101</v>
      </c>
      <c r="M955" s="13" t="s">
        <v>1148</v>
      </c>
      <c r="N955" s="13" t="s">
        <v>1186</v>
      </c>
      <c r="O955" s="13">
        <v>128</v>
      </c>
      <c r="P955" s="13" t="s">
        <v>683</v>
      </c>
      <c r="Q955" s="13" t="s">
        <v>1141</v>
      </c>
      <c r="R955" s="13" t="s">
        <v>275</v>
      </c>
      <c r="S955" s="13" t="s">
        <v>304</v>
      </c>
    </row>
    <row r="956" spans="1:22" s="14" customFormat="1" ht="13.5" hidden="1" customHeight="1" ns3:dyDescent="0.25">
      <c r="A956" s="13" t="s">
        <v>276</v>
      </c>
      <c r="B956" s="25" t="str">
        <f t="shared" si="53"/>
      </c>
      <c r="C956" s="13" t="s">
        <v>1147</v>
      </c>
      <c r="D956" s="13" t="s">
        <v>17</v>
      </c>
      <c r="E956" s="13" t="s">
        <v>55</v>
      </c>
      <c r="F956" s="13" t="s">
        <v>1163</v>
      </c>
      <c r="G956" s="13" t="s">
        <v>117</v>
      </c>
      <c r="H956" s="13" t="str">
        <f>IFERROR(VLOOKUP(#REF!956,'정보화기기 명부'!A$2:B$187,2,FALSE),"")</f>
        <v/>
      </c>
      <c r="I956" s="13"/>
      <c r="J956" s="13"/>
      <c r="K956" s="13"/>
      <c r="L956" s="13">
        <v>19990101</v>
      </c>
      <c r="M956" s="13" t="s">
        <v>1148</v>
      </c>
      <c r="N956" s="13" t="s">
        <v>1186</v>
      </c>
      <c r="O956" s="13">
        <v>127</v>
      </c>
      <c r="P956" s="13" t="s">
        <v>683</v>
      </c>
      <c r="Q956" s="13" t="s">
        <v>1141</v>
      </c>
      <c r="R956" s="13" t="s">
        <v>275</v>
      </c>
      <c r="S956" s="13" t="s">
        <v>304</v>
      </c>
    </row>
    <row r="957" spans="1:22" s="14" customFormat="1" ht="13.5" hidden="1" customHeight="1" ns3:dyDescent="0.25">
      <c r="A957" s="13" t="s">
        <v>276</v>
      </c>
      <c r="B957" s="25" t="str">
        <f t="shared" si="53"/>
      </c>
      <c r="C957" s="13" t="s">
        <v>1147</v>
      </c>
      <c r="D957" s="13" t="s">
        <v>17</v>
      </c>
      <c r="E957" s="13" t="s">
        <v>55</v>
      </c>
      <c r="F957" s="13" t="s">
        <v>1162</v>
      </c>
      <c r="G957" s="13" t="s">
        <v>117</v>
      </c>
      <c r="H957" s="13" t="str">
        <f>IFERROR(VLOOKUP(#REF!957,'정보화기기 명부'!A$2:B$187,2,FALSE),"")</f>
        <v/>
      </c>
      <c r="I957" s="13"/>
      <c r="J957" s="13"/>
      <c r="K957" s="13"/>
      <c r="L957" s="13">
        <v>19990101</v>
      </c>
      <c r="M957" s="13" t="s">
        <v>614</v>
      </c>
      <c r="N957" s="13" t="s">
        <v>1186</v>
      </c>
      <c r="O957" s="13">
        <v>108</v>
      </c>
      <c r="P957" s="13" t="s">
        <v>683</v>
      </c>
      <c r="Q957" s="13" t="s">
        <v>1161</v>
      </c>
      <c r="R957" s="13" t="s">
        <v>275</v>
      </c>
      <c r="S957" s="13" t="s">
        <v>52</v>
      </c>
    </row>
    <row r="958" spans="1:22" s="14" customFormat="1" ht="13.5" hidden="1" customHeight="1" ns3:dyDescent="0.25">
      <c r="A958" s="13" t="s">
        <v>276</v>
      </c>
      <c r="B958" s="25" t="str">
        <f t="shared" si="53"/>
      </c>
      <c r="C958" s="13" t="s">
        <v>1147</v>
      </c>
      <c r="D958" s="13" t="s">
        <v>17</v>
      </c>
      <c r="E958" s="13" t="s">
        <v>55</v>
      </c>
      <c r="F958" s="13" t="s">
        <v>1162</v>
      </c>
      <c r="G958" s="13" t="s">
        <v>117</v>
      </c>
      <c r="H958" s="13" t="str">
        <f>IFERROR(VLOOKUP(#REF!958,'정보화기기 명부'!A$2:B$187,2,FALSE),"")</f>
        <v/>
      </c>
      <c r="I958" s="13"/>
      <c r="J958" s="13"/>
      <c r="K958" s="13"/>
      <c r="L958" s="13">
        <v>19990101</v>
      </c>
      <c r="M958" s="13" t="s">
        <v>614</v>
      </c>
      <c r="N958" s="13" t="s">
        <v>1186</v>
      </c>
      <c r="O958" s="13">
        <v>107</v>
      </c>
      <c r="P958" s="13" t="s">
        <v>683</v>
      </c>
      <c r="Q958" s="13" t="s">
        <v>1161</v>
      </c>
      <c r="R958" s="13" t="s">
        <v>275</v>
      </c>
      <c r="S958" s="13" t="s">
        <v>52</v>
      </c>
    </row>
    <row r="959" spans="1:22" s="14" customFormat="1" ht="13.5" hidden="1" customHeight="1" ns3:dyDescent="0.25">
      <c r="A959" s="13" t="s">
        <v>282</v>
      </c>
      <c r="B959" s="25" t="str">
        <f t="shared" si="53"/>
      </c>
      <c r="C959" s="13" t="s">
        <v>1147</v>
      </c>
      <c r="D959" s="13" t="s">
        <v>17</v>
      </c>
      <c r="E959" s="13" t="s">
        <v>8</v>
      </c>
      <c r="F959" s="13" t="s">
        <v>1162</v>
      </c>
      <c r="G959" s="13" t="s">
        <v>117</v>
      </c>
      <c r="H959" s="13" t="str">
        <f>IFERROR(VLOOKUP(#REF!959,'정보화기기 명부'!A$2:B$187,2,FALSE),"")</f>
        <v/>
      </c>
      <c r="I959" s="13"/>
      <c r="J959" s="13"/>
      <c r="K959" s="13"/>
      <c r="L959" s="13">
        <v>19990101</v>
      </c>
      <c r="M959" s="13" t="s">
        <v>614</v>
      </c>
      <c r="N959" s="13" t="s">
        <v>1186</v>
      </c>
      <c r="O959" s="13">
        <v>61</v>
      </c>
      <c r="P959" s="13" t="s">
        <v>683</v>
      </c>
      <c r="Q959" s="13" t="s">
        <v>1115</v>
      </c>
      <c r="R959" s="13" t="s">
        <v>298</v>
      </c>
      <c r="S959" s="13" t="s">
        <v>52</v>
      </c>
    </row>
    <row r="960" spans="1:22" s="14" customFormat="1" ht="13.5" hidden="1" customHeight="1" ns3:dyDescent="0.25">
      <c r="A960" s="13" t="s">
        <v>318</v>
      </c>
      <c r="B960" s="25" t="str">
        <f t="shared" si="53"/>
      </c>
      <c r="C960" s="13" t="s">
        <v>1147</v>
      </c>
      <c r="D960" s="13" t="s">
        <v>17</v>
      </c>
      <c r="E960" s="13" t="s">
        <v>8</v>
      </c>
      <c r="F960" s="13" t="s">
        <v>1162</v>
      </c>
      <c r="G960" s="13" t="s">
        <v>117</v>
      </c>
      <c r="H960" s="13" t="str">
        <f>IFERROR(VLOOKUP(#REF!960,'정보화기기 명부'!A$2:B$187,2,FALSE),"")</f>
        <v/>
      </c>
      <c r="I960" s="13"/>
      <c r="J960" s="13"/>
      <c r="K960" s="13"/>
      <c r="L960" s="13">
        <v>19990101</v>
      </c>
      <c r="M960" s="13" t="s">
        <v>614</v>
      </c>
      <c r="N960" s="13" t="s">
        <v>1186</v>
      </c>
      <c r="O960" s="13">
        <v>30</v>
      </c>
      <c r="P960" s="13" t="s">
        <v>683</v>
      </c>
      <c r="Q960" s="13" t="s">
        <v>1083</v>
      </c>
      <c r="R960" s="13" t="s">
        <v>298</v>
      </c>
      <c r="S960" s="13" t="s">
        <v>304</v>
      </c>
    </row>
    <row r="961" spans="1:22" s="14" customFormat="1" ht="13.5" hidden="1" customHeight="1" ns3:dyDescent="0.25">
      <c r="A961" s="13" t="s">
        <v>249</v>
      </c>
      <c r="B961" s="25" t="str">
        <f t="shared" si="53"/>
      </c>
      <c r="C961" s="13" t="s">
        <v>1147</v>
      </c>
      <c r="D961" s="13" t="s">
        <v>17</v>
      </c>
      <c r="E961" s="13" t="s">
        <v>8</v>
      </c>
      <c r="F961" s="13" t="s">
        <v>1162</v>
      </c>
      <c r="G961" s="13" t="s">
        <v>117</v>
      </c>
      <c r="H961" s="13" t="str">
        <f>IFERROR(VLOOKUP(#REF!961,'정보화기기 명부'!A$2:B$187,2,FALSE),"")</f>
        <v/>
      </c>
      <c r="I961" s="13"/>
      <c r="J961" s="13"/>
      <c r="K961" s="13"/>
      <c r="L961" s="13">
        <v>19990101</v>
      </c>
      <c r="M961" s="13" t="s">
        <v>614</v>
      </c>
      <c r="N961" s="13" t="s">
        <v>1186</v>
      </c>
      <c r="O961" s="13">
        <v>29</v>
      </c>
      <c r="P961" s="13" t="s">
        <v>683</v>
      </c>
      <c r="Q961" s="13" t="s">
        <v>1115</v>
      </c>
      <c r="R961" s="13" t="s">
        <v>298</v>
      </c>
      <c r="S961" s="13" t="s">
        <v>52</v>
      </c>
    </row>
    <row r="962">
      <c r="A962" t="inlineStr">
        <is>
          <t>정현숙</t>
        </is>
      </c>
      <c r="B962">
        <f>LEFT(L962,6)&amp;"-"&amp;TEXT(O962,"0000")</f>
      </c>
      <c r="C962" t="inlineStr">
        <is>
          <t>노트북</t>
        </is>
      </c>
      <c r="D962" t="inlineStr">
        <is>
          <t>활용중</t>
        </is>
      </c>
      <c r="E962" t="inlineStr">
        <is>
          <t>교원용</t>
        </is>
      </c>
      <c r="F962" t="inlineStr">
        <is>
          <t>NT750XGK-KG56P</t>
        </is>
      </c>
      <c r="G962" t="inlineStr">
        <is>
          <t>삼성</t>
        </is>
      </c>
      <c r="H962" t="inlineStr">
        <is>
          <t>1학년부</t>
        </is>
      </c>
      <c r="L962">
        <v>20260305</v>
      </c>
      <c r="N962" t="inlineStr">
        <is>
          <t>자체구매</t>
        </is>
      </c>
      <c r="O962">
        <v>962</v>
      </c>
      <c r="P962" t="inlineStr">
        <is>
          <t>Windows 11 Pro</t>
        </is>
      </c>
      <c r="Q962" t="inlineStr">
        <is>
          <t>Intel Core i5 150U</t>
        </is>
      </c>
      <c r="R962" t="inlineStr">
        <is>
          <t>16GB</t>
        </is>
      </c>
      <c r="S962" t="inlineStr">
        <is>
          <t>512GB</t>
        </is>
      </c>
      <c r="M962">
        <v>1264000</v>
      </c>
    </row>
    <row r="963">
      <c r="A963" t="inlineStr">
        <is>
          <t>맹수용</t>
        </is>
      </c>
      <c r="B963">
        <f>LEFT(L963,6)&amp;"-"&amp;TEXT(O963,"0000")</f>
      </c>
      <c r="C963" t="inlineStr">
        <is>
          <t>노트북</t>
        </is>
      </c>
      <c r="D963" t="inlineStr">
        <is>
          <t>활용중</t>
        </is>
      </c>
      <c r="E963" t="inlineStr">
        <is>
          <t>교원용</t>
        </is>
      </c>
      <c r="F963" t="inlineStr">
        <is>
          <t>NT750XGK-KG56P</t>
        </is>
      </c>
      <c r="G963" t="inlineStr">
        <is>
          <t>삼성</t>
        </is>
      </c>
      <c r="H963" t="inlineStr">
        <is>
          <t>인문사회부</t>
        </is>
      </c>
      <c r="L963">
        <v>20260305</v>
      </c>
      <c r="N963" t="inlineStr">
        <is>
          <t>자체구매</t>
        </is>
      </c>
      <c r="O963">
        <v>963</v>
      </c>
      <c r="P963" t="inlineStr">
        <is>
          <t>Windows 11 Pro</t>
        </is>
      </c>
      <c r="Q963" t="inlineStr">
        <is>
          <t>Intel Core i5 150U</t>
        </is>
      </c>
      <c r="R963" t="inlineStr">
        <is>
          <t>16GB</t>
        </is>
      </c>
      <c r="S963" t="inlineStr">
        <is>
          <t>512GB</t>
        </is>
      </c>
      <c r="M963">
        <v>1264000</v>
      </c>
    </row>
    <row r="964">
      <c r="A964" t="inlineStr">
        <is>
          <t>송영재</t>
        </is>
      </c>
      <c r="B964">
        <f>LEFT(L964,6)&amp;"-"&amp;TEXT(O964,"0000")</f>
      </c>
      <c r="C964" t="inlineStr">
        <is>
          <t>노트북</t>
        </is>
      </c>
      <c r="D964" t="inlineStr">
        <is>
          <t>활용중</t>
        </is>
      </c>
      <c r="E964" t="inlineStr">
        <is>
          <t>교원용</t>
        </is>
      </c>
      <c r="F964" t="inlineStr">
        <is>
          <t>NT750XGK-KG56P</t>
        </is>
      </c>
      <c r="G964" t="inlineStr">
        <is>
          <t>삼성</t>
        </is>
      </c>
      <c r="L964">
        <v>20260305</v>
      </c>
      <c r="N964" t="inlineStr">
        <is>
          <t>자체구매</t>
        </is>
      </c>
      <c r="O964">
        <v>964</v>
      </c>
      <c r="P964" t="inlineStr">
        <is>
          <t>Windows 11 Pro</t>
        </is>
      </c>
      <c r="Q964" t="inlineStr">
        <is>
          <t>Intel Core i5 150U</t>
        </is>
      </c>
      <c r="R964" t="inlineStr">
        <is>
          <t>16GB</t>
        </is>
      </c>
      <c r="S964" t="inlineStr">
        <is>
          <t>512GB</t>
        </is>
      </c>
      <c r="M964">
        <v>1264000</v>
      </c>
    </row>
    <row r="965">
      <c r="A965" t="inlineStr">
        <is>
          <t>김태형</t>
        </is>
      </c>
      <c r="B965">
        <f>LEFT(L965,6)&amp;"-"&amp;TEXT(O965,"0000")</f>
      </c>
      <c r="C965" t="inlineStr">
        <is>
          <t>노트북</t>
        </is>
      </c>
      <c r="D965" t="inlineStr">
        <is>
          <t>활용중</t>
        </is>
      </c>
      <c r="E965" t="inlineStr">
        <is>
          <t>교원용</t>
        </is>
      </c>
      <c r="F965" t="inlineStr">
        <is>
          <t>NT750XGK-KG56P</t>
        </is>
      </c>
      <c r="G965" t="inlineStr">
        <is>
          <t>삼성</t>
        </is>
      </c>
      <c r="H965" t="inlineStr">
        <is>
          <t>학생인권안전부</t>
        </is>
      </c>
      <c r="L965">
        <v>20260305</v>
      </c>
      <c r="N965" t="inlineStr">
        <is>
          <t>자체구매</t>
        </is>
      </c>
      <c r="O965">
        <v>965</v>
      </c>
      <c r="P965" t="inlineStr">
        <is>
          <t>Windows 11 Pro</t>
        </is>
      </c>
      <c r="Q965" t="inlineStr">
        <is>
          <t>Intel Core i5 150U</t>
        </is>
      </c>
      <c r="R965" t="inlineStr">
        <is>
          <t>16GB</t>
        </is>
      </c>
      <c r="S965" t="inlineStr">
        <is>
          <t>512GB</t>
        </is>
      </c>
      <c r="M965">
        <v>1264000</v>
      </c>
    </row>
    <row r="966">
      <c r="A966" t="inlineStr">
        <is>
          <t>신진태</t>
        </is>
      </c>
      <c r="B966">
        <f>LEFT(L966,6)&amp;"-"&amp;TEXT(O966,"0000")</f>
      </c>
      <c r="C966" t="inlineStr">
        <is>
          <t>노트북</t>
        </is>
      </c>
      <c r="D966" t="inlineStr">
        <is>
          <t>활용중</t>
        </is>
      </c>
      <c r="E966" t="inlineStr">
        <is>
          <t>교원용</t>
        </is>
      </c>
      <c r="F966" t="inlineStr">
        <is>
          <t>NT750XGK-KG56P</t>
        </is>
      </c>
      <c r="G966" t="inlineStr">
        <is>
          <t>삼성</t>
        </is>
      </c>
      <c r="H966" t="inlineStr">
        <is>
          <t>특수교육부</t>
        </is>
      </c>
      <c r="L966">
        <v>20260305</v>
      </c>
      <c r="N966" t="inlineStr">
        <is>
          <t>자체구매</t>
        </is>
      </c>
      <c r="O966">
        <v>966</v>
      </c>
      <c r="P966" t="inlineStr">
        <is>
          <t>Windows 11 Pro</t>
        </is>
      </c>
      <c r="Q966" t="inlineStr">
        <is>
          <t>Intel Core i5 150U</t>
        </is>
      </c>
      <c r="R966" t="inlineStr">
        <is>
          <t>16GB</t>
        </is>
      </c>
      <c r="S966" t="inlineStr">
        <is>
          <t>512GB</t>
        </is>
      </c>
      <c r="M966">
        <v>1264000</v>
      </c>
    </row>
    <row r="967">
      <c r="A967" t="inlineStr">
        <is>
          <t>김용숙</t>
        </is>
      </c>
      <c r="B967">
        <f>LEFT(L967,6)&amp;"-"&amp;TEXT(O967,"0000")</f>
      </c>
      <c r="C967" t="inlineStr">
        <is>
          <t>노트북</t>
        </is>
      </c>
      <c r="D967" t="inlineStr">
        <is>
          <t>활용중</t>
        </is>
      </c>
      <c r="E967" t="inlineStr">
        <is>
          <t>교원용</t>
        </is>
      </c>
      <c r="F967" t="inlineStr">
        <is>
          <t>NT750XGK-KG56P</t>
        </is>
      </c>
      <c r="G967" t="inlineStr">
        <is>
          <t>삼성</t>
        </is>
      </c>
      <c r="H967" t="inlineStr">
        <is>
          <t>수리과학부</t>
        </is>
      </c>
      <c r="L967">
        <v>20260305</v>
      </c>
      <c r="N967" t="inlineStr">
        <is>
          <t>자체구매</t>
        </is>
      </c>
      <c r="O967">
        <v>967</v>
      </c>
      <c r="P967" t="inlineStr">
        <is>
          <t>Windows 11 Pro</t>
        </is>
      </c>
      <c r="Q967" t="inlineStr">
        <is>
          <t>Intel Core i5 150U</t>
        </is>
      </c>
      <c r="R967" t="inlineStr">
        <is>
          <t>16GB</t>
        </is>
      </c>
      <c r="S967" t="inlineStr">
        <is>
          <t>512GB</t>
        </is>
      </c>
      <c r="M967">
        <v>1264000</v>
      </c>
    </row>
    <row r="968">
      <c r="A968" t="inlineStr">
        <is>
          <t>허정화</t>
        </is>
      </c>
      <c r="B968">
        <f>LEFT(L968,6)&amp;"-"&amp;TEXT(O968,"0000")</f>
      </c>
      <c r="C968" t="inlineStr">
        <is>
          <t>노트북</t>
        </is>
      </c>
      <c r="D968" t="inlineStr">
        <is>
          <t>활용중</t>
        </is>
      </c>
      <c r="E968" t="inlineStr">
        <is>
          <t>교원용</t>
        </is>
      </c>
      <c r="F968" t="inlineStr">
        <is>
          <t>NT750XGK-KG56P</t>
        </is>
      </c>
      <c r="G968" t="inlineStr">
        <is>
          <t>삼성</t>
        </is>
      </c>
      <c r="H968" t="inlineStr">
        <is>
          <t>특수교육부</t>
        </is>
      </c>
      <c r="L968">
        <v>20260305</v>
      </c>
      <c r="N968" t="inlineStr">
        <is>
          <t>자체구매</t>
        </is>
      </c>
      <c r="O968">
        <v>968</v>
      </c>
      <c r="P968" t="inlineStr">
        <is>
          <t>Windows 11 Pro</t>
        </is>
      </c>
      <c r="Q968" t="inlineStr">
        <is>
          <t>Intel Core i5 150U</t>
        </is>
      </c>
      <c r="R968" t="inlineStr">
        <is>
          <t>16GB</t>
        </is>
      </c>
      <c r="S968" t="inlineStr">
        <is>
          <t>512GB</t>
        </is>
      </c>
      <c r="M968">
        <v>1264000</v>
      </c>
    </row>
    <row r="969">
      <c r="A969" t="inlineStr">
        <is>
          <t>정보람</t>
        </is>
      </c>
      <c r="B969">
        <f>LEFT(L969,6)&amp;"-"&amp;TEXT(O969,"0000")</f>
      </c>
      <c r="C969" t="inlineStr">
        <is>
          <t>노트북</t>
        </is>
      </c>
      <c r="D969" t="inlineStr">
        <is>
          <t>활용중</t>
        </is>
      </c>
      <c r="E969" t="inlineStr">
        <is>
          <t>교원용</t>
        </is>
      </c>
      <c r="F969" t="inlineStr">
        <is>
          <t>NT750XGK-KG56P</t>
        </is>
      </c>
      <c r="G969" t="inlineStr">
        <is>
          <t>삼성</t>
        </is>
      </c>
      <c r="L969">
        <v>20260305</v>
      </c>
      <c r="N969" t="inlineStr">
        <is>
          <t>자체구매</t>
        </is>
      </c>
      <c r="O969">
        <v>969</v>
      </c>
      <c r="P969" t="inlineStr">
        <is>
          <t>Windows 11 Pro</t>
        </is>
      </c>
      <c r="Q969" t="inlineStr">
        <is>
          <t>Intel Core i5 150U</t>
        </is>
      </c>
      <c r="R969" t="inlineStr">
        <is>
          <t>16GB</t>
        </is>
      </c>
      <c r="S969" t="inlineStr">
        <is>
          <t>512GB</t>
        </is>
      </c>
      <c r="M969">
        <v>1264000</v>
      </c>
    </row>
    <row r="970">
      <c r="A970" t="inlineStr">
        <is>
          <t>임우혁</t>
        </is>
      </c>
      <c r="B970">
        <f>LEFT(L970,6)&amp;"-"&amp;TEXT(O970,"0000")</f>
      </c>
      <c r="C970" t="inlineStr">
        <is>
          <t>노트북</t>
        </is>
      </c>
      <c r="D970" t="inlineStr">
        <is>
          <t>활용중</t>
        </is>
      </c>
      <c r="E970" t="inlineStr">
        <is>
          <t>교원용</t>
        </is>
      </c>
      <c r="F970" t="inlineStr">
        <is>
          <t>NT750XGK-KG56P</t>
        </is>
      </c>
      <c r="G970" t="inlineStr">
        <is>
          <t>삼성</t>
        </is>
      </c>
      <c r="H970" t="inlineStr">
        <is>
          <t>교육과정부</t>
        </is>
      </c>
      <c r="L970">
        <v>20260305</v>
      </c>
      <c r="N970" t="inlineStr">
        <is>
          <t>자체구매</t>
        </is>
      </c>
      <c r="O970">
        <v>970</v>
      </c>
      <c r="P970" t="inlineStr">
        <is>
          <t>Windows 11 Pro</t>
        </is>
      </c>
      <c r="Q970" t="inlineStr">
        <is>
          <t>Intel Core i5 150U</t>
        </is>
      </c>
      <c r="R970" t="inlineStr">
        <is>
          <t>16GB</t>
        </is>
      </c>
      <c r="S970" t="inlineStr">
        <is>
          <t>512GB</t>
        </is>
      </c>
      <c r="M970">
        <v>1264000</v>
      </c>
    </row>
    <row r="971">
      <c r="A971" t="inlineStr">
        <is>
          <t>정진희</t>
        </is>
      </c>
      <c r="B971">
        <f>LEFT(L971,6)&amp;"-"&amp;TEXT(O971,"0000")</f>
      </c>
      <c r="C971" t="inlineStr">
        <is>
          <t>노트북</t>
        </is>
      </c>
      <c r="D971" t="inlineStr">
        <is>
          <t>활용중</t>
        </is>
      </c>
      <c r="E971" t="inlineStr">
        <is>
          <t>교원용</t>
        </is>
      </c>
      <c r="F971" t="inlineStr">
        <is>
          <t>NT750XGK-KG56P</t>
        </is>
      </c>
      <c r="G971" t="inlineStr">
        <is>
          <t>삼성</t>
        </is>
      </c>
      <c r="H971" t="inlineStr">
        <is>
          <t>교육과정부</t>
        </is>
      </c>
      <c r="L971">
        <v>20260305</v>
      </c>
      <c r="N971" t="inlineStr">
        <is>
          <t>자체구매</t>
        </is>
      </c>
      <c r="O971">
        <v>971</v>
      </c>
      <c r="P971" t="inlineStr">
        <is>
          <t>Windows 11 Pro</t>
        </is>
      </c>
      <c r="Q971" t="inlineStr">
        <is>
          <t>Intel Core i5 150U</t>
        </is>
      </c>
      <c r="R971" t="inlineStr">
        <is>
          <t>16GB</t>
        </is>
      </c>
      <c r="S971" t="inlineStr">
        <is>
          <t>512GB</t>
        </is>
      </c>
      <c r="M971">
        <v>1264000</v>
      </c>
    </row>
    <row r="972">
      <c r="A972" t="inlineStr">
        <is>
          <t>이수경</t>
        </is>
      </c>
      <c r="B972">
        <f>LEFT(L972,6)&amp;"-"&amp;TEXT(O972,"0000")</f>
      </c>
      <c r="C972" t="inlineStr">
        <is>
          <t>노트북</t>
        </is>
      </c>
      <c r="D972" t="inlineStr">
        <is>
          <t>활용중</t>
        </is>
      </c>
      <c r="E972" t="inlineStr">
        <is>
          <t>교원용</t>
        </is>
      </c>
      <c r="F972" t="inlineStr">
        <is>
          <t>NT750XGK-KG56P</t>
        </is>
      </c>
      <c r="G972" t="inlineStr">
        <is>
          <t>삼성</t>
        </is>
      </c>
      <c r="H972" t="inlineStr">
        <is>
          <t>3학년부</t>
        </is>
      </c>
      <c r="L972">
        <v>20260305</v>
      </c>
      <c r="N972" t="inlineStr">
        <is>
          <t>자체구매</t>
        </is>
      </c>
      <c r="O972">
        <v>972</v>
      </c>
      <c r="P972" t="inlineStr">
        <is>
          <t>Windows 11 Pro</t>
        </is>
      </c>
      <c r="Q972" t="inlineStr">
        <is>
          <t>Intel Core i5 150U</t>
        </is>
      </c>
      <c r="R972" t="inlineStr">
        <is>
          <t>16GB</t>
        </is>
      </c>
      <c r="S972" t="inlineStr">
        <is>
          <t>512GB</t>
        </is>
      </c>
      <c r="M972">
        <v>1264000</v>
      </c>
    </row>
  </sheetData>
  <autoFilter ref="A1:Z961" ns2:uid="{00000000-0009-0000-0000-000000000000}">
    <filterColumn colId="2">
      <filters>
        <filter val="노트북"/>
      </filters>
    </filterColumn>
    <filterColumn colId="3">
      <filters>
        <filter val="고장"/>
        <filter val="고장(망실)"/>
        <filter val="불용(사용중)"/>
        <filter val="잉여품"/>
        <filter val="폐기"/>
        <filter val="폐기(사용중)"/>
        <filter val="활용중"/>
      </filters>
    </filterColumn>
    <sortState ref="A2:Z942">
      <sortCondition descending="1" ref="B6:B942"/>
    </sortState>
  </autoFilter>
  <sortState ref="A6:T937">
    <sortCondition descending="1" ref="B25:B937"/>
  </sortState>
  <phoneticPr fontId="2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sheetPr codeName="Sheet2"/>
  <dimension ref="A1:F21"/>
  <sheetViews>
    <sheetView tabSelected="1" zoomScaleNormal="100" zoomScaleSheetLayoutView="100" workbookViewId="0">
      <selection activeCell="M6" sqref="M6"/>
    </sheetView>
  </sheetViews>
  <sheetFormatPr defaultColWidth="8.9140625" defaultRowHeight="17" x14ac:dyDescent="0.25"/>
  <cols>
    <col min="1" max="1" width="15.83203125" style="1" customWidth="1"/>
    <col min="2" max="2" width="8" style="1" bestFit="1" customWidth="1"/>
    <col min="3" max="3" width="11.4140625" style="1" bestFit="1" customWidth="1"/>
    <col min="4" max="4" width="29.58203125" style="1" bestFit="1" customWidth="1"/>
    <col min="5" max="5" width="13.33203125" style="1" bestFit="1" customWidth="1"/>
    <col min="6" max="6" width="16.08203125" style="1" customWidth="1"/>
    <col min="7" max="7" width="17.33203125" style="1" customWidth="1"/>
    <col min="8" max="8" width="12" style="1" bestFit="1" customWidth="1"/>
    <col min="9" max="10" width="8.9140625" style="1"/>
    <col min="11" max="11" width="9.83203125" style="1" bestFit="1" customWidth="1"/>
    <col min="12" max="16384" width="8.9140625" style="1"/>
  </cols>
  <sheetData>
    <row r="1">
      <c r="A1" t="inlineStr">
        <is>
          <t>관리번호</t>
        </is>
      </c>
      <c r="B1" t="inlineStr">
        <is>
          <t>관리유형</t>
        </is>
      </c>
      <c r="C1" t="inlineStr">
        <is>
          <t>제조사</t>
        </is>
      </c>
      <c r="D1" t="inlineStr">
        <is>
          <t>모델명</t>
        </is>
      </c>
      <c r="E1" t="inlineStr">
        <is>
          <t>구입일자</t>
        </is>
      </c>
      <c r="F1" t="inlineStr">
        <is>
          <t>관리자명</t>
        </is>
      </c>
    </row>
    <row r="2">
      <c r="B2">
        <f>IFERROR(INDEX(PC!$E:$E,MATCH($A2,PC!$B:$B,0)),"")</f>
      </c>
      <c r="C2">
        <f>IFERROR(INDEX(PC!$G:$G,MATCH($A2,PC!$B:$B,0)),"")</f>
      </c>
      <c r="D2">
        <f>IFERROR(INDEX(PC!$F:$F,MATCH($A2,PC!$B:$B,0)),"")</f>
      </c>
      <c r="E2">
        <f>IFERROR(INDEX(PC!$L:$L,MATCH($A2,PC!$B:$B,0)),"")</f>
      </c>
      <c r="F2">
        <f>IFERROR(INDEX(PC!$A:$A,MATCH($A2,PC!$B:$B,0)),"")</f>
      </c>
    </row>
    <row r="3">
      <c r="B3">
        <f>IFERROR(INDEX(PC!$E:$E,MATCH($A3,PC!$B:$B,0)),"")</f>
      </c>
      <c r="C3">
        <f>IFERROR(INDEX(PC!$G:$G,MATCH($A3,PC!$B:$B,0)),"")</f>
      </c>
      <c r="D3">
        <f>IFERROR(INDEX(PC!$F:$F,MATCH($A3,PC!$B:$B,0)),"")</f>
      </c>
      <c r="E3">
        <f>IFERROR(INDEX(PC!$L:$L,MATCH($A3,PC!$B:$B,0)),"")</f>
      </c>
      <c r="F3">
        <f>IFERROR(INDEX(PC!$A:$A,MATCH($A3,PC!$B:$B,0)),"")</f>
      </c>
    </row>
    <row r="4">
      <c r="B4">
        <f>IFERROR(INDEX(PC!$E:$E,MATCH($A4,PC!$B:$B,0)),"")</f>
      </c>
      <c r="C4">
        <f>IFERROR(INDEX(PC!$G:$G,MATCH($A4,PC!$B:$B,0)),"")</f>
      </c>
      <c r="D4">
        <f>IFERROR(INDEX(PC!$F:$F,MATCH($A4,PC!$B:$B,0)),"")</f>
      </c>
      <c r="E4">
        <f>IFERROR(INDEX(PC!$L:$L,MATCH($A4,PC!$B:$B,0)),"")</f>
      </c>
      <c r="F4">
        <f>IFERROR(INDEX(PC!$A:$A,MATCH($A4,PC!$B:$B,0)),"")</f>
      </c>
    </row>
    <row r="5">
      <c r="B5">
        <f>IFERROR(INDEX(PC!$E:$E,MATCH($A5,PC!$B:$B,0)),"")</f>
      </c>
      <c r="C5">
        <f>IFERROR(INDEX(PC!$G:$G,MATCH($A5,PC!$B:$B,0)),"")</f>
      </c>
      <c r="D5">
        <f>IFERROR(INDEX(PC!$F:$F,MATCH($A5,PC!$B:$B,0)),"")</f>
      </c>
      <c r="E5">
        <f>IFERROR(INDEX(PC!$L:$L,MATCH($A5,PC!$B:$B,0)),"")</f>
      </c>
      <c r="F5">
        <f>IFERROR(INDEX(PC!$A:$A,MATCH($A5,PC!$B:$B,0)),"")</f>
      </c>
    </row>
    <row r="6">
      <c r="B6">
        <f>IFERROR(INDEX(PC!$E:$E,MATCH($A6,PC!$B:$B,0)),"")</f>
      </c>
      <c r="C6">
        <f>IFERROR(INDEX(PC!$G:$G,MATCH($A6,PC!$B:$B,0)),"")</f>
      </c>
      <c r="D6">
        <f>IFERROR(INDEX(PC!$F:$F,MATCH($A6,PC!$B:$B,0)),"")</f>
      </c>
      <c r="E6">
        <f>IFERROR(INDEX(PC!$L:$L,MATCH($A6,PC!$B:$B,0)),"")</f>
      </c>
      <c r="F6">
        <f>IFERROR(INDEX(PC!$A:$A,MATCH($A6,PC!$B:$B,0)),"")</f>
      </c>
    </row>
    <row r="7">
      <c r="B7">
        <f>IFERROR(INDEX(PC!$E:$E,MATCH($A7,PC!$B:$B,0)),"")</f>
      </c>
      <c r="C7">
        <f>IFERROR(INDEX(PC!$G:$G,MATCH($A7,PC!$B:$B,0)),"")</f>
      </c>
      <c r="D7">
        <f>IFERROR(INDEX(PC!$F:$F,MATCH($A7,PC!$B:$B,0)),"")</f>
      </c>
      <c r="E7">
        <f>IFERROR(INDEX(PC!$L:$L,MATCH($A7,PC!$B:$B,0)),"")</f>
      </c>
      <c r="F7">
        <f>IFERROR(INDEX(PC!$A:$A,MATCH($A7,PC!$B:$B,0)),"")</f>
      </c>
    </row>
    <row r="8">
      <c r="B8">
        <f>IFERROR(INDEX(PC!$E:$E,MATCH($A8,PC!$B:$B,0)),"")</f>
      </c>
      <c r="C8">
        <f>IFERROR(INDEX(PC!$G:$G,MATCH($A8,PC!$B:$B,0)),"")</f>
      </c>
      <c r="D8">
        <f>IFERROR(INDEX(PC!$F:$F,MATCH($A8,PC!$B:$B,0)),"")</f>
      </c>
      <c r="E8">
        <f>IFERROR(INDEX(PC!$L:$L,MATCH($A8,PC!$B:$B,0)),"")</f>
      </c>
      <c r="F8">
        <f>IFERROR(INDEX(PC!$A:$A,MATCH($A8,PC!$B:$B,0)),"")</f>
      </c>
    </row>
    <row r="9">
      <c r="B9">
        <f>IFERROR(INDEX(PC!$E:$E,MATCH($A9,PC!$B:$B,0)),"")</f>
      </c>
      <c r="C9">
        <f>IFERROR(INDEX(PC!$G:$G,MATCH($A9,PC!$B:$B,0)),"")</f>
      </c>
      <c r="D9">
        <f>IFERROR(INDEX(PC!$F:$F,MATCH($A9,PC!$B:$B,0)),"")</f>
      </c>
      <c r="E9">
        <f>IFERROR(INDEX(PC!$L:$L,MATCH($A9,PC!$B:$B,0)),"")</f>
      </c>
      <c r="F9">
        <f>IFERROR(INDEX(PC!$A:$A,MATCH($A9,PC!$B:$B,0)),"")</f>
      </c>
    </row>
    <row r="10">
      <c r="B10">
        <f>IFERROR(INDEX(PC!$E:$E,MATCH($A10,PC!$B:$B,0)),"")</f>
      </c>
      <c r="C10">
        <f>IFERROR(INDEX(PC!$G:$G,MATCH($A10,PC!$B:$B,0)),"")</f>
      </c>
      <c r="D10">
        <f>IFERROR(INDEX(PC!$F:$F,MATCH($A10,PC!$B:$B,0)),"")</f>
      </c>
      <c r="E10">
        <f>IFERROR(INDEX(PC!$L:$L,MATCH($A10,PC!$B:$B,0)),"")</f>
      </c>
      <c r="F10">
        <f>IFERROR(INDEX(PC!$A:$A,MATCH($A10,PC!$B:$B,0)),"")</f>
      </c>
    </row>
    <row r="11">
      <c r="B11">
        <f>IFERROR(INDEX(PC!$E:$E,MATCH($A11,PC!$B:$B,0)),"")</f>
      </c>
      <c r="C11">
        <f>IFERROR(INDEX(PC!$G:$G,MATCH($A11,PC!$B:$B,0)),"")</f>
      </c>
      <c r="D11">
        <f>IFERROR(INDEX(PC!$F:$F,MATCH($A11,PC!$B:$B,0)),"")</f>
      </c>
      <c r="E11">
        <f>IFERROR(INDEX(PC!$L:$L,MATCH($A11,PC!$B:$B,0)),"")</f>
      </c>
      <c r="F11">
        <f>IFERROR(INDEX(PC!$A:$A,MATCH($A11,PC!$B:$B,0)),"")</f>
      </c>
    </row>
    <row r="12">
      <c r="B12">
        <f>IFERROR(INDEX(PC!$E:$E,MATCH($A12,PC!$B:$B,0)),"")</f>
      </c>
      <c r="C12">
        <f>IFERROR(INDEX(PC!$G:$G,MATCH($A12,PC!$B:$B,0)),"")</f>
      </c>
      <c r="D12">
        <f>IFERROR(INDEX(PC!$F:$F,MATCH($A12,PC!$B:$B,0)),"")</f>
      </c>
      <c r="E12">
        <f>IFERROR(INDEX(PC!$L:$L,MATCH($A12,PC!$B:$B,0)),"")</f>
      </c>
      <c r="F12">
        <f>IFERROR(INDEX(PC!$A:$A,MATCH($A12,PC!$B:$B,0)),"")</f>
      </c>
    </row>
    <row r="13">
      <c r="B13">
        <f>IFERROR(INDEX(PC!$E:$E,MATCH($A13,PC!$B:$B,0)),"")</f>
      </c>
      <c r="C13">
        <f>IFERROR(INDEX(PC!$G:$G,MATCH($A13,PC!$B:$B,0)),"")</f>
      </c>
      <c r="D13">
        <f>IFERROR(INDEX(PC!$F:$F,MATCH($A13,PC!$B:$B,0)),"")</f>
      </c>
      <c r="E13">
        <f>IFERROR(INDEX(PC!$L:$L,MATCH($A13,PC!$B:$B,0)),"")</f>
      </c>
      <c r="F13">
        <f>IFERROR(INDEX(PC!$A:$A,MATCH($A13,PC!$B:$B,0)),"")</f>
      </c>
    </row>
    <row r="14">
      <c r="B14">
        <f>IFERROR(INDEX(PC!$E:$E,MATCH($A14,PC!$B:$B,0)),"")</f>
      </c>
      <c r="C14">
        <f>IFERROR(INDEX(PC!$G:$G,MATCH($A14,PC!$B:$B,0)),"")</f>
      </c>
      <c r="D14">
        <f>IFERROR(INDEX(PC!$F:$F,MATCH($A14,PC!$B:$B,0)),"")</f>
      </c>
      <c r="E14">
        <f>IFERROR(INDEX(PC!$L:$L,MATCH($A14,PC!$B:$B,0)),"")</f>
      </c>
      <c r="F14">
        <f>IFERROR(INDEX(PC!$A:$A,MATCH($A14,PC!$B:$B,0)),"")</f>
      </c>
    </row>
    <row r="15">
      <c r="B15">
        <f>IFERROR(INDEX(PC!$E:$E,MATCH($A15,PC!$B:$B,0)),"")</f>
      </c>
      <c r="C15">
        <f>IFERROR(INDEX(PC!$G:$G,MATCH($A15,PC!$B:$B,0)),"")</f>
      </c>
      <c r="D15">
        <f>IFERROR(INDEX(PC!$F:$F,MATCH($A15,PC!$B:$B,0)),"")</f>
      </c>
      <c r="E15">
        <f>IFERROR(INDEX(PC!$L:$L,MATCH($A15,PC!$B:$B,0)),"")</f>
      </c>
      <c r="F15">
        <f>IFERROR(INDEX(PC!$A:$A,MATCH($A15,PC!$B:$B,0)),"")</f>
      </c>
    </row>
    <row r="16">
      <c r="B16">
        <f>IFERROR(INDEX(PC!$E:$E,MATCH($A16,PC!$B:$B,0)),"")</f>
      </c>
      <c r="C16">
        <f>IFERROR(INDEX(PC!$G:$G,MATCH($A16,PC!$B:$B,0)),"")</f>
      </c>
      <c r="D16">
        <f>IFERROR(INDEX(PC!$F:$F,MATCH($A16,PC!$B:$B,0)),"")</f>
      </c>
      <c r="E16">
        <f>IFERROR(INDEX(PC!$L:$L,MATCH($A16,PC!$B:$B,0)),"")</f>
      </c>
      <c r="F16">
        <f>IFERROR(INDEX(PC!$A:$A,MATCH($A16,PC!$B:$B,0)),"")</f>
      </c>
    </row>
    <row r="17">
      <c r="B17">
        <f>IFERROR(INDEX(PC!$E:$E,MATCH($A17,PC!$B:$B,0)),"")</f>
      </c>
      <c r="C17">
        <f>IFERROR(INDEX(PC!$G:$G,MATCH($A17,PC!$B:$B,0)),"")</f>
      </c>
      <c r="D17">
        <f>IFERROR(INDEX(PC!$F:$F,MATCH($A17,PC!$B:$B,0)),"")</f>
      </c>
      <c r="E17">
        <f>IFERROR(INDEX(PC!$L:$L,MATCH($A17,PC!$B:$B,0)),"")</f>
      </c>
      <c r="F17">
        <f>IFERROR(INDEX(PC!$A:$A,MATCH($A17,PC!$B:$B,0)),"")</f>
      </c>
    </row>
    <row r="18">
      <c r="B18">
        <f>IFERROR(INDEX(PC!$E:$E,MATCH($A18,PC!$B:$B,0)),"")</f>
      </c>
      <c r="C18">
        <f>IFERROR(INDEX(PC!$G:$G,MATCH($A18,PC!$B:$B,0)),"")</f>
      </c>
      <c r="D18">
        <f>IFERROR(INDEX(PC!$F:$F,MATCH($A18,PC!$B:$B,0)),"")</f>
      </c>
      <c r="E18">
        <f>IFERROR(INDEX(PC!$L:$L,MATCH($A18,PC!$B:$B,0)),"")</f>
      </c>
      <c r="F18">
        <f>IFERROR(INDEX(PC!$A:$A,MATCH($A18,PC!$B:$B,0)),"")</f>
      </c>
    </row>
    <row r="19">
      <c r="B19">
        <f>IFERROR(INDEX(PC!$E:$E,MATCH($A19,PC!$B:$B,0)),"")</f>
      </c>
      <c r="C19">
        <f>IFERROR(INDEX(PC!$G:$G,MATCH($A19,PC!$B:$B,0)),"")</f>
      </c>
      <c r="D19">
        <f>IFERROR(INDEX(PC!$F:$F,MATCH($A19,PC!$B:$B,0)),"")</f>
      </c>
      <c r="E19">
        <f>IFERROR(INDEX(PC!$L:$L,MATCH($A19,PC!$B:$B,0)),"")</f>
      </c>
      <c r="F19">
        <f>IFERROR(INDEX(PC!$A:$A,MATCH($A19,PC!$B:$B,0)),"")</f>
      </c>
    </row>
    <row r="20">
      <c r="B20">
        <f>IFERROR(INDEX(PC!$E:$E,MATCH($A20,PC!$B:$B,0)),"")</f>
      </c>
      <c r="C20">
        <f>IFERROR(INDEX(PC!$G:$G,MATCH($A20,PC!$B:$B,0)),"")</f>
      </c>
      <c r="D20">
        <f>IFERROR(INDEX(PC!$F:$F,MATCH($A20,PC!$B:$B,0)),"")</f>
      </c>
      <c r="E20">
        <f>IFERROR(INDEX(PC!$L:$L,MATCH($A20,PC!$B:$B,0)),"")</f>
      </c>
      <c r="F20">
        <f>IFERROR(INDEX(PC!$A:$A,MATCH($A20,PC!$B:$B,0)),"")</f>
      </c>
    </row>
    <row r="21">
      <c r="B21">
        <f>IFERROR(INDEX(PC!$E:$E,MATCH($A21,PC!$B:$B,0)),"")</f>
      </c>
      <c r="C21">
        <f>IFERROR(INDEX(PC!$G:$G,MATCH($A21,PC!$B:$B,0)),"")</f>
      </c>
      <c r="D21">
        <f>IFERROR(INDEX(PC!$F:$F,MATCH($A21,PC!$B:$B,0)),"")</f>
      </c>
      <c r="E21">
        <f>IFERROR(INDEX(PC!$L:$L,MATCH($A21,PC!$B:$B,0)),"")</f>
      </c>
      <c r="F21">
        <f>IFERROR(INDEX(PC!$A:$A,MATCH($A21,PC!$B:$B,0)),"")</f>
      </c>
    </row>
  </sheetData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64"/>
  <sheetViews>
    <sheetView zoomScaleNormal="100" zoomScaleSheetLayoutView="100" workbookViewId="0">
      <pane ySplit="1" topLeftCell="A8" activePane="bottomLeft" state="frozen"/>
      <selection pane="bottomLeft" activeCell="C13" sqref="C13"/>
    </sheetView>
  </sheetViews>
  <sheetFormatPr defaultColWidth="8.9140625" defaultRowHeight="17" x14ac:dyDescent="0.25"/>
  <cols>
    <col min="1" max="1" width="7.6640625" style="1" customWidth="1"/>
    <col min="2" max="2" width="6.33203125" style="1" bestFit="1" customWidth="1"/>
    <col min="3" max="3" width="16.08203125" style="11" bestFit="1" customWidth="1"/>
    <col min="4" max="4" width="11.4140625" style="11" customWidth="1"/>
    <col min="5" max="5" width="12.9140625" style="11" bestFit="1" customWidth="1"/>
    <col min="6" max="6" width="22.6640625" style="200" customWidth="1"/>
    <col min="7" max="7" width="8.4140625" style="1" customWidth="1"/>
    <col min="8" max="8" width="11.9140625" style="1" customWidth="1"/>
    <col min="9" max="9" width="8.4140625" style="1" customWidth="1"/>
    <col min="10" max="10" width="11.58203125" style="11" bestFit="1" customWidth="1"/>
    <col min="11" max="11" width="11.08203125" style="11" bestFit="1" customWidth="1"/>
    <col min="12" max="12" width="8.9140625" style="11"/>
    <col min="13" max="13" width="10.6640625" style="11" bestFit="1" customWidth="1"/>
    <col min="14" max="14" width="13.08203125" style="11" bestFit="1" customWidth="1"/>
    <col min="15" max="16384" width="8.9140625" style="11"/>
  </cols>
  <sheetData>
    <row r="1" spans="1:12" x14ac:dyDescent="0.25">
      <c r="A1" s="323" t="s">
        <v>121</v>
      </c>
      <c r="B1" s="324"/>
      <c r="C1" s="2" t="s">
        <v>296</v>
      </c>
      <c r="D1" s="2" t="s">
        <v>316</v>
      </c>
      <c r="E1" s="2" t="s">
        <v>1182</v>
      </c>
      <c r="F1" s="2" t="s">
        <v>107</v>
      </c>
      <c r="G1" s="2" t="s">
        <v>1090</v>
      </c>
    </row>
    <row r="2" spans="1:12" x14ac:dyDescent="0.25">
      <c r="A2" s="29" t="s">
        <v>602</v>
      </c>
      <c r="B2" s="234">
        <v>71</v>
      </c>
      <c r="C2" s="235" t="s">
        <v>33</v>
      </c>
      <c r="D2" s="55" t="str">
        <f>IFERROR(VLOOKUP(C2,'정보화기기 명부'!A$2:B$138,2,FALSE),"")</f>
        <v>교장실</v>
      </c>
      <c r="E2" s="4" t="str">
        <f>IFERROR(VLOOKUP(C2,PC!A$1:K$436,2,FALSE),"")</f>
        <v>202412-0905</v>
      </c>
      <c r="F2" s="194" t="str">
        <f>IFERROR(VLOOKUP(C2,PC!A$1:K$436,7,FALSE)&amp;" "&amp;VLOOKUP(C2,PC!A$1:K$436,6,FALSE),"")</f>
        <v>에이텍 A2SC-4VCI</v>
      </c>
      <c r="G2" s="4" t="str">
        <f>IFERROR(VLOOKUP(C2,PC!$A$1:$K$436,3,FALSE),"")</f>
        <v>데스크톱</v>
      </c>
      <c r="H2" s="1" t="str">
        <f>$A$2&amp;B2</f>
        <v>10.51.90.71</v>
      </c>
    </row>
    <row r="3" spans="1:12" x14ac:dyDescent="0.25">
      <c r="A3" s="30"/>
      <c r="B3" s="236">
        <v>72</v>
      </c>
      <c r="C3" s="237" t="s">
        <v>394</v>
      </c>
      <c r="D3" s="55" t="str">
        <f>IFERROR(VLOOKUP(C3,'정보화기기 명부'!A$2:B$138,2,FALSE),"")</f>
        <v>2층 교무실</v>
      </c>
      <c r="E3" s="5" t="str">
        <f>IFERROR(VLOOKUP(C3,PC!A$1:K$436,2,FALSE),"")</f>
        <v>20230721-0903</v>
      </c>
      <c r="F3" s="195" t="str">
        <f>IFERROR(VLOOKUP(C3,PC!A$1:K$436,7,FALSE)&amp;" "&amp;VLOOKUP(C3,PC!A$1:K$436,6,FALSE),"")</f>
        <v>삼보 DG481-GA51-011, Intel Core i5 12500(3GHz)</v>
      </c>
      <c r="G3" s="5" t="str">
        <f>IFERROR(VLOOKUP(C3,PC!$A$1:$K$436,3,FALSE),"")</f>
        <v>데스크톱</v>
      </c>
      <c r="H3" s="1" t="str">
        <f t="shared" ref="H3:H66" si="0">$A$2&amp;B3</f>
        <v>10.51.90.72</v>
      </c>
    </row>
    <row r="4" spans="1:12" x14ac:dyDescent="0.25">
      <c r="A4" s="30"/>
      <c r="B4" s="236">
        <v>73</v>
      </c>
      <c r="C4" s="237" t="s">
        <v>395</v>
      </c>
      <c r="D4" s="55" t="str">
        <f>IFERROR(VLOOKUP(C4,'정보화기기 명부'!A$2:B$138,2,FALSE),"")</f>
        <v>교육행정실</v>
      </c>
      <c r="E4" s="5" t="str">
        <f>IFERROR(VLOOKUP(C4,PC!A$1:K$436,2,FALSE),"")</f>
        <v>20220117-0902</v>
      </c>
      <c r="F4" s="195" t="str">
        <f>IFERROR(VLOOKUP(C4,PC!A$1:K$436,7,FALSE)&amp;" "&amp;VLOOKUP(C4,PC!A$1:K$436,6,FALSE),"")</f>
        <v>삼보 DG375-GA31-0BPS</v>
      </c>
      <c r="G4" s="5" t="str">
        <f>IFERROR(VLOOKUP(C4,PC!$A$1:$K$436,3,FALSE),"")</f>
        <v>데스크톱</v>
      </c>
      <c r="H4" s="1" t="str">
        <f t="shared" si="0"/>
        <v>10.51.90.73</v>
      </c>
    </row>
    <row r="5" spans="1:12" x14ac:dyDescent="0.25">
      <c r="A5" s="30"/>
      <c r="B5" s="236">
        <v>74</v>
      </c>
      <c r="C5" s="237" t="s">
        <v>387</v>
      </c>
      <c r="D5" s="55" t="str">
        <f>IFERROR(VLOOKUP(C5,'정보화기기 명부'!A$2:B$138,2,FALSE),"")</f>
        <v>교육행정실</v>
      </c>
      <c r="E5" s="5" t="str">
        <f>IFERROR(VLOOKUP(C5,PC!A$1:K$436,2,FALSE),"")</f>
        <v>20231219-0904</v>
      </c>
      <c r="F5" s="195" t="str">
        <f>IFERROR(VLOOKUP(C5,PC!A$1:K$436,7,FALSE)&amp;" "&amp;VLOOKUP(C5,PC!A$1:K$436,6,FALSE),"")</f>
        <v>삼보 DR281-GS51-012 intel core i5</v>
      </c>
      <c r="G5" s="5" t="str">
        <f>IFERROR(VLOOKUP(C5,PC!$A$1:$K$436,3,FALSE),"")</f>
        <v>데스크톱</v>
      </c>
      <c r="H5" s="1" t="str">
        <f t="shared" si="0"/>
        <v>10.51.90.74</v>
      </c>
      <c r="I5" s="1" t="s">
        <v>387</v>
      </c>
    </row>
    <row r="6" spans="1:12" x14ac:dyDescent="0.25">
      <c r="A6" s="30"/>
      <c r="B6" s="238">
        <v>75</v>
      </c>
      <c r="C6" s="239" t="s">
        <v>358</v>
      </c>
      <c r="D6" s="55" t="str">
        <f>IFERROR(VLOOKUP(C6,'정보화기기 명부'!A$2:B$138,2,FALSE),"")</f>
        <v>교육행정실</v>
      </c>
      <c r="E6" s="7" t="str">
        <f>IFERROR(VLOOKUP(C6,PC!A$1:K$436,2,FALSE),"")</f>
        <v>20220117-0901</v>
      </c>
      <c r="F6" s="196" t="str">
        <f>IFERROR(VLOOKUP(C6,PC!A$1:K$436,7,FALSE)&amp;" "&amp;VLOOKUP(C6,PC!A$1:K$436,6,FALSE),"")</f>
        <v>삼보 DG375-GA31-0BPS</v>
      </c>
      <c r="G6" s="7" t="str">
        <f>IFERROR(VLOOKUP(C6,PC!$A$1:$K$436,3,FALSE),"")</f>
        <v>데스크톱</v>
      </c>
      <c r="H6" s="1" t="str">
        <f t="shared" si="0"/>
        <v>10.51.90.75</v>
      </c>
      <c r="I6" s="1" t="s">
        <v>358</v>
      </c>
    </row>
    <row r="7" spans="1:12" x14ac:dyDescent="0.25">
      <c r="A7" s="30"/>
      <c r="B7" s="234">
        <v>76</v>
      </c>
      <c r="C7" s="235" t="s">
        <v>308</v>
      </c>
      <c r="D7" s="55" t="str">
        <f>IFERROR(VLOOKUP(C7,'정보화기기 명부'!A$2:B$138,2,FALSE),"")</f>
        <v>교육행정실</v>
      </c>
      <c r="E7" s="4" t="str">
        <f>IFERROR(VLOOKUP(C7,PC!A$1:K$436,2,FALSE),"")</f>
        <v>20210512-0885</v>
      </c>
      <c r="F7" s="194" t="str">
        <f>IFERROR(VLOOKUP(C7,PC!A$1:K$436,7,FALSE)&amp;" "&amp;VLOOKUP(C7,PC!A$1:K$436,6,FALSE),"")</f>
        <v>성주컴텍 TD210-GCL23S</v>
      </c>
      <c r="G7" s="4" t="str">
        <f>IFERROR(VLOOKUP(C7,PC!$A$1:$K$436,3,FALSE),"")</f>
        <v>데스크톱</v>
      </c>
      <c r="H7" s="1" t="str">
        <f t="shared" si="0"/>
        <v>10.51.90.76</v>
      </c>
      <c r="I7" s="1" t="s">
        <v>308</v>
      </c>
      <c r="L7" s="150"/>
    </row>
    <row r="8" spans="1:12" x14ac:dyDescent="0.25">
      <c r="A8" s="30"/>
      <c r="B8" s="236">
        <v>77</v>
      </c>
      <c r="C8" s="237" t="s">
        <v>295</v>
      </c>
      <c r="D8" s="55" t="str">
        <f>IFERROR(VLOOKUP(C8,'정보화기기 명부'!A$2:B$138,2,FALSE),"")</f>
        <v>교육행정실</v>
      </c>
      <c r="E8" s="5" t="str">
        <f>IFERROR(VLOOKUP(C8,PC!A$1:K$436,2,FALSE),"")</f>
        <v>20250708-0805</v>
      </c>
      <c r="F8" s="195" t="str">
        <f>IFERROR(VLOOKUP(C8,PC!A$1:K$436,7,FALSE)&amp;" "&amp;VLOOKUP(C8,PC!A$1:K$436,6,FALSE),"")</f>
        <v>대우루컴즈 DS361A-245430</v>
      </c>
      <c r="G8" s="5" t="str">
        <f>IFERROR(VLOOKUP(C8,PC!$A$1:$K$436,3,FALSE),"")</f>
        <v>데스크톱</v>
      </c>
      <c r="H8" s="1" t="str">
        <f t="shared" si="0"/>
        <v>10.51.90.77</v>
      </c>
      <c r="I8" s="1" t="s">
        <v>295</v>
      </c>
    </row>
    <row r="9" spans="1:12" x14ac:dyDescent="0.25">
      <c r="A9" s="30"/>
      <c r="B9" s="236">
        <v>78</v>
      </c>
      <c r="C9" s="237" t="s">
        <v>7</v>
      </c>
      <c r="D9" s="55" t="str">
        <f>IFERROR(VLOOKUP(C9,'정보화기기 명부'!A$2:B$138,2,FALSE),"")</f>
        <v>교육행정실</v>
      </c>
      <c r="E9" s="5" t="str">
        <f>IFERROR(VLOOKUP(C9,PC!A$1:K$436,2,FALSE),"")</f>
        <v/>
      </c>
      <c r="F9" s="195" t="str">
        <f>IFERROR(VLOOKUP(C9,PC!A$1:K$436,7,FALSE)&amp;" "&amp;VLOOKUP(C9,PC!A$1:K$436,6,FALSE),"")</f>
        <v/>
      </c>
      <c r="G9" s="5" t="str">
        <f>IFERROR(VLOOKUP(C9,PC!$A$1:$K$436,3,FALSE),"")</f>
        <v/>
      </c>
      <c r="H9" s="1" t="str">
        <f t="shared" si="0"/>
        <v>10.51.90.78</v>
      </c>
      <c r="I9" s="1" t="s">
        <v>7</v>
      </c>
    </row>
    <row r="10" spans="1:12" x14ac:dyDescent="0.25">
      <c r="A10" s="30"/>
      <c r="B10" s="236">
        <v>79</v>
      </c>
      <c r="C10" s="237" t="s">
        <v>92</v>
      </c>
      <c r="D10" s="55" t="str">
        <f>IFERROR(VLOOKUP(C10,'정보화기기 명부'!A$2:B$138,2,FALSE),"")</f>
        <v>급식실</v>
      </c>
      <c r="E10" s="5" t="str">
        <f>IFERROR(VLOOKUP(C10,PC!A$1:K$436,2,FALSE),"")</f>
        <v>20190927-0804</v>
      </c>
      <c r="F10" s="195" t="str">
        <f>IFERROR(VLOOKUP(C10,PC!A$1:K$436,7,FALSE)&amp;" "&amp;VLOOKUP(C10,PC!A$1:K$436,6,FALSE),"")</f>
        <v>레드스톤 VITO RMS-565S</v>
      </c>
      <c r="G10" s="5" t="str">
        <f>IFERROR(VLOOKUP(C10,PC!$A$1:$K$436,3,FALSE),"")</f>
        <v>데스크톱</v>
      </c>
      <c r="H10" s="1" t="str">
        <f t="shared" si="0"/>
        <v>10.51.90.79</v>
      </c>
    </row>
    <row r="11" spans="1:12" x14ac:dyDescent="0.25">
      <c r="A11" s="30"/>
      <c r="B11" s="238">
        <v>80</v>
      </c>
      <c r="C11" s="239" t="s">
        <v>389</v>
      </c>
      <c r="D11" s="55" t="str">
        <f>IFERROR(VLOOKUP(C11,'정보화기기 명부'!A$2:B$138,2,FALSE),"")</f>
        <v>시설관리실</v>
      </c>
      <c r="E11" s="7" t="str">
        <f>IFERROR(VLOOKUP(C11,PC!A$1:K$436,2,FALSE),"")</f>
        <v>20250708-0803</v>
      </c>
      <c r="F11" s="196" t="str">
        <f>IFERROR(VLOOKUP(C11,PC!A$1:K$436,7,FALSE)&amp;" "&amp;VLOOKUP(C11,PC!A$1:K$436,6,FALSE),"")</f>
        <v>대우루컴즈 DS361A-245430</v>
      </c>
      <c r="G11" s="7" t="str">
        <f>IFERROR(VLOOKUP(C11,PC!$A$1:$K$436,3,FALSE),"")</f>
        <v>데스크톱</v>
      </c>
      <c r="H11" s="1" t="str">
        <f t="shared" si="0"/>
        <v>10.51.90.80</v>
      </c>
    </row>
    <row r="12" spans="1:12" x14ac:dyDescent="0.25">
      <c r="A12" s="30"/>
      <c r="B12" s="234">
        <v>81</v>
      </c>
      <c r="C12" s="235" t="s">
        <v>353</v>
      </c>
      <c r="D12" s="55" t="str">
        <f>IFERROR(VLOOKUP(C12,'정보화기기 명부'!A$2:B$138,2,FALSE),"")</f>
        <v>1학년부</v>
      </c>
      <c r="E12" s="4" t="str">
        <f>IFERROR(VLOOKUP(C12,PC!A$1:K$436,2,FALSE),"")</f>
        <v/>
      </c>
      <c r="F12" s="194" t="str">
        <f>IFERROR(VLOOKUP(C12,PC!A$1:K$436,7,FALSE)&amp;" "&amp;VLOOKUP(C12,PC!A$1:K$436,6,FALSE),"")</f>
        <v/>
      </c>
      <c r="G12" s="4" t="str">
        <f>IFERROR(VLOOKUP(C12,PC!$A$1:$K$436,3,FALSE),"")</f>
        <v/>
      </c>
      <c r="H12" s="1" t="str">
        <f t="shared" si="0"/>
        <v>10.51.90.81</v>
      </c>
    </row>
    <row r="13" spans="1:12" x14ac:dyDescent="0.25">
      <c r="A13" s="30"/>
      <c r="B13" s="236">
        <v>82</v>
      </c>
      <c r="C13" s="237" t="s">
        <v>49</v>
      </c>
      <c r="D13" s="55" t="str">
        <f>IFERROR(VLOOKUP(C13,'정보화기기 명부'!A$2:B$138,2,FALSE),"")</f>
        <v>3학년부</v>
      </c>
      <c r="E13" s="5" t="str">
        <f>IFERROR(VLOOKUP(C13,PC!A$1:K$436,2,FALSE),"")</f>
        <v>202409-0943</v>
      </c>
      <c r="F13" s="195" t="str">
        <f>IFERROR(VLOOKUP(C13,PC!A$1:K$436,7,FALSE)&amp;" "&amp;VLOOKUP(C13,PC!A$1:K$436,6,FALSE),"")</f>
        <v>삼성 NT750XGK-KG51G</v>
      </c>
      <c r="G13" s="5" t="str">
        <f>IFERROR(VLOOKUP(C13,PC!$A$1:$K$436,3,FALSE),"")</f>
        <v>노트북</v>
      </c>
      <c r="H13" s="1" t="str">
        <f t="shared" si="0"/>
        <v>10.51.90.82</v>
      </c>
      <c r="J13" s="1"/>
    </row>
    <row r="14" spans="1:12" x14ac:dyDescent="0.25">
      <c r="A14" s="30"/>
      <c r="B14" s="240">
        <v>83</v>
      </c>
      <c r="C14" s="241" t="s">
        <v>351</v>
      </c>
      <c r="D14" s="55" t="str">
        <f>IFERROR(VLOOKUP(C14,'정보화기기 명부'!A$2:B$138,2,FALSE),"")</f>
        <v>혁신교육부</v>
      </c>
      <c r="E14" s="5" t="str">
        <f>IFERROR(VLOOKUP(C14,PC!A$1:K$436,2,FALSE),"")</f>
        <v>20230315-0919</v>
      </c>
      <c r="F14" s="195" t="str">
        <f>IFERROR(VLOOKUP(C14,PC!A$1:K$436,7,FALSE)&amp;" "&amp;VLOOKUP(C14,PC!A$1:K$436,6,FALSE),"")</f>
        <v>삼성 NT550XED-KG03G</v>
      </c>
      <c r="G14" s="5" t="str">
        <f>IFERROR(VLOOKUP(C14,PC!$A$1:$K$436,3,FALSE),"")</f>
        <v>노트북</v>
      </c>
      <c r="H14" s="1" t="str">
        <f t="shared" si="0"/>
        <v>10.51.90.83</v>
      </c>
      <c r="J14" s="1"/>
    </row>
    <row r="15" spans="1:12" x14ac:dyDescent="0.25">
      <c r="A15" s="30"/>
      <c r="B15" s="236">
        <v>84</v>
      </c>
      <c r="C15" s="237" t="s">
        <v>48</v>
      </c>
      <c r="D15" s="55" t="str">
        <f>IFERROR(VLOOKUP(C15,'정보화기기 명부'!A$2:B$138,2,FALSE),"")</f>
        <v>수리과학부</v>
      </c>
      <c r="E15" s="5" t="str">
        <f>IFERROR(VLOOKUP(C15,PC!A$1:K$436,2,FALSE),"")</f>
        <v>20230315-0920</v>
      </c>
      <c r="F15" s="195" t="str">
        <f>IFERROR(VLOOKUP(C15,PC!A$1:K$436,7,FALSE)&amp;" "&amp;VLOOKUP(C15,PC!A$1:K$436,6,FALSE),"")</f>
        <v>삼성 NT550XED-KG03G</v>
      </c>
      <c r="G15" s="5" t="str">
        <f>IFERROR(VLOOKUP(C15,PC!$A$1:$K$436,3,FALSE),"")</f>
        <v>노트북</v>
      </c>
      <c r="H15" s="1" t="str">
        <f t="shared" si="0"/>
        <v>10.51.90.84</v>
      </c>
      <c r="J15" s="1"/>
    </row>
    <row r="16" spans="1:12" x14ac:dyDescent="0.25">
      <c r="A16" s="30"/>
      <c r="B16" s="34">
        <v>85</v>
      </c>
      <c r="C16" s="7" t="s">
        <v>849</v>
      </c>
      <c r="D16" s="55" t="str">
        <f>IFERROR(VLOOKUP(C16,'정보화기기 명부'!A$2:B$138,2,FALSE),"")</f>
        <v/>
      </c>
      <c r="E16" s="7" t="str">
        <f>IFERROR(VLOOKUP(C16,PC!A$1:K$436,2,FALSE),"")</f>
        <v/>
      </c>
      <c r="F16" s="196" t="str">
        <f>IFERROR(VLOOKUP(C16,PC!A$1:K$436,7,FALSE)&amp;" "&amp;VLOOKUP(C16,PC!A$1:K$436,6,FALSE),"")</f>
        <v/>
      </c>
      <c r="G16" s="7" t="str">
        <f>IFERROR(VLOOKUP(C16,PC!$A$1:$K$436,3,FALSE),"")</f>
        <v/>
      </c>
      <c r="H16" s="1" t="str">
        <f t="shared" si="0"/>
        <v>10.51.90.85</v>
      </c>
    </row>
    <row r="17" spans="1:11" x14ac:dyDescent="0.25">
      <c r="A17" s="30"/>
      <c r="B17" s="234">
        <v>86</v>
      </c>
      <c r="C17" s="235" t="s">
        <v>82</v>
      </c>
      <c r="D17" s="55" t="str">
        <f>IFERROR(VLOOKUP(C17,'정보화기기 명부'!A$2:B$138,2,FALSE),"")</f>
        <v>2층 교무실</v>
      </c>
      <c r="E17" s="4" t="str">
        <f>IFERROR(VLOOKUP(C17,PC!A$1:K$436,2,FALSE),"")</f>
        <v>202412-0906</v>
      </c>
      <c r="F17" s="194" t="str">
        <f>IFERROR(VLOOKUP(C17,PC!A$1:K$436,7,FALSE)&amp;" "&amp;VLOOKUP(C17,PC!A$1:K$436,6,FALSE),"")</f>
        <v>에이텍 A2TC-4VCIN</v>
      </c>
      <c r="G17" s="4" t="str">
        <f>IFERROR(VLOOKUP(C17,PC!$A$1:$K$436,3,FALSE),"")</f>
        <v>데스크톱</v>
      </c>
      <c r="H17" s="1" t="str">
        <f t="shared" si="0"/>
        <v>10.51.90.86</v>
      </c>
      <c r="I17" s="1" t="s">
        <v>403</v>
      </c>
    </row>
    <row r="18" spans="1:11" x14ac:dyDescent="0.25">
      <c r="A18" s="30"/>
      <c r="B18" s="236">
        <v>87</v>
      </c>
      <c r="C18" s="237" t="s">
        <v>66</v>
      </c>
      <c r="D18" s="55" t="str">
        <f>IFERROR(VLOOKUP(C18,'정보화기기 명부'!A$2:B$138,2,FALSE),"")</f>
        <v>2층 교무실</v>
      </c>
      <c r="E18" s="5" t="str">
        <f>IFERROR(VLOOKUP(C18,PC!A$1:K$436,2,FALSE),"")</f>
        <v>202412-0907</v>
      </c>
      <c r="F18" s="195" t="str">
        <f>IFERROR(VLOOKUP(C18,PC!A$1:K$436,7,FALSE)&amp;" "&amp;VLOOKUP(C18,PC!A$1:K$436,6,FALSE),"")</f>
        <v>에이텍 A2TC-4VCIN</v>
      </c>
      <c r="G18" s="5" t="str">
        <f>IFERROR(VLOOKUP(C18,PC!$A$1:$K$436,3,FALSE),"")</f>
        <v>데스크톱</v>
      </c>
      <c r="H18" s="1" t="str">
        <f t="shared" si="0"/>
        <v>10.51.90.87</v>
      </c>
    </row>
    <row r="19" spans="1:11" x14ac:dyDescent="0.25">
      <c r="A19" s="30"/>
      <c r="B19" s="33">
        <v>88</v>
      </c>
      <c r="C19" s="5" t="s">
        <v>310</v>
      </c>
      <c r="D19" s="55" t="str">
        <f>IFERROR(VLOOKUP(C19,'정보화기기 명부'!A$2:B$138,2,FALSE),"")</f>
        <v/>
      </c>
      <c r="E19" s="5" t="str">
        <f>IFERROR(VLOOKUP(C19,PC!A$1:K$436,2,FALSE),"")</f>
        <v/>
      </c>
      <c r="F19" s="195" t="str">
        <f>IFERROR(VLOOKUP(C19,PC!A$1:K$436,7,FALSE)&amp;" "&amp;VLOOKUP(C19,PC!A$1:K$436,6,FALSE),"")</f>
        <v/>
      </c>
      <c r="G19" s="5" t="str">
        <f>IFERROR(VLOOKUP(C19,PC!$A$1:$K$436,3,FALSE),"")</f>
        <v/>
      </c>
      <c r="H19" s="1" t="str">
        <f t="shared" si="0"/>
        <v>10.51.90.88</v>
      </c>
    </row>
    <row r="20" spans="1:11" x14ac:dyDescent="0.25">
      <c r="A20" s="30"/>
      <c r="B20" s="236">
        <v>89</v>
      </c>
      <c r="C20" s="237" t="s">
        <v>350</v>
      </c>
      <c r="D20" s="55" t="str">
        <f>IFERROR(VLOOKUP(C20,'정보화기기 명부'!A$2:B$138,2,FALSE),"")</f>
        <v>교무기획부</v>
      </c>
      <c r="E20" s="5" t="str">
        <f>IFERROR(VLOOKUP(C20,PC!A$1:K$436,2,FALSE),"")</f>
        <v>202402-0934</v>
      </c>
      <c r="F20" s="195" t="str">
        <f>IFERROR(VLOOKUP(C20,PC!A$1:K$436,7,FALSE)&amp;" "&amp;VLOOKUP(C20,PC!A$1:K$436,6,FALSE),"")</f>
        <v>삼성 NT550XDA-KG11G</v>
      </c>
      <c r="G20" s="5" t="str">
        <f>IFERROR(VLOOKUP(C20,PC!$A$1:$K$436,3,FALSE),"")</f>
        <v>노트북</v>
      </c>
      <c r="H20" s="1" t="str">
        <f t="shared" si="0"/>
        <v>10.51.90.89</v>
      </c>
    </row>
    <row r="21" spans="1:11" x14ac:dyDescent="0.25">
      <c r="A21" s="30"/>
      <c r="B21" s="34">
        <v>90</v>
      </c>
      <c r="C21" s="222" t="s">
        <v>1134</v>
      </c>
      <c r="D21" s="55" t="str">
        <f>IFERROR(VLOOKUP(C21,'정보화기기 명부'!A$2:B$138,2,FALSE),"")</f>
        <v>수업분석실</v>
      </c>
      <c r="E21" s="7" t="str">
        <f>IFERROR(VLOOKUP(C21,PC!A$1:K$436,2,FALSE),"")</f>
        <v/>
      </c>
      <c r="F21" s="196" t="str">
        <f>IFERROR(VLOOKUP(C21,PC!A$1:K$436,7,FALSE)&amp;" "&amp;VLOOKUP(C21,PC!A$1:K$436,6,FALSE),"")</f>
        <v/>
      </c>
      <c r="G21" s="7" t="str">
        <f>IFERROR(VLOOKUP(C21,PC!$A$1:$K$436,3,FALSE),"")</f>
        <v/>
      </c>
      <c r="H21" s="1" t="str">
        <f t="shared" si="0"/>
        <v>10.51.90.90</v>
      </c>
    </row>
    <row r="22" spans="1:11" x14ac:dyDescent="0.25">
      <c r="A22" s="30"/>
      <c r="B22" s="234">
        <v>91</v>
      </c>
      <c r="C22" s="235" t="s">
        <v>14</v>
      </c>
      <c r="D22" s="55" t="str">
        <f>IFERROR(VLOOKUP(C22,'정보화기기 명부'!A$2:B$138,2,FALSE),"")</f>
        <v>1학년부</v>
      </c>
      <c r="E22" s="4" t="str">
        <f>IFERROR(VLOOKUP(C22,PC!A$1:K$436,2,FALSE),"")</f>
        <v>202409-0942</v>
      </c>
      <c r="F22" s="194" t="str">
        <f>IFERROR(VLOOKUP(C22,PC!A$1:K$436,7,FALSE)&amp;" "&amp;VLOOKUP(C22,PC!A$1:K$436,6,FALSE),"")</f>
        <v>삼성 NT750XGK-KG51G</v>
      </c>
      <c r="G22" s="4" t="str">
        <f>IFERROR(VLOOKUP(C22,PC!$A$1:$K$436,3,FALSE),"")</f>
        <v>노트북</v>
      </c>
      <c r="H22" s="1" t="str">
        <f t="shared" si="0"/>
        <v>10.51.90.91</v>
      </c>
    </row>
    <row r="23" spans="1:11" x14ac:dyDescent="0.25">
      <c r="A23" s="30"/>
      <c r="B23" s="236">
        <v>92</v>
      </c>
      <c r="C23" s="237" t="s">
        <v>18</v>
      </c>
      <c r="D23" s="55" t="str">
        <f>IFERROR(VLOOKUP(C23,'정보화기기 명부'!A$2:B$138,2,FALSE),"")</f>
        <v>진로진학상담부</v>
      </c>
      <c r="E23" s="5" t="str">
        <f>IFERROR(VLOOKUP(C23,PC!A$1:K$436,2,FALSE),"")</f>
        <v>202402-0929</v>
      </c>
      <c r="F23" s="195" t="str">
        <f>IFERROR(VLOOKUP(C23,PC!A$1:K$436,7,FALSE)&amp;" "&amp;VLOOKUP(C23,PC!A$1:K$436,6,FALSE),"")</f>
        <v>삼성 NT550XDA-KG11G</v>
      </c>
      <c r="G23" s="5" t="str">
        <f>IFERROR(VLOOKUP(C23,PC!$A$1:$K$436,3,FALSE),"")</f>
        <v>노트북</v>
      </c>
      <c r="H23" s="1" t="str">
        <f t="shared" si="0"/>
        <v>10.51.90.92</v>
      </c>
    </row>
    <row r="24" spans="1:11" x14ac:dyDescent="0.25">
      <c r="A24" s="30" t="s">
        <v>370</v>
      </c>
      <c r="B24" s="242">
        <v>93</v>
      </c>
      <c r="C24" s="243" t="s">
        <v>867</v>
      </c>
      <c r="D24" s="55" t="str">
        <f>IFERROR(VLOOKUP(C24,'정보화기기 명부'!A$2:B$138,2,FALSE),"")</f>
        <v/>
      </c>
      <c r="E24" s="5" t="str">
        <f>IFERROR(VLOOKUP(C24,PC!A$1:K$436,2,FALSE),"")</f>
        <v/>
      </c>
      <c r="F24" s="195" t="str">
        <f>IFERROR(VLOOKUP(C24,PC!A$1:K$436,7,FALSE)&amp;" "&amp;VLOOKUP(C24,PC!A$1:K$436,6,FALSE),"")</f>
        <v/>
      </c>
      <c r="G24" s="5" t="str">
        <f>IFERROR(VLOOKUP(C24,PC!$A$1:$K$436,3,FALSE),"")</f>
        <v/>
      </c>
      <c r="H24" s="1" t="str">
        <f t="shared" si="0"/>
        <v>10.51.90.93</v>
      </c>
    </row>
    <row r="25" spans="1:11" x14ac:dyDescent="0.25">
      <c r="A25" s="30"/>
      <c r="B25" s="236">
        <v>94</v>
      </c>
      <c r="C25" s="237" t="s">
        <v>386</v>
      </c>
      <c r="D25" s="55" t="str">
        <f>IFERROR(VLOOKUP(C25,'정보화기기 명부'!A$2:B$138,2,FALSE),"")</f>
        <v>3학년부</v>
      </c>
      <c r="E25" s="5" t="str">
        <f>IFERROR(VLOOKUP(C25,PC!A$1:K$436,2,FALSE),"")</f>
        <v>202402-0923</v>
      </c>
      <c r="F25" s="195" t="str">
        <f>IFERROR(VLOOKUP(C25,PC!A$1:K$436,7,FALSE)&amp;" "&amp;VLOOKUP(C25,PC!A$1:K$436,6,FALSE),"")</f>
        <v>삼성 NT550XDA-KG11G</v>
      </c>
      <c r="G25" s="5" t="str">
        <f>IFERROR(VLOOKUP(C25,PC!$A$1:$K$436,3,FALSE),"")</f>
        <v>노트북</v>
      </c>
      <c r="H25" s="1" t="str">
        <f t="shared" si="0"/>
        <v>10.51.90.94</v>
      </c>
    </row>
    <row r="26" spans="1:11" x14ac:dyDescent="0.25">
      <c r="A26" s="30"/>
      <c r="B26" s="238">
        <v>95</v>
      </c>
      <c r="C26" s="239" t="s">
        <v>391</v>
      </c>
      <c r="D26" s="55" t="str">
        <f>IFERROR(VLOOKUP(C26,'정보화기기 명부'!A$2:B$138,2,FALSE),"")</f>
        <v/>
      </c>
      <c r="E26" s="7" t="str">
        <f>IFERROR(VLOOKUP(C26,PC!A$1:K$436,2,FALSE),"")</f>
        <v>202504-0947</v>
      </c>
      <c r="F26" s="269" t="s">
        <v>404</v>
      </c>
      <c r="G26" s="7" t="str">
        <f>IFERROR(VLOOKUP(C26,PC!$A$1:$K$436,3,FALSE),"")</f>
        <v>노트북</v>
      </c>
      <c r="H26" s="1" t="str">
        <f t="shared" si="0"/>
        <v>10.51.90.95</v>
      </c>
    </row>
    <row r="27" spans="1:11" x14ac:dyDescent="0.25">
      <c r="A27" s="30"/>
      <c r="B27" s="234">
        <v>96</v>
      </c>
      <c r="C27" s="235" t="s">
        <v>11</v>
      </c>
      <c r="D27" s="55" t="str">
        <f>IFERROR(VLOOKUP(C27,'정보화기기 명부'!A$2:B$138,2,FALSE),"")</f>
        <v>2학년부</v>
      </c>
      <c r="E27" s="4" t="str">
        <f>IFERROR(VLOOKUP(C27,PC!A$1:K$436,2,FALSE),"")</f>
        <v>202402-0927</v>
      </c>
      <c r="F27" s="194" t="str">
        <f>IFERROR(VLOOKUP(C27,PC!A$1:K$436,7,FALSE)&amp;" "&amp;VLOOKUP(C27,PC!A$1:K$436,6,FALSE),"")</f>
        <v>삼성 NT550XDA-KG11G</v>
      </c>
      <c r="G27" s="4" t="str">
        <f>IFERROR(VLOOKUP(C27,PC!$A$1:$K$436,3,FALSE),"")</f>
        <v>노트북</v>
      </c>
      <c r="H27" s="1" t="str">
        <f t="shared" si="0"/>
        <v>10.51.90.96</v>
      </c>
    </row>
    <row r="28" spans="1:11" x14ac:dyDescent="0.25">
      <c r="A28" s="30"/>
      <c r="B28" s="236">
        <v>97</v>
      </c>
      <c r="C28" s="237" t="s">
        <v>362</v>
      </c>
      <c r="D28" s="55" t="str">
        <f>IFERROR(VLOOKUP(C28,'정보화기기 명부'!A$2:B$138,2,FALSE),"")</f>
        <v>1학년부</v>
      </c>
      <c r="E28" s="5" t="str">
        <f>IFERROR(VLOOKUP(C28,PC!A$1:K$436,2,FALSE),"")</f>
        <v/>
      </c>
      <c r="F28" s="269" t="s">
        <v>404</v>
      </c>
      <c r="G28" s="5" t="str">
        <f>IFERROR(VLOOKUP(C28,PC!$A$1:$K$436,3,FALSE),"")</f>
        <v/>
      </c>
      <c r="H28" s="1" t="str">
        <f t="shared" si="0"/>
        <v>10.51.90.97</v>
      </c>
    </row>
    <row r="29" spans="1:11" x14ac:dyDescent="0.25">
      <c r="A29" s="30"/>
      <c r="B29" s="236">
        <v>98</v>
      </c>
      <c r="C29" s="237" t="s">
        <v>937</v>
      </c>
      <c r="D29" s="55" t="str">
        <f>IFERROR(VLOOKUP(C29,'정보화기기 명부'!A$2:B$138,2,FALSE),"")</f>
        <v>교무기획부</v>
      </c>
      <c r="E29" s="5" t="str">
        <f>IFERROR(VLOOKUP(C29,PC!A$1:K$436,2,FALSE),"")</f>
        <v>20180521-0776</v>
      </c>
      <c r="F29" s="195" t="str">
        <f>IFERROR(VLOOKUP(C29,PC!A$1:K$436,7,FALSE)&amp;" "&amp;VLOOKUP(C29,PC!A$1:K$436,6,FALSE),"")</f>
        <v>주연테크 JY-AX44P5G</v>
      </c>
      <c r="G29" s="5" t="str">
        <f>IFERROR(VLOOKUP(C29,PC!$A$1:$K$436,3,FALSE),"")</f>
        <v>데스크톱</v>
      </c>
      <c r="H29" s="1" t="str">
        <f t="shared" si="0"/>
        <v>10.51.90.98</v>
      </c>
    </row>
    <row r="30" spans="1:11" x14ac:dyDescent="0.25">
      <c r="A30" s="30"/>
      <c r="B30" s="236">
        <v>99</v>
      </c>
      <c r="C30" s="237" t="s">
        <v>377</v>
      </c>
      <c r="D30" s="55" t="str">
        <f>IFERROR(VLOOKUP(C30,'정보화기기 명부'!A$2:B$138,2,FALSE),"")</f>
        <v>학생인권안전부</v>
      </c>
      <c r="E30" s="5" t="str">
        <f>IFERROR(VLOOKUP(C30,PC!A$1:K$436,2,FALSE),"")</f>
        <v>202512-0956</v>
      </c>
      <c r="F30" s="195" t="str">
        <f>IFERROR(VLOOKUP(C30,PC!A$1:K$436,7,FALSE)&amp;" "&amp;VLOOKUP(C30,PC!A$1:K$436,6,FALSE),"")</f>
        <v>삼성 NT750XGK-KG76P</v>
      </c>
      <c r="G30" s="5" t="str">
        <f>IFERROR(VLOOKUP(C30,PC!$A$1:$K$436,3,FALSE),"")</f>
        <v>노트북</v>
      </c>
      <c r="H30" s="1" t="str">
        <f t="shared" si="0"/>
        <v>10.51.90.99</v>
      </c>
    </row>
    <row r="31" spans="1:11" x14ac:dyDescent="0.25">
      <c r="A31" s="30"/>
      <c r="B31" s="34">
        <v>100</v>
      </c>
      <c r="C31" s="222" t="s">
        <v>913</v>
      </c>
      <c r="D31" s="55" t="str">
        <f>IFERROR(VLOOKUP(C31,'정보화기기 명부'!A$2:B$138,2,FALSE),"")</f>
        <v>정보교육부</v>
      </c>
      <c r="E31" s="7" t="str">
        <f>IFERROR(VLOOKUP(C31,PC!A$1:K$436,2,FALSE),"")</f>
        <v>20190927-0802</v>
      </c>
      <c r="F31" s="196" t="str">
        <f>IFERROR(VLOOKUP(C31,PC!A$1:K$436,7,FALSE)&amp;" "&amp;VLOOKUP(C31,PC!A$1:K$436,6,FALSE),"")</f>
        <v>레드스톤 VITO RMS-565S</v>
      </c>
      <c r="G31" s="7" t="str">
        <f>IFERROR(VLOOKUP(C31,PC!$A$1:$K$436,3,FALSE),"")</f>
        <v>데스크톱</v>
      </c>
      <c r="H31" s="1" t="str">
        <f t="shared" si="0"/>
        <v>10.51.90.100</v>
      </c>
      <c r="J31" s="325" t="s">
        <v>1109</v>
      </c>
      <c r="K31" s="325"/>
    </row>
    <row r="32" spans="1:11" x14ac:dyDescent="0.25">
      <c r="A32" s="30"/>
      <c r="B32" s="234">
        <v>101</v>
      </c>
      <c r="C32" s="235" t="s">
        <v>375</v>
      </c>
      <c r="D32" s="55" t="str">
        <f>IFERROR(VLOOKUP(C32,'정보화기기 명부'!A$2:B$138,2,FALSE),"")</f>
        <v>3학년부</v>
      </c>
      <c r="E32" s="4" t="str">
        <f>IFERROR(VLOOKUP(C32,PC!A$1:K$436,2,FALSE),"")</f>
        <v>20230315-0921</v>
      </c>
      <c r="F32" s="194" t="str">
        <f>IFERROR(VLOOKUP(C32,PC!A$1:K$436,7,FALSE)&amp;" "&amp;VLOOKUP(C32,PC!A$1:K$436,6,FALSE),"")</f>
        <v>삼성 NT550XED-KG03G</v>
      </c>
      <c r="G32" s="4" t="str">
        <f>IFERROR(VLOOKUP(C32,PC!$A$1:$K$436,3,FALSE),"")</f>
        <v>노트북</v>
      </c>
      <c r="H32" s="1" t="str">
        <f t="shared" si="0"/>
        <v>10.51.90.101</v>
      </c>
      <c r="J32" s="62" t="s">
        <v>287</v>
      </c>
      <c r="K32" s="61" t="s">
        <v>299</v>
      </c>
    </row>
    <row r="33" spans="1:13" x14ac:dyDescent="0.25">
      <c r="A33" s="30"/>
      <c r="B33" s="236">
        <v>102</v>
      </c>
      <c r="C33" s="237" t="s">
        <v>56</v>
      </c>
      <c r="D33" s="55" t="str">
        <f>IFERROR(VLOOKUP(C33,'정보화기기 명부'!A$2:B$138,2,FALSE),"")</f>
        <v>혁신교육부</v>
      </c>
      <c r="E33" s="5" t="str">
        <f>IFERROR(VLOOKUP(C33,PC!A$1:K$436,2,FALSE),"")</f>
        <v/>
      </c>
      <c r="F33" s="195" t="str">
        <f>IFERROR(VLOOKUP(C33,PC!A$1:K$436,7,FALSE)&amp;" "&amp;VLOOKUP(C33,PC!A$1:K$436,6,FALSE),"")</f>
        <v/>
      </c>
      <c r="G33" s="5" t="str">
        <f>IFERROR(VLOOKUP(C33,PC!$A$1:$K$436,3,FALSE),"")</f>
        <v/>
      </c>
      <c r="H33" s="1" t="str">
        <f t="shared" si="0"/>
        <v>10.51.90.102</v>
      </c>
      <c r="J33" s="63" t="s">
        <v>1693</v>
      </c>
      <c r="K33" s="60" t="s">
        <v>1103</v>
      </c>
    </row>
    <row r="34" spans="1:13" x14ac:dyDescent="0.25">
      <c r="A34" s="30"/>
      <c r="B34" s="236">
        <v>103</v>
      </c>
      <c r="C34" s="237" t="s">
        <v>37</v>
      </c>
      <c r="D34" s="55" t="str">
        <f>IFERROR(VLOOKUP(C34,'정보화기기 명부'!A$2:B$138,2,FALSE),"")</f>
        <v>2학년부</v>
      </c>
      <c r="E34" s="5" t="str">
        <f>IFERROR(VLOOKUP(C34,PC!A$1:K$436,2,FALSE),"")</f>
        <v>202402-0930</v>
      </c>
      <c r="F34" s="195" t="str">
        <f>IFERROR(VLOOKUP(C34,PC!A$1:K$436,7,FALSE)&amp;" "&amp;VLOOKUP(C34,PC!A$1:K$436,6,FALSE),"")</f>
        <v>삼성 NT550XDA-KG11G</v>
      </c>
      <c r="G34" s="5" t="str">
        <f>IFERROR(VLOOKUP(C34,PC!$A$1:$K$436,3,FALSE),"")</f>
        <v>노트북</v>
      </c>
      <c r="H34" s="1" t="str">
        <f t="shared" si="0"/>
        <v>10.51.90.103</v>
      </c>
      <c r="J34" s="63" t="s">
        <v>305</v>
      </c>
      <c r="K34" s="60" t="s">
        <v>1101</v>
      </c>
      <c r="L34" s="11" t="s">
        <v>1106</v>
      </c>
      <c r="M34" s="11">
        <v>5519305</v>
      </c>
    </row>
    <row r="35" spans="1:13" x14ac:dyDescent="0.25">
      <c r="A35" s="30"/>
      <c r="B35" s="236">
        <v>104</v>
      </c>
      <c r="C35" s="237" t="s">
        <v>546</v>
      </c>
      <c r="D35" s="55" t="str">
        <f>IFERROR(VLOOKUP(C35,'정보화기기 명부'!A$2:B$138,2,FALSE),"")</f>
        <v>정보교육부</v>
      </c>
      <c r="E35" s="5" t="str">
        <f>IFERROR(VLOOKUP(C35,PC!A$1:K$436,2,FALSE),"")</f>
        <v>202409-0935</v>
      </c>
      <c r="F35" s="195" t="str">
        <f>IFERROR(VLOOKUP(C35,PC!A$1:K$436,7,FALSE)&amp;" "&amp;VLOOKUP(C35,PC!A$1:K$436,6,FALSE),"")</f>
        <v>삼성 NT750XGK-KG51G</v>
      </c>
      <c r="G35" s="5" t="str">
        <f>IFERROR(VLOOKUP(C35,PC!$A$1:$K$436,3,FALSE),"")</f>
        <v>노트북</v>
      </c>
      <c r="H35" s="1" t="str">
        <f t="shared" si="0"/>
        <v>10.51.90.104</v>
      </c>
      <c r="J35" s="63" t="s">
        <v>1097</v>
      </c>
      <c r="K35" s="60" t="s">
        <v>606</v>
      </c>
    </row>
    <row r="36" spans="1:13" x14ac:dyDescent="0.25">
      <c r="A36" s="30"/>
      <c r="B36" s="238">
        <v>105</v>
      </c>
      <c r="C36" s="239" t="s">
        <v>379</v>
      </c>
      <c r="D36" s="55" t="str">
        <f>IFERROR(VLOOKUP(C36,'정보화기기 명부'!A$2:B$138,2,FALSE),"")</f>
        <v>체육보건부</v>
      </c>
      <c r="E36" s="7" t="str">
        <f>IFERROR(VLOOKUP(C36,PC!A$1:K$436,2,FALSE),"")</f>
        <v/>
      </c>
      <c r="F36" s="196" t="str">
        <f>IFERROR(VLOOKUP(C36,PC!A$1:K$436,7,FALSE)&amp;" "&amp;VLOOKUP(C36,PC!A$1:K$436,6,FALSE),"")</f>
        <v/>
      </c>
      <c r="G36" s="7" t="str">
        <f>IFERROR(VLOOKUP(C36,PC!$A$1:$K$436,3,FALSE),"")</f>
        <v/>
      </c>
      <c r="H36" s="1" t="str">
        <f t="shared" si="0"/>
        <v>10.51.90.105</v>
      </c>
      <c r="J36" s="63" t="s">
        <v>1086</v>
      </c>
      <c r="K36" s="60" t="s">
        <v>1103</v>
      </c>
    </row>
    <row r="37" spans="1:13" x14ac:dyDescent="0.25">
      <c r="A37" s="30"/>
      <c r="B37" s="32">
        <v>106</v>
      </c>
      <c r="C37" s="223" t="s">
        <v>26</v>
      </c>
      <c r="D37" s="55" t="str">
        <f>IFERROR(VLOOKUP(C37,'정보화기기 명부'!A$2:B$138,2,FALSE),"")</f>
        <v/>
      </c>
      <c r="E37" s="4" t="str">
        <f>IFERROR(VLOOKUP(C37,PC!A$1:K$436,2,FALSE),"")</f>
        <v>20190927-0801</v>
      </c>
      <c r="F37" s="194" t="str">
        <f>IFERROR(VLOOKUP(C37,PC!A$1:K$436,7,FALSE)&amp;" "&amp;VLOOKUP(C37,PC!A$1:K$436,6,FALSE),"")</f>
        <v>레드스톤 VITO RMS-565S</v>
      </c>
      <c r="G37" s="4" t="str">
        <f>IFERROR(VLOOKUP(C37,PC!$A$1:$K$436,3,FALSE),"")</f>
        <v>데스크톱</v>
      </c>
      <c r="H37" s="1" t="str">
        <f t="shared" si="0"/>
        <v>10.51.90.106</v>
      </c>
      <c r="J37" s="63" t="s">
        <v>26</v>
      </c>
      <c r="K37" s="60" t="s">
        <v>1102</v>
      </c>
    </row>
    <row r="38" spans="1:13" x14ac:dyDescent="0.25">
      <c r="A38" s="30"/>
      <c r="B38" s="236">
        <v>107</v>
      </c>
      <c r="C38" s="237" t="s">
        <v>65</v>
      </c>
      <c r="D38" s="55" t="str">
        <f>IFERROR(VLOOKUP(C38,'정보화기기 명부'!A$2:B$138,2,FALSE),"")</f>
        <v>정보교육부</v>
      </c>
      <c r="E38" s="5" t="str">
        <f>IFERROR(VLOOKUP(C38,PC!A$1:K$436,2,FALSE),"")</f>
        <v/>
      </c>
      <c r="F38" s="195" t="str">
        <f>IFERROR(VLOOKUP(C38,PC!A$1:K$436,7,FALSE)&amp;" "&amp;VLOOKUP(C38,PC!A$1:K$436,6,FALSE),"")</f>
        <v/>
      </c>
      <c r="G38" s="5" t="str">
        <f>IFERROR(VLOOKUP(C38,PC!$A$1:$K$436,3,FALSE),"")</f>
        <v/>
      </c>
      <c r="H38" s="1" t="str">
        <f t="shared" si="0"/>
        <v>10.51.90.107</v>
      </c>
      <c r="J38" s="123" t="s">
        <v>323</v>
      </c>
      <c r="K38" s="124" t="s">
        <v>1085</v>
      </c>
    </row>
    <row r="39" spans="1:13" x14ac:dyDescent="0.25">
      <c r="A39" s="30"/>
      <c r="B39" s="236">
        <v>108</v>
      </c>
      <c r="C39" s="237" t="s">
        <v>382</v>
      </c>
      <c r="D39" s="55" t="str">
        <f>IFERROR(VLOOKUP(C39,'정보화기기 명부'!A$2:B$138,2,FALSE),"")</f>
        <v>교무기획부</v>
      </c>
      <c r="E39" s="5" t="str">
        <f>IFERROR(VLOOKUP(C39,PC!A$1:K$436,2,FALSE),"")</f>
        <v>202402-0921</v>
      </c>
      <c r="F39" s="195" t="str">
        <f>IFERROR(VLOOKUP(C39,PC!A$1:K$436,7,FALSE)&amp;" "&amp;VLOOKUP(C39,PC!A$1:K$436,6,FALSE),"")</f>
        <v>삼성 NT550XDA-KG11G</v>
      </c>
      <c r="G39" s="5" t="str">
        <f>IFERROR(VLOOKUP(C39,PC!$A$1:$K$436,3,FALSE),"")</f>
        <v>노트북</v>
      </c>
      <c r="H39" s="1" t="str">
        <f t="shared" si="0"/>
        <v>10.51.90.108</v>
      </c>
    </row>
    <row r="40" spans="1:13" x14ac:dyDescent="0.25">
      <c r="A40" s="30"/>
      <c r="B40" s="236">
        <v>109</v>
      </c>
      <c r="C40" s="237" t="s">
        <v>62</v>
      </c>
      <c r="D40" s="55" t="str">
        <f>IFERROR(VLOOKUP(C40,'정보화기기 명부'!A$2:B$138,2,FALSE),"")</f>
        <v>교육과정부</v>
      </c>
      <c r="E40" s="5" t="str">
        <f>IFERROR(VLOOKUP(C40,PC!A$1:K$436,2,FALSE),"")</f>
        <v>202212-0916</v>
      </c>
      <c r="F40" s="195" t="str">
        <f>IFERROR(VLOOKUP(C40,PC!A$1:K$436,7,FALSE)&amp;" "&amp;VLOOKUP(C40,PC!A$1:K$436,6,FALSE),"")</f>
        <v>델 Latitude3520</v>
      </c>
      <c r="G40" s="5" t="str">
        <f>IFERROR(VLOOKUP(C40,PC!$A$1:$K$436,3,FALSE),"")</f>
        <v>노트북</v>
      </c>
      <c r="H40" s="1" t="str">
        <f t="shared" si="0"/>
        <v>10.51.90.109</v>
      </c>
    </row>
    <row r="41" spans="1:13" x14ac:dyDescent="0.25">
      <c r="A41" s="30"/>
      <c r="B41" s="34">
        <v>110</v>
      </c>
      <c r="C41" s="222" t="s">
        <v>1207</v>
      </c>
      <c r="D41" s="55" t="str">
        <f>IFERROR(VLOOKUP(C41,'정보화기기 명부'!A$2:B$138,2,FALSE),"")</f>
        <v>소강당</v>
      </c>
      <c r="E41" s="7" t="str">
        <f>IFERROR(VLOOKUP(C41,PC!A$1:K$436,2,FALSE),"")</f>
        <v>20190115-0788</v>
      </c>
      <c r="F41" s="196" t="str">
        <f>IFERROR(VLOOKUP(C41,PC!A$1:K$436,7,FALSE)&amp;" "&amp;VLOOKUP(C41,PC!A$1:K$436,6,FALSE),"")</f>
        <v>대우루컴즈 솔로탑G-3FEE</v>
      </c>
      <c r="G41" s="7" t="str">
        <f>IFERROR(VLOOKUP(C41,PC!$A$1:$K$436,3,FALSE),"")</f>
        <v>데스크톱</v>
      </c>
      <c r="H41" s="1" t="str">
        <f t="shared" si="0"/>
        <v>10.51.90.110</v>
      </c>
    </row>
    <row r="42" spans="1:13" x14ac:dyDescent="0.25">
      <c r="A42" s="30"/>
      <c r="B42" s="234">
        <v>111</v>
      </c>
      <c r="C42" s="235" t="s">
        <v>955</v>
      </c>
      <c r="D42" s="55" t="str">
        <f>IFERROR(VLOOKUP(C42,'정보화기기 명부'!A$2:B$138,2,FALSE),"")</f>
        <v>정보교육부</v>
      </c>
      <c r="E42" s="4" t="str">
        <f>IFERROR(VLOOKUP(C42,PC!A$1:K$436,2,FALSE),"")</f>
        <v>20161223-0733</v>
      </c>
      <c r="F42" s="194" t="str">
        <f>IFERROR(VLOOKUP(C42,PC!A$1:K$436,7,FALSE)&amp;" "&amp;VLOOKUP(C42,PC!A$1:K$436,6,FALSE),"")</f>
        <v>레드스톤시스템 RHS-549PE</v>
      </c>
      <c r="G42" s="4" t="str">
        <f>IFERROR(VLOOKUP(C42,PC!$A$1:$K$436,3,FALSE),"")</f>
        <v>데스크톱</v>
      </c>
      <c r="H42" s="1" t="str">
        <f t="shared" si="0"/>
        <v>10.51.90.111</v>
      </c>
    </row>
    <row r="43" spans="1:13" x14ac:dyDescent="0.25">
      <c r="A43" s="30"/>
      <c r="B43" s="236">
        <v>112</v>
      </c>
      <c r="C43" s="237" t="s">
        <v>13</v>
      </c>
      <c r="D43" s="55" t="str">
        <f>IFERROR(VLOOKUP(C43,'정보화기기 명부'!A$2:B$138,2,FALSE),"")</f>
        <v>2학년부</v>
      </c>
      <c r="E43" s="5" t="str">
        <f>IFERROR(VLOOKUP(C43,PC!A$1:K$436,2,FALSE),"")</f>
        <v>202409-0938</v>
      </c>
      <c r="F43" s="195" t="str">
        <f>IFERROR(VLOOKUP(C43,PC!A$1:K$436,7,FALSE)&amp;" "&amp;VLOOKUP(C43,PC!A$1:K$436,6,FALSE),"")</f>
        <v>삼성 NT750XGK-KG51G</v>
      </c>
      <c r="G43" s="5" t="str">
        <f>IFERROR(VLOOKUP(C43,PC!$A$1:$K$436,3,FALSE),"")</f>
        <v>노트북</v>
      </c>
      <c r="H43" s="1" t="str">
        <f t="shared" si="0"/>
        <v>10.51.90.112</v>
      </c>
    </row>
    <row r="44" spans="1:13" x14ac:dyDescent="0.25">
      <c r="A44" s="30"/>
      <c r="B44" s="236">
        <v>113</v>
      </c>
      <c r="C44" s="237" t="s">
        <v>361</v>
      </c>
      <c r="D44" s="55" t="str">
        <f>IFERROR(VLOOKUP(C44,'정보화기기 명부'!A$2:B$138,2,FALSE),"")</f>
        <v>1학년부</v>
      </c>
      <c r="E44" s="5" t="str">
        <f>IFERROR(VLOOKUP(C44,PC!A$1:K$436,2,FALSE),"")</f>
        <v/>
      </c>
      <c r="F44" s="269" t="s">
        <v>404</v>
      </c>
      <c r="G44" s="5" t="str">
        <f>IFERROR(VLOOKUP(C44,PC!$A$1:$K$436,3,FALSE),"")</f>
        <v/>
      </c>
      <c r="H44" s="1" t="str">
        <f t="shared" si="0"/>
        <v>10.51.90.113</v>
      </c>
    </row>
    <row r="45" spans="1:13" x14ac:dyDescent="0.25">
      <c r="A45" s="30"/>
      <c r="B45" s="236">
        <v>114</v>
      </c>
      <c r="C45" s="237" t="s">
        <v>25</v>
      </c>
      <c r="D45" s="55" t="str">
        <f>IFERROR(VLOOKUP(C45,'정보화기기 명부'!A$2:B$138,2,FALSE),"")</f>
        <v>3학년부</v>
      </c>
      <c r="E45" s="5" t="str">
        <f>IFERROR(VLOOKUP(C45,PC!A$1:K$436,2,FALSE),"")</f>
        <v>202402-0924</v>
      </c>
      <c r="F45" s="195" t="str">
        <f>IFERROR(VLOOKUP(C45,PC!A$1:K$436,7,FALSE)&amp;" "&amp;VLOOKUP(C45,PC!A$1:K$436,6,FALSE),"")</f>
        <v>삼성 NT550XDA-KG11G</v>
      </c>
      <c r="G45" s="5" t="str">
        <f>IFERROR(VLOOKUP(C45,PC!$A$1:$K$436,3,FALSE),"")</f>
        <v>노트북</v>
      </c>
      <c r="H45" s="1" t="str">
        <f t="shared" si="0"/>
        <v>10.51.90.114</v>
      </c>
    </row>
    <row r="46" spans="1:13" x14ac:dyDescent="0.25">
      <c r="A46" s="30"/>
      <c r="B46" s="238">
        <v>115</v>
      </c>
      <c r="C46" s="239" t="s">
        <v>357</v>
      </c>
      <c r="D46" s="55" t="str">
        <f>IFERROR(VLOOKUP(C46,'정보화기기 명부'!A$2:B$138,2,FALSE),"")</f>
        <v>2학년부</v>
      </c>
      <c r="E46" s="7" t="str">
        <f>IFERROR(VLOOKUP(C46,PC!A$1:K$436,2,FALSE),"")</f>
        <v/>
      </c>
      <c r="F46" s="269" t="s">
        <v>404</v>
      </c>
      <c r="G46" s="7" t="str">
        <f>IFERROR(VLOOKUP(C46,PC!$A$1:$K$436,3,FALSE),"")</f>
        <v/>
      </c>
      <c r="H46" s="1" t="str">
        <f t="shared" si="0"/>
        <v>10.51.90.115</v>
      </c>
    </row>
    <row r="47" spans="1:13" x14ac:dyDescent="0.25">
      <c r="A47" s="30"/>
      <c r="B47" s="234">
        <v>116</v>
      </c>
      <c r="C47" s="235" t="s">
        <v>365</v>
      </c>
      <c r="D47" s="55" t="str">
        <f>IFERROR(VLOOKUP(C47,'정보화기기 명부'!A$2:B$138,2,FALSE),"")</f>
        <v>1학년부</v>
      </c>
      <c r="E47" s="4" t="str">
        <f>IFERROR(VLOOKUP(C47,PC!A$1:K$436,2,FALSE),"")</f>
        <v>202504-0950</v>
      </c>
      <c r="F47" s="269" t="s">
        <v>404</v>
      </c>
      <c r="G47" s="4" t="str">
        <f>IFERROR(VLOOKUP(C47,PC!$A$1:$K$436,3,FALSE),"")</f>
        <v>노트북</v>
      </c>
      <c r="H47" s="1" t="str">
        <f t="shared" si="0"/>
        <v>10.51.90.116</v>
      </c>
      <c r="J47" s="326" t="s">
        <v>1690</v>
      </c>
      <c r="K47" s="328" t="s">
        <v>354</v>
      </c>
      <c r="L47" s="330" t="s">
        <v>1126</v>
      </c>
      <c r="M47" s="331"/>
    </row>
    <row r="48" spans="1:13" x14ac:dyDescent="0.25">
      <c r="A48" s="30"/>
      <c r="B48" s="236">
        <v>117</v>
      </c>
      <c r="C48" s="237" t="s">
        <v>396</v>
      </c>
      <c r="D48" s="55" t="str">
        <f>IFERROR(VLOOKUP(C48,'정보화기기 명부'!A$2:B$138,2,FALSE),"")</f>
        <v>Wee클래스</v>
      </c>
      <c r="E48" s="5" t="str">
        <f>IFERROR(VLOOKUP(C48,PC!A$1:K$436,2,FALSE),"")</f>
        <v>20250708-0853</v>
      </c>
      <c r="F48" s="195" t="str">
        <f>IFERROR(VLOOKUP(C48,PC!A$1:K$436,7,FALSE)&amp;" "&amp;VLOOKUP(C48,PC!A$1:K$436,6,FALSE),"")</f>
        <v>대우루컴즈 DS361A-245430</v>
      </c>
      <c r="G48" s="5" t="str">
        <f>IFERROR(VLOOKUP(C48,PC!$A$1:$K$436,3,FALSE),"")</f>
        <v>데스크톱</v>
      </c>
      <c r="H48" s="1" t="str">
        <f t="shared" si="0"/>
        <v>10.51.90.117</v>
      </c>
      <c r="I48" s="104"/>
      <c r="J48" s="327"/>
      <c r="K48" s="329"/>
      <c r="L48" s="2" t="s">
        <v>1099</v>
      </c>
      <c r="M48" s="105" t="s">
        <v>1078</v>
      </c>
    </row>
    <row r="49" spans="1:13" x14ac:dyDescent="0.25">
      <c r="A49" s="30"/>
      <c r="B49" s="236">
        <v>118</v>
      </c>
      <c r="C49" s="237" t="s">
        <v>61</v>
      </c>
      <c r="D49" s="55" t="str">
        <f>IFERROR(VLOOKUP(C49,'정보화기기 명부'!A$2:B$138,2,FALSE),"")</f>
        <v>체육보건부</v>
      </c>
      <c r="E49" s="5" t="str">
        <f>IFERROR(VLOOKUP(C49,PC!A$1:K$436,2,FALSE),"")</f>
        <v>202504-0955</v>
      </c>
      <c r="F49" s="269" t="s">
        <v>404</v>
      </c>
      <c r="G49" s="5" t="str">
        <f>IFERROR(VLOOKUP(C49,PC!$A$1:$K$436,3,FALSE),"")</f>
        <v>노트북</v>
      </c>
      <c r="H49" s="1" t="str">
        <f t="shared" si="0"/>
        <v>10.51.90.118</v>
      </c>
      <c r="J49" s="106" t="s">
        <v>352</v>
      </c>
      <c r="K49" s="2" t="s">
        <v>1098</v>
      </c>
      <c r="L49" s="2" t="s">
        <v>1075</v>
      </c>
      <c r="M49" s="105" t="s">
        <v>615</v>
      </c>
    </row>
    <row r="50" spans="1:13" x14ac:dyDescent="0.25">
      <c r="A50" s="30"/>
      <c r="B50" s="236">
        <v>119</v>
      </c>
      <c r="C50" s="237" t="s">
        <v>57</v>
      </c>
      <c r="D50" s="55" t="str">
        <f>IFERROR(VLOOKUP(C50,'정보화기기 명부'!A$2:B$138,2,FALSE),"")</f>
        <v>3학년부</v>
      </c>
      <c r="E50" s="5" t="str">
        <f>IFERROR(VLOOKUP(C50,PC!A$1:K$436,2,FALSE),"")</f>
        <v/>
      </c>
      <c r="F50" s="195" t="str">
        <f>IFERROR(VLOOKUP(C50,PC!A$1:K$436,7,FALSE)&amp;" "&amp;VLOOKUP(C50,PC!A$1:K$436,6,FALSE),"")</f>
        <v/>
      </c>
      <c r="G50" s="5" t="str">
        <f>IFERROR(VLOOKUP(C50,PC!$A$1:$K$436,3,FALSE),"")</f>
        <v/>
      </c>
      <c r="H50" s="1" t="str">
        <f t="shared" si="0"/>
        <v>10.51.90.119</v>
      </c>
      <c r="J50" s="107" t="s">
        <v>272</v>
      </c>
      <c r="K50" s="108" t="s">
        <v>1103</v>
      </c>
      <c r="L50" s="321" t="s">
        <v>612</v>
      </c>
      <c r="M50" s="322"/>
    </row>
    <row r="51" spans="1:13" x14ac:dyDescent="0.25">
      <c r="A51" s="30"/>
      <c r="B51" s="238">
        <v>120</v>
      </c>
      <c r="C51" s="239" t="s">
        <v>360</v>
      </c>
      <c r="D51" s="55" t="str">
        <f>IFERROR(VLOOKUP(C51,'정보화기기 명부'!A$2:B$138,2,FALSE),"")</f>
        <v>1학년부</v>
      </c>
      <c r="E51" s="7" t="str">
        <f>IFERROR(VLOOKUP(C51,PC!A$1:K$436,2,FALSE),"")</f>
        <v>202402-0932</v>
      </c>
      <c r="F51" s="196" t="str">
        <f>IFERROR(VLOOKUP(C51,PC!A$1:K$436,7,FALSE)&amp;" "&amp;VLOOKUP(C51,PC!A$1:K$436,6,FALSE),"")</f>
        <v>삼성 NT550XDA-KG11G</v>
      </c>
      <c r="G51" s="7" t="str">
        <f>IFERROR(VLOOKUP(C51,PC!$A$1:$K$436,3,FALSE),"")</f>
        <v>노트북</v>
      </c>
      <c r="H51" s="1" t="str">
        <f t="shared" si="0"/>
        <v>10.51.90.120</v>
      </c>
      <c r="J51" s="1"/>
      <c r="L51" s="1"/>
      <c r="M51" s="1"/>
    </row>
    <row r="52" spans="1:13" x14ac:dyDescent="0.25">
      <c r="A52" s="30"/>
      <c r="B52" s="234">
        <v>121</v>
      </c>
      <c r="C52" s="235" t="s">
        <v>42</v>
      </c>
      <c r="D52" s="55" t="str">
        <f>IFERROR(VLOOKUP(C52,'정보화기기 명부'!A$2:B$138,2,FALSE),"")</f>
        <v>인문사회부</v>
      </c>
      <c r="E52" s="4" t="str">
        <f>IFERROR(VLOOKUP(C52,PC!A$1:K$436,2,FALSE),"")</f>
        <v>202208-0913</v>
      </c>
      <c r="F52" s="194" t="str">
        <f>IFERROR(VLOOKUP(C52,PC!A$1:K$436,7,FALSE)&amp;" "&amp;VLOOKUP(C52,PC!A$1:K$436,6,FALSE),"")</f>
        <v>삼보 N5800-G050-OU02</v>
      </c>
      <c r="G52" s="4" t="str">
        <f>IFERROR(VLOOKUP(C52,PC!$A$1:$K$436,3,FALSE),"")</f>
        <v>노트북</v>
      </c>
      <c r="H52" s="1" t="str">
        <f t="shared" si="0"/>
        <v>10.51.90.121</v>
      </c>
      <c r="J52" s="11" t="s">
        <v>871</v>
      </c>
      <c r="K52" s="11" t="s">
        <v>1772</v>
      </c>
    </row>
    <row r="53" spans="1:13" x14ac:dyDescent="0.25">
      <c r="A53" s="30"/>
      <c r="B53" s="236">
        <v>122</v>
      </c>
      <c r="C53" s="237" t="s">
        <v>402</v>
      </c>
      <c r="D53" s="55" t="str">
        <f>IFERROR(VLOOKUP(C53,'정보화기기 명부'!A$2:B$138,2,FALSE),"")</f>
        <v>교무기획부</v>
      </c>
      <c r="E53" s="5" t="str">
        <f>IFERROR(VLOOKUP(C53,PC!A$1:K$436,2,FALSE),"")</f>
        <v>202409-0944</v>
      </c>
      <c r="F53" s="195" t="str">
        <f>IFERROR(VLOOKUP(C53,PC!A$1:K$436,7,FALSE)&amp;" "&amp;VLOOKUP(C53,PC!A$1:K$436,6,FALSE),"")</f>
        <v>삼성 NT750XGK-KG51G</v>
      </c>
      <c r="G53" s="5" t="str">
        <f>IFERROR(VLOOKUP(C53,PC!$A$1:$K$436,3,FALSE),"")</f>
        <v>노트북</v>
      </c>
      <c r="H53" s="1" t="str">
        <f t="shared" si="0"/>
        <v>10.51.90.122</v>
      </c>
      <c r="J53" s="11" t="s">
        <v>872</v>
      </c>
      <c r="K53" s="11" t="s">
        <v>1390</v>
      </c>
    </row>
    <row r="54" spans="1:13" x14ac:dyDescent="0.25">
      <c r="A54" s="30"/>
      <c r="B54" s="236">
        <v>123</v>
      </c>
      <c r="C54" s="237" t="s">
        <v>372</v>
      </c>
      <c r="D54" s="55" t="str">
        <f>IFERROR(VLOOKUP(C54,'정보화기기 명부'!A$2:B$138,2,FALSE),"")</f>
        <v>특수교육부</v>
      </c>
      <c r="E54" s="5" t="str">
        <f>IFERROR(VLOOKUP(C54,PC!A$1:K$436,2,FALSE),"")</f>
        <v>202208-0910</v>
      </c>
      <c r="F54" s="195" t="str">
        <f>IFERROR(VLOOKUP(C54,PC!A$1:K$436,7,FALSE)&amp;" "&amp;VLOOKUP(C54,PC!A$1:K$436,6,FALSE),"")</f>
        <v>삼보 N5800-G050-OU02</v>
      </c>
      <c r="G54" s="5" t="str">
        <f>IFERROR(VLOOKUP(C54,PC!$A$1:$K$436,3,FALSE),"")</f>
        <v>노트북</v>
      </c>
      <c r="H54" s="1" t="str">
        <f t="shared" si="0"/>
        <v>10.51.90.123</v>
      </c>
      <c r="J54" s="11" t="s">
        <v>1388</v>
      </c>
      <c r="K54" s="11" t="s">
        <v>1764</v>
      </c>
    </row>
    <row r="55" spans="1:13" x14ac:dyDescent="0.25">
      <c r="A55" s="30"/>
      <c r="B55" s="236">
        <v>124</v>
      </c>
      <c r="C55" s="237" t="s">
        <v>58</v>
      </c>
      <c r="D55" s="55" t="str">
        <f>IFERROR(VLOOKUP(C55,'정보화기기 명부'!A$2:B$138,2,FALSE),"")</f>
        <v>특수교육부</v>
      </c>
      <c r="E55" s="5" t="str">
        <f>IFERROR(VLOOKUP(C55,PC!A$1:K$436,2,FALSE),"")</f>
        <v>202208-0908</v>
      </c>
      <c r="F55" s="195" t="str">
        <f>IFERROR(VLOOKUP(C55,PC!A$1:K$436,7,FALSE)&amp;" "&amp;VLOOKUP(C55,PC!A$1:K$436,6,FALSE),"")</f>
        <v>삼보 N5800-G050-OU02</v>
      </c>
      <c r="G55" s="5" t="str">
        <f>IFERROR(VLOOKUP(C55,PC!$A$1:$K$436,3,FALSE),"")</f>
        <v>노트북</v>
      </c>
      <c r="H55" s="1" t="str">
        <f t="shared" si="0"/>
        <v>10.51.90.124</v>
      </c>
      <c r="J55" s="11" t="s">
        <v>850</v>
      </c>
      <c r="K55" s="11" t="s">
        <v>875</v>
      </c>
    </row>
    <row r="56" spans="1:13" x14ac:dyDescent="0.25">
      <c r="A56" s="30"/>
      <c r="B56" s="238">
        <v>125</v>
      </c>
      <c r="C56" s="239" t="s">
        <v>380</v>
      </c>
      <c r="D56" s="55" t="str">
        <f>IFERROR(VLOOKUP(C56,'정보화기기 명부'!A$2:B$138,2,FALSE),"")</f>
        <v>1학년부</v>
      </c>
      <c r="E56" s="7" t="str">
        <f>IFERROR(VLOOKUP(C56,PC!A$1:K$436,2,FALSE),"")</f>
        <v>202504-0951</v>
      </c>
      <c r="F56" s="269" t="s">
        <v>404</v>
      </c>
      <c r="G56" s="7" t="str">
        <f>IFERROR(VLOOKUP(C56,PC!$A$1:$K$436,3,FALSE),"")</f>
        <v>노트북</v>
      </c>
      <c r="H56" s="1" t="str">
        <f t="shared" si="0"/>
        <v>10.51.90.125</v>
      </c>
    </row>
    <row r="57" spans="1:13" x14ac:dyDescent="0.25">
      <c r="A57" s="30"/>
      <c r="B57" s="234">
        <v>126</v>
      </c>
      <c r="C57" s="235" t="s">
        <v>94</v>
      </c>
      <c r="D57" s="55" t="str">
        <f>IFERROR(VLOOKUP(C57,'정보화기기 명부'!A$2:B$138,2,FALSE),"")</f>
        <v>수리과학부</v>
      </c>
      <c r="E57" s="4" t="str">
        <f>IFERROR(VLOOKUP(C57,PC!A$1:K$436,2,FALSE),"")</f>
        <v>202208-0909</v>
      </c>
      <c r="F57" s="194" t="str">
        <f>IFERROR(VLOOKUP(C57,PC!A$1:K$436,7,FALSE)&amp;" "&amp;VLOOKUP(C57,PC!A$1:K$436,6,FALSE),"")</f>
        <v>삼보 N5800-G050-OU02</v>
      </c>
      <c r="G57" s="4" t="str">
        <f>IFERROR(VLOOKUP(C57,PC!$A$1:$K$436,3,FALSE),"")</f>
        <v>노트북</v>
      </c>
      <c r="H57" s="1" t="str">
        <f t="shared" si="0"/>
        <v>10.51.90.126</v>
      </c>
    </row>
    <row r="58" spans="1:13" x14ac:dyDescent="0.25">
      <c r="A58" s="30"/>
      <c r="B58" s="236">
        <v>127</v>
      </c>
      <c r="C58" s="237" t="s">
        <v>852</v>
      </c>
      <c r="D58" s="55" t="str">
        <f>IFERROR(VLOOKUP(C58,'정보화기기 명부'!A$2:B$138,2,FALSE),"")</f>
        <v/>
      </c>
      <c r="E58" s="5" t="str">
        <f>IFERROR(VLOOKUP(C58,PC!A$1:K$436,2,FALSE),"")</f>
        <v>20250708-0808</v>
      </c>
      <c r="F58" s="195" t="str">
        <f>IFERROR(VLOOKUP(C58,PC!A$1:K$436,7,FALSE)&amp;" "&amp;VLOOKUP(C58,PC!A$1:K$436,6,FALSE),"")</f>
        <v>대우루컴즈 DS361A-245430</v>
      </c>
      <c r="G58" s="5" t="str">
        <f>IFERROR(VLOOKUP(C58,PC!$A$1:$K$436,3,FALSE),"")</f>
        <v>데스크톱</v>
      </c>
      <c r="H58" s="1" t="str">
        <f t="shared" si="0"/>
        <v>10.51.90.127</v>
      </c>
    </row>
    <row r="59" spans="1:13" x14ac:dyDescent="0.25">
      <c r="A59" s="30"/>
      <c r="B59" s="33">
        <v>128</v>
      </c>
      <c r="C59" s="221" t="s">
        <v>865</v>
      </c>
      <c r="D59" s="55" t="str">
        <f>IFERROR(VLOOKUP(C59,'정보화기기 명부'!A$2:B$138,2,FALSE),"")</f>
        <v/>
      </c>
      <c r="E59" s="5" t="str">
        <f>IFERROR(VLOOKUP(C59,PC!A$1:K$436,2,FALSE),"")</f>
        <v>20190927-0807</v>
      </c>
      <c r="F59" s="195" t="str">
        <f>IFERROR(VLOOKUP(C59,PC!A$1:K$436,7,FALSE)&amp;" "&amp;VLOOKUP(C59,PC!A$1:K$436,6,FALSE),"")</f>
        <v>레드스톤 VITO RMS-565S</v>
      </c>
      <c r="G59" s="5" t="str">
        <f>IFERROR(VLOOKUP(C59,PC!$A$1:$K$436,3,FALSE),"")</f>
        <v>데스크톱</v>
      </c>
      <c r="H59" s="1" t="str">
        <f t="shared" si="0"/>
        <v>10.51.90.128</v>
      </c>
    </row>
    <row r="60" spans="1:13" x14ac:dyDescent="0.25">
      <c r="A60" s="30"/>
      <c r="B60" s="33">
        <v>129</v>
      </c>
      <c r="C60" s="221" t="s">
        <v>853</v>
      </c>
      <c r="D60" s="55" t="str">
        <f>IFERROR(VLOOKUP(C60,'정보화기기 명부'!A$2:B$138,2,FALSE),"")</f>
        <v/>
      </c>
      <c r="E60" s="5" t="str">
        <f>IFERROR(VLOOKUP(C60,PC!A$1:K$436,2,FALSE),"")</f>
        <v/>
      </c>
      <c r="F60" s="195" t="str">
        <f>IFERROR(VLOOKUP(C60,PC!A$1:K$436,7,FALSE)&amp;" "&amp;VLOOKUP(C60,PC!A$1:K$436,6,FALSE),"")</f>
        <v/>
      </c>
      <c r="G60" s="5" t="str">
        <f>IFERROR(VLOOKUP(C60,PC!$A$1:$K$436,3,FALSE),"")</f>
        <v/>
      </c>
      <c r="H60" s="1" t="str">
        <f t="shared" si="0"/>
        <v>10.51.90.129</v>
      </c>
    </row>
    <row r="61" spans="1:13" x14ac:dyDescent="0.25">
      <c r="A61" s="30"/>
      <c r="B61" s="34">
        <v>130</v>
      </c>
      <c r="C61" s="222" t="s">
        <v>1175</v>
      </c>
      <c r="D61" s="55" t="str">
        <f>IFERROR(VLOOKUP(C61,'정보화기기 명부'!A$2:B$138,2,FALSE),"")</f>
        <v>도서실</v>
      </c>
      <c r="E61" s="7" t="str">
        <f>IFERROR(VLOOKUP(C61,PC!A$1:K$436,2,FALSE),"")</f>
        <v>20180918-0786</v>
      </c>
      <c r="F61" s="196" t="str">
        <f>IFERROR(VLOOKUP(C61,PC!A$1:K$436,7,FALSE)&amp;" "&amp;VLOOKUP(C61,PC!A$1:K$436,6,FALSE),"")</f>
        <v>에이텍 A6SBG6P</v>
      </c>
      <c r="G61" s="7" t="str">
        <f>IFERROR(VLOOKUP(C61,PC!$A$1:$K$436,3,FALSE),"")</f>
        <v>데스크톱</v>
      </c>
      <c r="H61" s="1" t="str">
        <f t="shared" si="0"/>
        <v>10.51.90.130</v>
      </c>
    </row>
    <row r="62" spans="1:13" x14ac:dyDescent="0.25">
      <c r="A62" s="30"/>
      <c r="B62" s="234">
        <v>131</v>
      </c>
      <c r="C62" s="235" t="s">
        <v>359</v>
      </c>
      <c r="D62" s="55" t="str">
        <f>IFERROR(VLOOKUP(C62,'정보화기기 명부'!A$2:B$138,2,FALSE),"")</f>
        <v>교육과정부</v>
      </c>
      <c r="E62" s="4" t="str">
        <f>IFERROR(VLOOKUP(C62,PC!A$1:K$436,2,FALSE),"")</f>
        <v>202208-0906</v>
      </c>
      <c r="F62" s="194" t="str">
        <f>IFERROR(VLOOKUP(C62,PC!A$1:K$436,7,FALSE)&amp;" "&amp;VLOOKUP(C62,PC!A$1:K$436,6,FALSE),"")</f>
        <v>삼보 N5800-G050-OU02</v>
      </c>
      <c r="G62" s="4" t="str">
        <f>IFERROR(VLOOKUP(C62,PC!$A$1:$K$436,3,FALSE),"")</f>
        <v>노트북</v>
      </c>
      <c r="H62" s="1" t="str">
        <f t="shared" si="0"/>
        <v>10.51.90.131</v>
      </c>
    </row>
    <row r="63" spans="1:13" x14ac:dyDescent="0.25">
      <c r="A63" s="30"/>
      <c r="B63" s="236">
        <v>132</v>
      </c>
      <c r="C63" s="237" t="s">
        <v>388</v>
      </c>
      <c r="D63" s="55" t="str">
        <f>IFERROR(VLOOKUP(C63,'정보화기기 명부'!A$2:B$138,2,FALSE),"")</f>
        <v>-</v>
      </c>
      <c r="E63" s="5" t="str">
        <f>IFERROR(VLOOKUP(C63,PC!A$1:K$436,2,FALSE),"")</f>
        <v>202512-0957</v>
      </c>
      <c r="F63" s="195" t="str">
        <f>IFERROR(VLOOKUP(C63,PC!A$1:K$436,7,FALSE)&amp;" "&amp;VLOOKUP(C63,PC!A$1:K$436,6,FALSE),"")</f>
        <v>삼성 NT750XGK-KG76P</v>
      </c>
      <c r="G63" s="5" t="str">
        <f>IFERROR(VLOOKUP(C63,PC!$A$1:$K$436,3,FALSE),"")</f>
        <v>노트북</v>
      </c>
      <c r="H63" s="1" t="str">
        <f t="shared" si="0"/>
        <v>10.51.90.132</v>
      </c>
    </row>
    <row r="64" spans="1:13" x14ac:dyDescent="0.25">
      <c r="A64" s="30"/>
      <c r="B64" s="236">
        <v>133</v>
      </c>
      <c r="C64" s="237" t="s">
        <v>327</v>
      </c>
      <c r="D64" s="55" t="str">
        <f>IFERROR(VLOOKUP(C64,'정보화기기 명부'!A$2:B$138,2,FALSE),"")</f>
        <v>3학년부</v>
      </c>
      <c r="E64" s="5" t="str">
        <f>IFERROR(VLOOKUP(C64,PC!A$1:K$436,2,FALSE),"")</f>
        <v>202203-0904</v>
      </c>
      <c r="F64" s="195" t="str">
        <f>IFERROR(VLOOKUP(C64,PC!A$1:K$436,7,FALSE)&amp;" "&amp;VLOOKUP(C64,PC!A$1:K$436,6,FALSE),"")</f>
        <v>삼성 NT550XDA-KG01G</v>
      </c>
      <c r="G64" s="5" t="str">
        <f>IFERROR(VLOOKUP(C64,PC!$A$1:$K$436,3,FALSE),"")</f>
        <v>노트북</v>
      </c>
      <c r="H64" s="1" t="str">
        <f t="shared" si="0"/>
        <v>10.51.90.133</v>
      </c>
    </row>
    <row r="65" spans="1:8" x14ac:dyDescent="0.25">
      <c r="A65" s="30"/>
      <c r="B65" s="236">
        <v>134</v>
      </c>
      <c r="C65" s="237" t="s">
        <v>325</v>
      </c>
      <c r="D65" s="55" t="str">
        <f>IFERROR(VLOOKUP(C65,'정보화기기 명부'!A$2:B$138,2,FALSE),"")</f>
        <v>교무기획부</v>
      </c>
      <c r="E65" s="5" t="str">
        <f>IFERROR(VLOOKUP(C65,PC!A$1:K$436,2,FALSE),"")</f>
        <v/>
      </c>
      <c r="F65" s="195" t="str">
        <f>IFERROR(VLOOKUP(C65,PC!A$1:K$436,7,FALSE)&amp;" "&amp;VLOOKUP(C65,PC!A$1:K$436,6,FALSE),"")</f>
        <v/>
      </c>
      <c r="G65" s="5" t="str">
        <f>IFERROR(VLOOKUP(C65,PC!$A$1:$K$436,3,FALSE),"")</f>
        <v/>
      </c>
      <c r="H65" s="1" t="str">
        <f t="shared" si="0"/>
        <v>10.51.90.134</v>
      </c>
    </row>
    <row r="66" spans="1:8" x14ac:dyDescent="0.25">
      <c r="A66" s="30"/>
      <c r="B66" s="34">
        <v>135</v>
      </c>
      <c r="C66" s="222" t="s">
        <v>67</v>
      </c>
      <c r="D66" s="55" t="str">
        <f>IFERROR(VLOOKUP(C66,'정보화기기 명부'!A$2:B$138,2,FALSE),"")</f>
        <v>수리과학부</v>
      </c>
      <c r="E66" s="7" t="str">
        <f>IFERROR(VLOOKUP(C66,PC!A$1:K$436,2,FALSE),"")</f>
        <v>20170705-0746</v>
      </c>
      <c r="F66" s="196" t="str">
        <f>IFERROR(VLOOKUP(C66,PC!A$1:K$436,7,FALSE)&amp;" "&amp;VLOOKUP(C66,PC!A$1:K$436,6,FALSE),"")</f>
        <v>삼성 NT300E5L-K51G</v>
      </c>
      <c r="G66" s="7" t="str">
        <f>IFERROR(VLOOKUP(C66,PC!$A$1:$K$436,3,FALSE),"")</f>
        <v>노트북</v>
      </c>
      <c r="H66" s="1" t="str">
        <f t="shared" si="0"/>
        <v>10.51.90.135</v>
      </c>
    </row>
    <row r="67" spans="1:8" x14ac:dyDescent="0.25">
      <c r="A67" s="30"/>
      <c r="B67" s="234">
        <v>136</v>
      </c>
      <c r="C67" s="235" t="s">
        <v>349</v>
      </c>
      <c r="D67" s="55" t="str">
        <f>IFERROR(VLOOKUP(C67,'정보화기기 명부'!A$2:B$138,2,FALSE),"")</f>
        <v>학생인권안전부</v>
      </c>
      <c r="E67" s="4" t="str">
        <f>IFERROR(VLOOKUP(C67,PC!A$1:K$436,2,FALSE),"")</f>
        <v>202208-0911</v>
      </c>
      <c r="F67" s="194" t="str">
        <f>IFERROR(VLOOKUP(C67,PC!A$1:K$436,7,FALSE)&amp;" "&amp;VLOOKUP(C67,PC!A$1:K$436,6,FALSE),"")</f>
        <v>삼보 N5800-G050-OU02</v>
      </c>
      <c r="G67" s="4" t="str">
        <f>IFERROR(VLOOKUP(C67,PC!$A$1:$K$436,3,FALSE),"")</f>
        <v>노트북</v>
      </c>
      <c r="H67" s="1" t="str">
        <f t="shared" ref="H67:H130" si="1">$A$2&amp;B67</f>
        <v>10.51.90.136</v>
      </c>
    </row>
    <row r="68" spans="1:8" x14ac:dyDescent="0.25">
      <c r="A68" s="30"/>
      <c r="B68" s="240">
        <v>137</v>
      </c>
      <c r="C68" s="241"/>
      <c r="D68" s="55" t="str">
        <f>IFERROR(VLOOKUP(C68,'정보화기기 명부'!A$2:B$138,2,FALSE),"")</f>
        <v/>
      </c>
      <c r="E68" s="5" t="str">
        <f>IFERROR(VLOOKUP(C68,PC!A$1:K$436,2,FALSE),"")</f>
        <v/>
      </c>
      <c r="F68" s="195" t="str">
        <f>IFERROR(VLOOKUP(C68,PC!A$1:K$436,7,FALSE)&amp;" "&amp;VLOOKUP(C68,PC!A$1:K$436,6,FALSE),"")</f>
        <v/>
      </c>
      <c r="G68" s="5" t="str">
        <f>IFERROR(VLOOKUP(C68,PC!$A$1:$K$436,3,FALSE),"")</f>
        <v/>
      </c>
      <c r="H68" s="1" t="str">
        <f t="shared" si="1"/>
        <v>10.51.90.137</v>
      </c>
    </row>
    <row r="69" spans="1:8" x14ac:dyDescent="0.25">
      <c r="A69" s="30" t="s">
        <v>366</v>
      </c>
      <c r="B69" s="244">
        <v>138</v>
      </c>
      <c r="C69" s="245" t="s">
        <v>137</v>
      </c>
      <c r="D69" s="55"/>
      <c r="E69" s="5"/>
      <c r="F69" s="195"/>
      <c r="G69" s="5" t="str">
        <f>IFERROR(VLOOKUP(C69,PC!$A$1:$K$436,3,FALSE),"")</f>
        <v/>
      </c>
      <c r="H69" s="1" t="str">
        <f t="shared" si="1"/>
        <v>10.51.90.138</v>
      </c>
    </row>
    <row r="70" spans="1:8" x14ac:dyDescent="0.25">
      <c r="A70" s="30"/>
      <c r="B70" s="236">
        <v>139</v>
      </c>
      <c r="C70" s="237" t="s">
        <v>59</v>
      </c>
      <c r="D70" s="55" t="str">
        <f>IFERROR(VLOOKUP(C70,'정보화기기 명부'!A$2:B$138,2,FALSE),"")</f>
        <v>3학년부</v>
      </c>
      <c r="E70" s="5" t="str">
        <f>IFERROR(VLOOKUP(C70,PC!A$1:K$436,2,FALSE),"")</f>
        <v/>
      </c>
      <c r="F70" s="195" t="str">
        <f>IFERROR(VLOOKUP(C70,PC!A$1:K$436,7,FALSE)&amp;" "&amp;VLOOKUP(C70,PC!A$1:K$436,6,FALSE),"")</f>
        <v/>
      </c>
      <c r="G70" s="5" t="str">
        <f>IFERROR(VLOOKUP(C70,PC!$A$1:$K$436,3,FALSE),"")</f>
        <v/>
      </c>
      <c r="H70" s="1" t="str">
        <f t="shared" si="1"/>
        <v>10.51.90.139</v>
      </c>
    </row>
    <row r="71" spans="1:8" x14ac:dyDescent="0.25">
      <c r="A71" s="30"/>
      <c r="B71" s="238">
        <v>140</v>
      </c>
      <c r="C71" s="239" t="s">
        <v>371</v>
      </c>
      <c r="D71" s="55" t="str">
        <f>IFERROR(VLOOKUP(C71,'정보화기기 명부'!A$2:B$138,2,FALSE),"")</f>
        <v>1학년부</v>
      </c>
      <c r="E71" s="7" t="str">
        <f>IFERROR(VLOOKUP(C71,PC!A$1:K$436,2,FALSE),"")</f>
        <v>202402-0933</v>
      </c>
      <c r="F71" s="196" t="str">
        <f>IFERROR(VLOOKUP(C71,PC!A$1:K$436,7,FALSE)&amp;" "&amp;VLOOKUP(C71,PC!A$1:K$436,6,FALSE),"")</f>
        <v>삼성 NT550XDA-KG11G</v>
      </c>
      <c r="G71" s="7" t="str">
        <f>IFERROR(VLOOKUP(C71,PC!$A$1:$K$436,3,FALSE),"")</f>
        <v>노트북</v>
      </c>
      <c r="H71" s="1" t="str">
        <f t="shared" si="1"/>
        <v>10.51.90.140</v>
      </c>
    </row>
    <row r="72" spans="1:8" x14ac:dyDescent="0.25">
      <c r="A72" s="30"/>
      <c r="B72" s="234">
        <v>141</v>
      </c>
      <c r="C72" s="235" t="s">
        <v>9</v>
      </c>
      <c r="D72" s="55" t="str">
        <f>IFERROR(VLOOKUP(C72,'정보화기기 명부'!A$2:B$138,2,FALSE),"")</f>
        <v>인문사회부</v>
      </c>
      <c r="E72" s="4" t="str">
        <f>IFERROR(VLOOKUP(C72,PC!A$1:K$436,2,FALSE),"")</f>
        <v>202503-0945</v>
      </c>
      <c r="F72" s="269" t="s">
        <v>404</v>
      </c>
      <c r="G72" s="4" t="str">
        <f>IFERROR(VLOOKUP(C72,PC!$A$1:$K$436,3,FALSE),"")</f>
        <v>노트북</v>
      </c>
      <c r="H72" s="1" t="str">
        <f t="shared" si="1"/>
        <v>10.51.90.141</v>
      </c>
    </row>
    <row r="73" spans="1:8" x14ac:dyDescent="0.25">
      <c r="A73" s="30"/>
      <c r="B73" s="240">
        <v>142</v>
      </c>
      <c r="C73" s="241" t="s">
        <v>99</v>
      </c>
      <c r="D73" s="55" t="str">
        <f>IFERROR(VLOOKUP(C73,'정보화기기 명부'!A$2:B$138,2,FALSE),"")</f>
        <v>1학년부</v>
      </c>
      <c r="E73" s="5" t="str">
        <f>IFERROR(VLOOKUP(C73,PC!A$1:K$436,2,FALSE),"")</f>
        <v>202208-0914</v>
      </c>
      <c r="F73" s="195" t="str">
        <f>IFERROR(VLOOKUP(C73,PC!A$1:K$436,7,FALSE)&amp;" "&amp;VLOOKUP(C73,PC!A$1:K$436,6,FALSE),"")</f>
        <v>삼보 N5800-G050-OU02</v>
      </c>
      <c r="G73" s="5" t="str">
        <f>IFERROR(VLOOKUP(C73,PC!$A$1:$K$436,3,FALSE),"")</f>
        <v>노트북</v>
      </c>
      <c r="H73" s="1" t="str">
        <f t="shared" si="1"/>
        <v>10.51.90.142</v>
      </c>
    </row>
    <row r="74" spans="1:8" x14ac:dyDescent="0.25">
      <c r="A74" s="30"/>
      <c r="B74" s="236">
        <v>143</v>
      </c>
      <c r="C74" s="237" t="s">
        <v>355</v>
      </c>
      <c r="D74" s="55" t="str">
        <f>IFERROR(VLOOKUP(C74,'정보화기기 명부'!A$2:B$138,2,FALSE),"")</f>
        <v>3학년부</v>
      </c>
      <c r="E74" s="5" t="str">
        <f>IFERROR(VLOOKUP(C74,PC!A$1:K$436,2,FALSE),"")</f>
        <v>202402-0931</v>
      </c>
      <c r="F74" s="195" t="str">
        <f>IFERROR(VLOOKUP(C74,PC!A$1:K$436,7,FALSE)&amp;" "&amp;VLOOKUP(C74,PC!A$1:K$436,6,FALSE),"")</f>
        <v>삼성 NT550XDA-KG11G</v>
      </c>
      <c r="G74" s="5" t="str">
        <f>IFERROR(VLOOKUP(C74,PC!$A$1:$K$436,3,FALSE),"")</f>
        <v>노트북</v>
      </c>
      <c r="H74" s="1" t="str">
        <f t="shared" si="1"/>
        <v>10.51.90.143</v>
      </c>
    </row>
    <row r="75" spans="1:8" x14ac:dyDescent="0.25">
      <c r="A75" s="30"/>
      <c r="B75" s="33">
        <v>144</v>
      </c>
      <c r="C75" s="221" t="s">
        <v>1179</v>
      </c>
      <c r="D75" s="55" t="str">
        <f>IFERROR(VLOOKUP(C75,'정보화기기 명부'!A$2:B$138,2,FALSE),"")</f>
        <v>교장실</v>
      </c>
      <c r="E75" s="5" t="str">
        <f>IFERROR(VLOOKUP(C75,PC!A$1:K$436,2,FALSE),"")</f>
        <v>20220905-0915</v>
      </c>
      <c r="F75" s="195" t="str">
        <f>IFERROR(VLOOKUP(C75,PC!A$1:K$436,7,FALSE)&amp;" "&amp;VLOOKUP(C75,PC!A$1:K$436,6,FALSE),"")</f>
        <v>삼성 NT550XDA-KG03G</v>
      </c>
      <c r="G75" s="5" t="str">
        <f>IFERROR(VLOOKUP(C75,PC!$A$1:$K$436,3,FALSE),"")</f>
        <v>노트북</v>
      </c>
      <c r="H75" s="1" t="str">
        <f t="shared" si="1"/>
        <v>10.51.90.144</v>
      </c>
    </row>
    <row r="76" spans="1:8" x14ac:dyDescent="0.25">
      <c r="A76" s="30"/>
      <c r="B76" s="238">
        <v>145</v>
      </c>
      <c r="C76" s="239" t="s">
        <v>385</v>
      </c>
      <c r="D76" s="55" t="str">
        <f>IFERROR(VLOOKUP(C76,'정보화기기 명부'!A$2:B$138,2,FALSE),"")</f>
        <v>2학년부</v>
      </c>
      <c r="E76" s="7" t="str">
        <f>IFERROR(VLOOKUP(C76,PC!A$1:K$436,2,FALSE),"")</f>
        <v>202409-0940</v>
      </c>
      <c r="F76" s="196" t="str">
        <f>IFERROR(VLOOKUP(C76,PC!A$1:K$436,7,FALSE)&amp;" "&amp;VLOOKUP(C76,PC!A$1:K$436,6,FALSE),"")</f>
        <v>삼성 NT750XGK-KG51G</v>
      </c>
      <c r="G76" s="7" t="str">
        <f>IFERROR(VLOOKUP(C76,PC!$A$1:$K$436,3,FALSE),"")</f>
        <v>노트북</v>
      </c>
      <c r="H76" s="1" t="str">
        <f t="shared" si="1"/>
        <v>10.51.90.145</v>
      </c>
    </row>
    <row r="77" spans="1:8" x14ac:dyDescent="0.25">
      <c r="A77" s="30"/>
      <c r="B77" s="234">
        <v>146</v>
      </c>
      <c r="C77" s="235" t="s">
        <v>368</v>
      </c>
      <c r="D77" s="55" t="str">
        <f>IFERROR(VLOOKUP(C77,'정보화기기 명부'!A$2:B$138,2,FALSE),"")</f>
        <v>2학년부</v>
      </c>
      <c r="E77" s="4" t="str">
        <f>IFERROR(VLOOKUP(C77,PC!A$1:K$436,2,FALSE),"")</f>
        <v>202504-0952</v>
      </c>
      <c r="F77" s="269" t="s">
        <v>404</v>
      </c>
      <c r="G77" s="4" t="str">
        <f>IFERROR(VLOOKUP(C77,PC!$A$1:$K$436,3,FALSE),"")</f>
        <v>노트북</v>
      </c>
      <c r="H77" s="1" t="str">
        <f t="shared" si="1"/>
        <v>10.51.90.146</v>
      </c>
    </row>
    <row r="78" spans="1:8" x14ac:dyDescent="0.25">
      <c r="A78" s="30"/>
      <c r="B78" s="33">
        <v>147</v>
      </c>
      <c r="C78" s="225" t="s">
        <v>44</v>
      </c>
      <c r="D78" s="55" t="str">
        <f>IFERROR(VLOOKUP(C78,'정보화기기 명부'!A$2:B$138,2,FALSE),"")</f>
        <v>야구부합숙소</v>
      </c>
      <c r="E78" s="111" t="str">
        <f>IFERROR(VLOOKUP(C78,PC!A$1:K$436,2,FALSE),"")</f>
        <v>20160107-0774</v>
      </c>
      <c r="F78" s="197" t="str">
        <f>IFERROR(VLOOKUP(C78,PC!A$1:K$436,7,FALSE)&amp;" "&amp;VLOOKUP(C78,PC!A$1:K$436,6,FALSE),"")</f>
        <v>다나와컴퓨터 TSF-P16MBC</v>
      </c>
      <c r="G78" s="5" t="str">
        <f>IFERROR(VLOOKUP(C78,PC!$A$1:$K$436,3,FALSE),"")</f>
        <v>데스크톱</v>
      </c>
      <c r="H78" s="1" t="str">
        <f t="shared" si="1"/>
        <v>10.51.90.147</v>
      </c>
    </row>
    <row r="79" spans="1:8" x14ac:dyDescent="0.25">
      <c r="A79" s="30"/>
      <c r="B79" s="33">
        <v>148</v>
      </c>
      <c r="C79" s="311" t="s">
        <v>412</v>
      </c>
      <c r="D79" s="312" t="str">
        <f>IFERROR(VLOOKUP(C79,'정보화기기 명부'!A$2:B$138,2,FALSE),"")</f>
        <v/>
      </c>
      <c r="E79" s="295" t="str">
        <f>IFERROR(VLOOKUP(C79,PC!A$1:K$436,2,FALSE),"")</f>
        <v>20170328-0775</v>
      </c>
      <c r="F79" s="296" t="str">
        <f>IFERROR(VLOOKUP(C79,PC!A$1:K$436,7,FALSE)&amp;" "&amp;VLOOKUP(C79,PC!A$1:K$436,6,FALSE),"")</f>
        <v>엘지 CN/15Z960-GP50KN</v>
      </c>
      <c r="G79" s="5" t="str">
        <f>IFERROR(VLOOKUP(C79,PC!$A$1:$K$436,3,FALSE),"")</f>
        <v>노트북</v>
      </c>
      <c r="H79" s="1" t="str">
        <f t="shared" si="1"/>
        <v>10.51.90.148</v>
      </c>
    </row>
    <row r="80" spans="1:8" x14ac:dyDescent="0.25">
      <c r="A80" s="30"/>
      <c r="B80" s="236">
        <v>149</v>
      </c>
      <c r="C80" s="237" t="s">
        <v>16</v>
      </c>
      <c r="D80" s="55" t="str">
        <f>IFERROR(VLOOKUP(C80,'정보화기기 명부'!A$2:B$138,2,FALSE),"")</f>
        <v>2학년부</v>
      </c>
      <c r="E80" s="5" t="str">
        <f>IFERROR(VLOOKUP(C80,PC!A$1:K$436,2,FALSE),"")</f>
        <v/>
      </c>
      <c r="F80" s="195" t="str">
        <f>IFERROR(VLOOKUP(C80,PC!A$1:K$436,7,FALSE)&amp;" "&amp;VLOOKUP(C80,PC!A$1:K$436,6,FALSE),"")</f>
        <v/>
      </c>
      <c r="G80" s="5" t="str">
        <f>IFERROR(VLOOKUP(C80,PC!$A$1:$K$436,3,FALSE),"")</f>
        <v/>
      </c>
      <c r="H80" s="1" t="str">
        <f t="shared" si="1"/>
        <v>10.51.90.149</v>
      </c>
    </row>
    <row r="81" spans="1:10" x14ac:dyDescent="0.25">
      <c r="A81" s="30"/>
      <c r="B81" s="34">
        <v>150</v>
      </c>
      <c r="C81" s="7" t="s">
        <v>35</v>
      </c>
      <c r="D81" s="55" t="str">
        <f>IFERROR(VLOOKUP(C81,'정보화기기 명부'!A$2:B$138,2,FALSE),"")</f>
        <v>2층 교무실</v>
      </c>
      <c r="E81" s="7" t="str">
        <f>IFERROR(VLOOKUP(C81,PC!A$1:K$436,2,FALSE),"")</f>
        <v>20191224-0809</v>
      </c>
      <c r="F81" s="196" t="str">
        <f>IFERROR(VLOOKUP(C81,PC!A$1:K$436,7,FALSE)&amp;" "&amp;VLOOKUP(C81,PC!A$1:K$436,6,FALSE),"")</f>
        <v>엘지 CN/15UG470-MP5SKN</v>
      </c>
      <c r="G81" s="7" t="str">
        <f>IFERROR(VLOOKUP(C81,PC!$A$1:$K$436,3,FALSE),"")</f>
        <v>노트북</v>
      </c>
      <c r="H81" s="1" t="str">
        <f t="shared" si="1"/>
        <v>10.51.90.150</v>
      </c>
    </row>
    <row r="82" spans="1:10" x14ac:dyDescent="0.25">
      <c r="A82" s="30"/>
      <c r="B82" s="32">
        <v>151</v>
      </c>
      <c r="C82" s="4" t="s">
        <v>1206</v>
      </c>
      <c r="D82" s="55" t="str">
        <f>IFERROR(VLOOKUP(C82,'정보화기기 명부'!A$2:B$138,2,FALSE),"")</f>
        <v>교육과정부</v>
      </c>
      <c r="E82" s="4" t="str">
        <f>IFERROR(VLOOKUP(C82,PC!A$1:K$436,2,FALSE),"")</f>
        <v>20170404-0744</v>
      </c>
      <c r="F82" s="194" t="str">
        <f>IFERROR(VLOOKUP(C82,PC!A$1:K$436,7,FALSE)&amp;" "&amp;VLOOKUP(C82,PC!A$1:K$436,6,FALSE),"")</f>
        <v>삼성 NT500R5L-M01G</v>
      </c>
      <c r="G82" s="4" t="str">
        <f>IFERROR(VLOOKUP(C82,PC!$A$1:$K$436,3,FALSE),"")</f>
        <v>노트북</v>
      </c>
      <c r="H82" s="1" t="str">
        <f t="shared" si="1"/>
        <v>10.51.90.151</v>
      </c>
    </row>
    <row r="83" spans="1:10" x14ac:dyDescent="0.25">
      <c r="A83" s="30"/>
      <c r="B83" s="236">
        <v>152</v>
      </c>
      <c r="C83" s="237" t="s">
        <v>68</v>
      </c>
      <c r="D83" s="55" t="str">
        <f>IFERROR(VLOOKUP(C83,'정보화기기 명부'!A$2:B$138,2,FALSE),"")</f>
        <v>3학년부</v>
      </c>
      <c r="E83" s="5" t="str">
        <f>IFERROR(VLOOKUP(C83,PC!A$1:K$436,2,FALSE),"")</f>
        <v>202402-0922</v>
      </c>
      <c r="F83" s="195" t="str">
        <f>IFERROR(VLOOKUP(C83,PC!A$1:K$436,7,FALSE)&amp;" "&amp;VLOOKUP(C83,PC!A$1:K$436,6,FALSE),"")</f>
        <v>삼성 NT550XDA-KG11G</v>
      </c>
      <c r="G83" s="5" t="str">
        <f>IFERROR(VLOOKUP(C83,PC!$A$1:$K$436,3,FALSE),"")</f>
        <v>노트북</v>
      </c>
      <c r="H83" s="1" t="str">
        <f t="shared" si="1"/>
        <v>10.51.90.152</v>
      </c>
    </row>
    <row r="84" spans="1:10" x14ac:dyDescent="0.25">
      <c r="A84" s="30"/>
      <c r="B84" s="33">
        <v>153</v>
      </c>
      <c r="C84" s="102" t="s">
        <v>1089</v>
      </c>
      <c r="D84" s="55" t="str">
        <f>IFERROR(VLOOKUP(C84,'정보화기기 명부'!A$2:B$138,2,FALSE),"")</f>
        <v/>
      </c>
      <c r="E84" s="5" t="str">
        <f>IFERROR(VLOOKUP(C84,PC!A$1:K$436,2,FALSE),"")</f>
        <v/>
      </c>
      <c r="F84" s="214" t="str">
        <f>IFERROR(VLOOKUP(C84,PC!A$1:K$436,7,FALSE)&amp;" "&amp;VLOOKUP(C84,PC!A$1:K$436,6,FALSE),"")</f>
        <v/>
      </c>
      <c r="G84" s="102" t="s">
        <v>102</v>
      </c>
      <c r="H84" s="1" t="str">
        <f t="shared" si="1"/>
        <v>10.51.90.153</v>
      </c>
      <c r="I84" s="116" t="s">
        <v>293</v>
      </c>
    </row>
    <row r="85" spans="1:10" x14ac:dyDescent="0.25">
      <c r="A85" s="30"/>
      <c r="B85" s="236">
        <v>154</v>
      </c>
      <c r="C85" s="9" t="s">
        <v>373</v>
      </c>
      <c r="D85" s="55" t="s">
        <v>1080</v>
      </c>
      <c r="E85" s="5" t="str">
        <f>IFERROR(VLOOKUP(C85,PC!A$1:K$436,2,FALSE),"")</f>
        <v>202503-0946</v>
      </c>
      <c r="F85" s="269" t="s">
        <v>404</v>
      </c>
      <c r="G85" s="5" t="s">
        <v>102</v>
      </c>
      <c r="H85" s="1" t="str">
        <f t="shared" si="1"/>
        <v>10.51.90.154</v>
      </c>
    </row>
    <row r="86" spans="1:10" x14ac:dyDescent="0.25">
      <c r="A86" s="30"/>
      <c r="B86" s="238">
        <v>155</v>
      </c>
      <c r="C86" s="239" t="s">
        <v>965</v>
      </c>
      <c r="D86" s="55" t="str">
        <f>IFERROR(VLOOKUP(C86,'정보화기기 명부'!A$2:B$138,2,FALSE),"")</f>
        <v>3학년부</v>
      </c>
      <c r="E86" s="7" t="str">
        <f>IFERROR(VLOOKUP(C86,PC!A$1:K$436,2,FALSE),"")</f>
        <v>20150223-0662</v>
      </c>
      <c r="F86" s="196" t="str">
        <f>IFERROR(VLOOKUP(C86,PC!A$1:K$436,7,FALSE)&amp;" "&amp;VLOOKUP(C86,PC!A$1:K$436,6,FALSE),"")</f>
        <v>삼성 NT550P7C-S04G</v>
      </c>
      <c r="G86" s="7" t="str">
        <f>IFERROR(VLOOKUP(C86,PC!$A$1:$K$436,3,FALSE),"")</f>
        <v>노트북</v>
      </c>
      <c r="H86" s="1" t="str">
        <f t="shared" si="1"/>
        <v>10.51.90.155</v>
      </c>
      <c r="I86" s="1" t="s">
        <v>854</v>
      </c>
      <c r="J86" s="11" t="s">
        <v>1794</v>
      </c>
    </row>
    <row r="87" spans="1:10" x14ac:dyDescent="0.25">
      <c r="A87" s="30"/>
      <c r="B87" s="234">
        <v>156</v>
      </c>
      <c r="C87" s="237" t="s">
        <v>1376</v>
      </c>
      <c r="D87" s="55" t="str">
        <f>IFERROR(VLOOKUP(#REF!,'정보화기기 명부'!A$2:B$138,2,FALSE),"")</f>
        <v/>
      </c>
      <c r="E87" s="5" t="str">
        <f>IFERROR(VLOOKUP(#REF!,PC!A$1:K$436,2,FALSE),"")</f>
        <v/>
      </c>
      <c r="F87" s="195" t="s">
        <v>822</v>
      </c>
      <c r="G87" s="4" t="str">
        <f>IFERROR(VLOOKUP(#REF!,PC!$A$1:$K$436,3,FALSE),"")</f>
        <v/>
      </c>
      <c r="H87" s="1" t="str">
        <f t="shared" si="1"/>
        <v>10.51.90.156</v>
      </c>
    </row>
    <row r="88" spans="1:10" x14ac:dyDescent="0.25">
      <c r="A88" s="30"/>
      <c r="B88" s="33">
        <v>157</v>
      </c>
      <c r="C88" s="5"/>
      <c r="D88" s="55"/>
      <c r="E88" s="5"/>
      <c r="F88" s="195"/>
      <c r="G88" s="5"/>
      <c r="H88" s="1" t="str">
        <f t="shared" si="1"/>
        <v>10.51.90.157</v>
      </c>
    </row>
    <row r="89" spans="1:10" x14ac:dyDescent="0.25">
      <c r="A89" s="30"/>
      <c r="B89" s="33">
        <v>158</v>
      </c>
      <c r="C89" s="5" t="s">
        <v>279</v>
      </c>
      <c r="D89" s="55" t="str">
        <f>IFERROR(VLOOKUP(C89,'정보화기기 명부'!A$2:B$138,2,FALSE),"")</f>
        <v>공익</v>
      </c>
      <c r="E89" s="5" t="str">
        <f>IFERROR(VLOOKUP(C89,PC!A$1:K$436,2,FALSE),"")</f>
        <v/>
      </c>
      <c r="F89" s="195" t="str">
        <f>IFERROR(VLOOKUP(C89,PC!A$1:K$436,7,FALSE)&amp;" "&amp;VLOOKUP(C89,PC!A$1:K$436,6,FALSE),"")</f>
        <v/>
      </c>
      <c r="G89" s="5" t="str">
        <f>IFERROR(VLOOKUP(C89,PC!$A$1:$K$436,3,FALSE),"")</f>
        <v/>
      </c>
      <c r="H89" s="1" t="str">
        <f t="shared" si="1"/>
        <v>10.51.90.158</v>
      </c>
    </row>
    <row r="90" spans="1:10" x14ac:dyDescent="0.25">
      <c r="A90" s="30"/>
      <c r="B90" s="33">
        <v>159</v>
      </c>
      <c r="C90" s="5" t="s">
        <v>310</v>
      </c>
      <c r="D90" s="55" t="str">
        <f>IFERROR(VLOOKUP(C90,'정보화기기 명부'!A$2:B$138,2,FALSE),"")</f>
        <v/>
      </c>
      <c r="E90" s="5" t="str">
        <f>IFERROR(VLOOKUP(C90,PC!A$1:K$436,2,FALSE),"")</f>
        <v/>
      </c>
      <c r="F90" s="195" t="str">
        <f>IFERROR(VLOOKUP(C90,PC!A$1:K$436,7,FALSE)&amp;" "&amp;VLOOKUP(C90,PC!A$1:K$436,6,FALSE),"")</f>
        <v/>
      </c>
      <c r="G90" s="5" t="str">
        <f>IFERROR(VLOOKUP(C90,PC!$A$1:$K$436,3,FALSE),"")</f>
        <v/>
      </c>
      <c r="H90" s="1" t="str">
        <f t="shared" si="1"/>
        <v>10.51.90.159</v>
      </c>
    </row>
    <row r="91" spans="1:10" x14ac:dyDescent="0.25">
      <c r="A91" s="30"/>
      <c r="B91" s="34">
        <v>160</v>
      </c>
      <c r="C91" s="7" t="s">
        <v>1440</v>
      </c>
      <c r="D91" s="55" t="str">
        <f>IFERROR(VLOOKUP(C91,'정보화기기 명부'!A$2:B$138,2,FALSE),"")</f>
        <v>3학년부</v>
      </c>
      <c r="E91" s="7" t="str">
        <f>IFERROR(VLOOKUP(C91,PC!A$1:K$436,2,FALSE),"")</f>
        <v>20170101-0734</v>
      </c>
      <c r="F91" s="196" t="str">
        <f>IFERROR(VLOOKUP(C91,PC!A$1:K$436,7,FALSE)&amp;" "&amp;VLOOKUP(C91,PC!A$1:K$436,6,FALSE),"")</f>
        <v>삼성 NT500R5L-M01G</v>
      </c>
      <c r="G91" s="7" t="str">
        <f>IFERROR(VLOOKUP(C91,PC!$A$1:$K$436,3,FALSE),"")</f>
        <v>노트북</v>
      </c>
      <c r="H91" s="1" t="str">
        <f t="shared" si="1"/>
        <v>10.51.90.160</v>
      </c>
    </row>
    <row r="92" spans="1:10" x14ac:dyDescent="0.25">
      <c r="A92" s="30"/>
      <c r="B92" s="234">
        <v>161</v>
      </c>
      <c r="C92" s="235" t="s">
        <v>147</v>
      </c>
      <c r="D92" s="55" t="str">
        <f>IFERROR(VLOOKUP(C92,'정보화기기 명부'!A$2:B$138,2,FALSE),"")</f>
        <v>특수교육부</v>
      </c>
      <c r="E92" s="4" t="str">
        <f>IFERROR(VLOOKUP(C92,PC!A$1:K$436,2,FALSE),"")</f>
        <v>20191224-0811</v>
      </c>
      <c r="F92" s="194" t="str">
        <f>IFERROR(VLOOKUP(C92,PC!A$1:K$436,7,FALSE)&amp;" "&amp;VLOOKUP(C92,PC!A$1:K$436,6,FALSE),"")</f>
        <v>엘지 CN/15UG470-MP5SKN</v>
      </c>
      <c r="G92" s="4" t="str">
        <f>IFERROR(VLOOKUP(C92,PC!$A$1:$K$436,3,FALSE),"")</f>
        <v>노트북</v>
      </c>
      <c r="H92" s="1" t="str">
        <f t="shared" si="1"/>
        <v>10.51.90.161</v>
      </c>
    </row>
    <row r="93" spans="1:10" x14ac:dyDescent="0.25">
      <c r="A93" s="30"/>
      <c r="B93" s="33">
        <v>162</v>
      </c>
      <c r="C93" s="154" t="s">
        <v>310</v>
      </c>
      <c r="D93" s="55" t="str">
        <f>IFERROR(VLOOKUP(C93,'정보화기기 명부'!A$2:B$138,2,FALSE),"")</f>
        <v/>
      </c>
      <c r="E93" s="5" t="str">
        <f>IFERROR(VLOOKUP(C93,PC!A$1:K$436,2,FALSE),"")</f>
        <v/>
      </c>
      <c r="F93" s="195" t="str">
        <f>IFERROR(VLOOKUP(C93,PC!A$1:K$436,7,FALSE)&amp;" "&amp;VLOOKUP(C93,PC!A$1:K$436,6,FALSE),"")</f>
        <v/>
      </c>
      <c r="G93" s="5" t="str">
        <f>IFERROR(VLOOKUP(C93,PC!$A$1:$K$436,3,FALSE),"")</f>
        <v/>
      </c>
      <c r="H93" s="1" t="str">
        <f t="shared" si="1"/>
        <v>10.51.90.162</v>
      </c>
    </row>
    <row r="94" spans="1:10" x14ac:dyDescent="0.25">
      <c r="A94" s="30"/>
      <c r="B94" s="236">
        <v>163</v>
      </c>
      <c r="C94" s="237" t="s">
        <v>39</v>
      </c>
      <c r="D94" s="55" t="str">
        <f>IFERROR(VLOOKUP(C94,'정보화기기 명부'!A$2:B$138,2,FALSE),"")</f>
        <v>2학년부</v>
      </c>
      <c r="E94" s="5" t="str">
        <f>IFERROR(VLOOKUP(C94,PC!A$1:K$436,2,FALSE),"")</f>
        <v>202402-0926</v>
      </c>
      <c r="F94" s="195" t="str">
        <f>IFERROR(VLOOKUP(C94,PC!A$1:K$436,7,FALSE)&amp;" "&amp;VLOOKUP(C94,PC!A$1:K$436,6,FALSE),"")</f>
        <v>삼성 NT550XDA-KG11G</v>
      </c>
      <c r="G94" s="5" t="str">
        <f>IFERROR(VLOOKUP(C94,PC!$A$1:$K$436,3,FALSE),"")</f>
        <v>노트북</v>
      </c>
      <c r="H94" s="1" t="str">
        <f t="shared" si="1"/>
        <v>10.51.90.163</v>
      </c>
    </row>
    <row r="95" spans="1:10" x14ac:dyDescent="0.25">
      <c r="A95" s="30"/>
      <c r="B95" s="236">
        <v>164</v>
      </c>
      <c r="C95" s="237" t="s">
        <v>346</v>
      </c>
      <c r="D95" s="55" t="str">
        <f>IFERROR(VLOOKUP(C95,'정보화기기 명부'!A$2:B$138,2,FALSE),"")</f>
        <v>특수교육부</v>
      </c>
      <c r="E95" s="5">
        <v>2023</v>
      </c>
      <c r="F95" s="196" t="str">
        <f>IFERROR(VLOOKUP(C95,PC!A$1:K$436,7,FALSE)&amp;" "&amp;VLOOKUP(C95,PC!A$1:K$436,6,FALSE),"")</f>
        <v>삼성 NT550XED-KG01G</v>
      </c>
      <c r="G95" s="5" t="s">
        <v>102</v>
      </c>
      <c r="H95" s="1" t="str">
        <f t="shared" si="1"/>
        <v>10.51.90.164</v>
      </c>
    </row>
    <row r="96" spans="1:10" x14ac:dyDescent="0.25">
      <c r="A96" s="30"/>
      <c r="B96" s="238">
        <v>165</v>
      </c>
      <c r="C96" s="239" t="s">
        <v>43</v>
      </c>
      <c r="D96" s="55" t="str">
        <f>IFERROR(VLOOKUP(C96,'정보화기기 명부'!A$2:B$138,2,FALSE),"")</f>
        <v>-</v>
      </c>
      <c r="E96" s="7">
        <v>2023</v>
      </c>
      <c r="F96" s="195" t="s">
        <v>1314</v>
      </c>
      <c r="G96" s="7" t="s">
        <v>102</v>
      </c>
      <c r="H96" s="1" t="str">
        <f t="shared" si="1"/>
        <v>10.51.90.165</v>
      </c>
    </row>
    <row r="97" spans="1:9" x14ac:dyDescent="0.25">
      <c r="A97" s="30"/>
      <c r="B97" s="32">
        <v>166</v>
      </c>
      <c r="C97" s="155" t="s">
        <v>310</v>
      </c>
      <c r="D97" s="55" t="str">
        <f>IFERROR(VLOOKUP(C97,'정보화기기 명부'!A$2:B$138,2,FALSE),"")</f>
        <v/>
      </c>
      <c r="E97" s="155" t="str">
        <f>IFERROR(VLOOKUP(C97,PC!A$1:K$436,2,FALSE),"")</f>
        <v/>
      </c>
      <c r="F97" s="198" t="str">
        <f>IFERROR(VLOOKUP(C97,PC!A$1:K$436,7,FALSE)&amp;" "&amp;VLOOKUP(C97,PC!A$1:K$436,6,FALSE),"")</f>
        <v/>
      </c>
      <c r="G97" s="5" t="s">
        <v>1092</v>
      </c>
      <c r="H97" s="1" t="str">
        <f t="shared" si="1"/>
        <v>10.51.90.166</v>
      </c>
    </row>
    <row r="98" spans="1:9" x14ac:dyDescent="0.25">
      <c r="A98" s="30"/>
      <c r="B98" s="33">
        <v>167</v>
      </c>
      <c r="C98" s="5" t="s">
        <v>310</v>
      </c>
      <c r="D98" s="55" t="str">
        <f>IFERROR(VLOOKUP(C98,'정보화기기 명부'!A$2:B$138,2,FALSE),"")</f>
        <v/>
      </c>
      <c r="E98" s="5" t="str">
        <f>IFERROR(VLOOKUP(C98,PC!A$1:K$436,2,FALSE),"")</f>
        <v/>
      </c>
      <c r="F98" s="195" t="str">
        <f>IFERROR(VLOOKUP(C98,PC!A$1:K$436,7,FALSE)&amp;" "&amp;VLOOKUP(C98,PC!A$1:K$436,6,FALSE),"")</f>
        <v/>
      </c>
      <c r="G98" s="5" t="s">
        <v>1092</v>
      </c>
      <c r="H98" s="1" t="str">
        <f t="shared" si="1"/>
        <v>10.51.90.167</v>
      </c>
    </row>
    <row r="99" spans="1:9" x14ac:dyDescent="0.25">
      <c r="A99" s="30"/>
      <c r="B99" s="33">
        <v>168</v>
      </c>
      <c r="C99" s="5" t="s">
        <v>310</v>
      </c>
      <c r="D99" s="55" t="str">
        <f>IFERROR(VLOOKUP(C99,'정보화기기 명부'!A$2:B$138,2,FALSE),"")</f>
        <v/>
      </c>
      <c r="E99" s="5" t="str">
        <f>IFERROR(VLOOKUP(C99,PC!A$1:K$436,2,FALSE),"")</f>
        <v/>
      </c>
      <c r="F99" s="195" t="str">
        <f>IFERROR(VLOOKUP(C99,PC!A$1:K$436,7,FALSE)&amp;" "&amp;VLOOKUP(C99,PC!A$1:K$436,6,FALSE),"")</f>
        <v/>
      </c>
      <c r="G99" s="5" t="s">
        <v>1092</v>
      </c>
      <c r="H99" s="1" t="str">
        <f t="shared" si="1"/>
        <v>10.51.90.168</v>
      </c>
    </row>
    <row r="100" spans="1:9" x14ac:dyDescent="0.25">
      <c r="A100" s="30"/>
      <c r="B100" s="33">
        <v>169</v>
      </c>
      <c r="C100" s="5" t="s">
        <v>1773</v>
      </c>
      <c r="D100" s="55" t="str">
        <f>IFERROR(VLOOKUP(C100,'정보화기기 명부'!A$2:B$138,2,FALSE),"")</f>
        <v/>
      </c>
      <c r="E100" s="5" t="str">
        <f>IFERROR(VLOOKUP(C100,PC!A$1:K$436,2,FALSE),"")</f>
        <v/>
      </c>
      <c r="F100" s="195" t="str">
        <f>IFERROR(VLOOKUP(C100,PC!A$1:K$436,7,FALSE)&amp;" "&amp;VLOOKUP(C100,PC!A$1:K$436,6,FALSE),"")</f>
        <v/>
      </c>
      <c r="G100" s="5" t="str">
        <f>IFERROR(VLOOKUP(C100,PC!$A$1:$K$436,3,FALSE),"")</f>
        <v/>
      </c>
      <c r="H100" s="1" t="str">
        <f t="shared" si="1"/>
        <v>10.51.90.169</v>
      </c>
      <c r="I100" s="1" t="s">
        <v>855</v>
      </c>
    </row>
    <row r="101" spans="1:9" x14ac:dyDescent="0.25">
      <c r="A101" s="30"/>
      <c r="B101" s="34">
        <v>170</v>
      </c>
      <c r="C101" s="7" t="s">
        <v>1773</v>
      </c>
      <c r="D101" s="55" t="str">
        <f>IFERROR(VLOOKUP(C101,'정보화기기 명부'!A$2:B$138,2,FALSE),"")</f>
        <v/>
      </c>
      <c r="E101" s="7" t="str">
        <f>IFERROR(VLOOKUP(C101,PC!A$1:K$436,2,FALSE),"")</f>
        <v/>
      </c>
      <c r="F101" s="196" t="str">
        <f>IFERROR(VLOOKUP(C101,PC!A$1:K$436,7,FALSE)&amp;" "&amp;VLOOKUP(C101,PC!A$1:K$436,6,FALSE),"")</f>
        <v/>
      </c>
      <c r="G101" s="7" t="str">
        <f>IFERROR(VLOOKUP(C101,PC!$A$1:$K$436,3,FALSE),"")</f>
        <v/>
      </c>
      <c r="H101" s="1" t="str">
        <f t="shared" si="1"/>
        <v>10.51.90.170</v>
      </c>
    </row>
    <row r="102" spans="1:9" x14ac:dyDescent="0.25">
      <c r="A102" s="30"/>
      <c r="B102" s="32">
        <v>171</v>
      </c>
      <c r="C102" s="4" t="s">
        <v>1773</v>
      </c>
      <c r="D102" s="55" t="str">
        <f>IFERROR(VLOOKUP(C102,'정보화기기 명부'!A$2:B$138,2,FALSE),"")</f>
        <v/>
      </c>
      <c r="E102" s="4" t="str">
        <f>IFERROR(VLOOKUP(C102,PC!A$1:K$436,2,FALSE),"")</f>
        <v/>
      </c>
      <c r="F102" s="194" t="str">
        <f>IFERROR(VLOOKUP(C102,PC!A$1:K$436,7,FALSE)&amp;" "&amp;VLOOKUP(C102,PC!A$1:K$436,6,FALSE),"")</f>
        <v/>
      </c>
      <c r="G102" s="4" t="str">
        <f>IFERROR(VLOOKUP(C102,PC!$A$1:$K$436,3,FALSE),"")</f>
        <v/>
      </c>
      <c r="H102" s="1" t="str">
        <f t="shared" si="1"/>
        <v>10.51.90.171</v>
      </c>
    </row>
    <row r="103" spans="1:9" x14ac:dyDescent="0.25">
      <c r="A103" s="30"/>
      <c r="B103" s="33">
        <v>172</v>
      </c>
      <c r="C103" s="5" t="s">
        <v>1773</v>
      </c>
      <c r="D103" s="55" t="str">
        <f>IFERROR(VLOOKUP(C103,'정보화기기 명부'!A$2:B$138,2,FALSE),"")</f>
        <v/>
      </c>
      <c r="E103" s="5" t="str">
        <f>IFERROR(VLOOKUP(C103,PC!A$1:K$436,2,FALSE),"")</f>
        <v/>
      </c>
      <c r="F103" s="195" t="str">
        <f>IFERROR(VLOOKUP(C103,PC!A$1:K$436,7,FALSE)&amp;" "&amp;VLOOKUP(C103,PC!A$1:K$436,6,FALSE),"")</f>
        <v/>
      </c>
      <c r="G103" s="5" t="str">
        <f>IFERROR(VLOOKUP(C103,PC!$A$1:$K$436,3,FALSE),"")</f>
        <v/>
      </c>
      <c r="H103" s="1" t="str">
        <f t="shared" si="1"/>
        <v>10.51.90.172</v>
      </c>
    </row>
    <row r="104" spans="1:9" x14ac:dyDescent="0.25">
      <c r="A104" s="30"/>
      <c r="B104" s="33">
        <v>173</v>
      </c>
      <c r="C104" s="295" t="s">
        <v>1781</v>
      </c>
      <c r="D104" s="55" t="str">
        <f>IFERROR(VLOOKUP(C104,'정보화기기 명부'!A$2:B$138,2,FALSE),"")</f>
        <v/>
      </c>
      <c r="E104" s="5" t="str">
        <f>IFERROR(VLOOKUP(C104,PC!A$1:K$436,2,FALSE),"")</f>
        <v/>
      </c>
      <c r="F104" s="195" t="str">
        <f>IFERROR(VLOOKUP(C104,PC!A$1:K$436,7,FALSE)&amp;" "&amp;VLOOKUP(C104,PC!A$1:K$436,6,FALSE),"")</f>
        <v/>
      </c>
      <c r="G104" s="5" t="str">
        <f>IFERROR(VLOOKUP(C104,PC!$A$1:$K$436,3,FALSE),"")</f>
        <v/>
      </c>
      <c r="H104" s="1" t="str">
        <f t="shared" si="1"/>
        <v>10.51.90.173</v>
      </c>
    </row>
    <row r="105" spans="1:9" x14ac:dyDescent="0.25">
      <c r="A105" s="30"/>
      <c r="B105" s="33">
        <v>174</v>
      </c>
      <c r="C105" s="295" t="s">
        <v>1781</v>
      </c>
      <c r="D105" s="55" t="str">
        <f>IFERROR(VLOOKUP(C105,'정보화기기 명부'!A$2:B$138,2,FALSE),"")</f>
        <v/>
      </c>
      <c r="E105" s="5" t="str">
        <f>IFERROR(VLOOKUP(C105,PC!A$1:K$436,2,FALSE),"")</f>
        <v/>
      </c>
      <c r="F105" s="195" t="str">
        <f>IFERROR(VLOOKUP(C105,PC!A$1:K$436,7,FALSE)&amp;" "&amp;VLOOKUP(C105,PC!A$1:K$436,6,FALSE),"")</f>
        <v/>
      </c>
      <c r="G105" s="5" t="str">
        <f>IFERROR(VLOOKUP(C105,PC!$A$1:$K$436,3,FALSE),"")</f>
        <v/>
      </c>
      <c r="H105" s="1" t="str">
        <f t="shared" si="1"/>
        <v>10.51.90.174</v>
      </c>
    </row>
    <row r="106" spans="1:9" x14ac:dyDescent="0.25">
      <c r="A106" s="30"/>
      <c r="B106" s="34">
        <v>175</v>
      </c>
      <c r="C106" s="295" t="s">
        <v>1781</v>
      </c>
      <c r="D106" s="55" t="str">
        <f>IFERROR(VLOOKUP(C106,'정보화기기 명부'!A$2:B$138,2,FALSE),"")</f>
        <v/>
      </c>
      <c r="E106" s="7" t="str">
        <f>IFERROR(VLOOKUP(C106,PC!A$1:K$436,2,FALSE),"")</f>
        <v/>
      </c>
      <c r="F106" s="196" t="str">
        <f>IFERROR(VLOOKUP(C106,PC!A$1:K$436,7,FALSE)&amp;" "&amp;VLOOKUP(C106,PC!A$1:K$436,6,FALSE),"")</f>
        <v/>
      </c>
      <c r="G106" s="7" t="str">
        <f>IFERROR(VLOOKUP(C106,PC!$A$1:$K$436,3,FALSE),"")</f>
        <v/>
      </c>
      <c r="H106" s="1" t="str">
        <f t="shared" si="1"/>
        <v>10.51.90.175</v>
      </c>
    </row>
    <row r="107" spans="1:9" x14ac:dyDescent="0.25">
      <c r="A107" s="30"/>
      <c r="B107" s="32">
        <v>176</v>
      </c>
      <c r="C107" s="4" t="s">
        <v>310</v>
      </c>
      <c r="D107" s="55" t="str">
        <f>IFERROR(VLOOKUP(C107,'정보화기기 명부'!A$2:B$138,2,FALSE),"")</f>
        <v/>
      </c>
      <c r="E107" s="4" t="str">
        <f>IFERROR(VLOOKUP(C107,PC!A$1:K$436,2,FALSE),"")</f>
        <v/>
      </c>
      <c r="F107" s="194" t="str">
        <f>IFERROR(VLOOKUP(C107,PC!A$1:K$436,7,FALSE)&amp;" "&amp;VLOOKUP(C107,PC!A$1:K$436,6,FALSE),"")</f>
        <v/>
      </c>
      <c r="G107" s="4" t="str">
        <f>IFERROR(VLOOKUP(C107,PC!$A$1:$K$436,3,FALSE),"")</f>
        <v/>
      </c>
      <c r="H107" s="1" t="str">
        <f t="shared" si="1"/>
        <v>10.51.90.176</v>
      </c>
    </row>
    <row r="108" spans="1:9" x14ac:dyDescent="0.25">
      <c r="A108" s="30"/>
      <c r="B108" s="33">
        <v>177</v>
      </c>
      <c r="C108" s="5"/>
      <c r="D108" s="35"/>
      <c r="E108" s="5" t="str">
        <f>IFERROR(VLOOKUP(C108,PC!A$1:K$436,2,FALSE),"")</f>
        <v/>
      </c>
      <c r="F108" s="195" t="str">
        <f>IFERROR(VLOOKUP(C108,PC!A$1:K$436,7,FALSE)&amp;" "&amp;VLOOKUP(C108,PC!A$1:K$436,6,FALSE),"")</f>
        <v/>
      </c>
      <c r="G108" s="5" t="str">
        <f>IFERROR(VLOOKUP(C108,PC!$A$1:$K$436,3,FALSE),"")</f>
        <v/>
      </c>
      <c r="H108" s="1" t="str">
        <f t="shared" si="1"/>
        <v>10.51.90.177</v>
      </c>
    </row>
    <row r="109" spans="1:9" x14ac:dyDescent="0.25">
      <c r="A109" s="30"/>
      <c r="B109" s="33">
        <v>178</v>
      </c>
      <c r="C109" s="5" t="s">
        <v>310</v>
      </c>
      <c r="D109" s="35" t="str">
        <f>IFERROR(VLOOKUP(C109,'정보화기기 명부'!A$2:B$138,2,FALSE),"")</f>
        <v/>
      </c>
      <c r="E109" s="5" t="str">
        <f>IFERROR(VLOOKUP(C109,PC!A$1:K$436,2,FALSE),"")</f>
        <v/>
      </c>
      <c r="F109" s="195" t="str">
        <f>IFERROR(VLOOKUP(C109,PC!A$1:K$436,7,FALSE)&amp;" "&amp;VLOOKUP(C109,PC!A$1:K$436,6,FALSE),"")</f>
        <v/>
      </c>
      <c r="G109" s="5" t="str">
        <f>IFERROR(VLOOKUP(C109,PC!$A$1:$K$436,3,FALSE),"")</f>
        <v/>
      </c>
      <c r="H109" s="1" t="str">
        <f t="shared" si="1"/>
        <v>10.51.90.178</v>
      </c>
    </row>
    <row r="110" spans="1:9" x14ac:dyDescent="0.25">
      <c r="A110" s="30"/>
      <c r="B110" s="33">
        <v>179</v>
      </c>
      <c r="C110" s="5" t="s">
        <v>310</v>
      </c>
      <c r="D110" s="35" t="str">
        <f>IFERROR(VLOOKUP(C110,'정보화기기 명부'!A$2:B$138,2,FALSE),"")</f>
        <v/>
      </c>
      <c r="E110" s="5" t="str">
        <f>IFERROR(VLOOKUP(C110,PC!A$1:K$436,2,FALSE),"")</f>
        <v/>
      </c>
      <c r="F110" s="195" t="str">
        <f>IFERROR(VLOOKUP(C110,PC!A$1:K$436,7,FALSE)&amp;" "&amp;VLOOKUP(C110,PC!A$1:K$436,6,FALSE),"")</f>
        <v/>
      </c>
      <c r="G110" s="5" t="str">
        <f>IFERROR(VLOOKUP(C110,PC!$A$1:$K$436,3,FALSE),"")</f>
        <v/>
      </c>
      <c r="H110" s="1" t="str">
        <f t="shared" si="1"/>
        <v>10.51.90.179</v>
      </c>
    </row>
    <row r="111" spans="1:9" x14ac:dyDescent="0.25">
      <c r="A111" s="30"/>
      <c r="B111" s="34">
        <v>180</v>
      </c>
      <c r="C111" s="239" t="s">
        <v>1797</v>
      </c>
      <c r="D111" s="56" t="str">
        <f>IFERROR(VLOOKUP(C111,'정보화기기 명부'!A$2:B$138,2,FALSE),"")</f>
        <v/>
      </c>
      <c r="E111" s="7" t="str">
        <f>IFERROR(VLOOKUP(C111,PC!A$1:K$436,2,FALSE),"")</f>
        <v>20210823-0888</v>
      </c>
      <c r="F111" s="196" t="str">
        <f>IFERROR(VLOOKUP(C111,PC!A$1:K$436,7,FALSE)&amp;" "&amp;VLOOKUP(C111,PC!A$1:K$436,6,FALSE),"")</f>
        <v>삼성 NT550XDA-KG03G</v>
      </c>
      <c r="G111" s="7" t="str">
        <f>IFERROR(VLOOKUP(C111,PC!$A$1:$K$436,3,FALSE),"")</f>
        <v>노트북</v>
      </c>
      <c r="H111" s="1" t="str">
        <f>$A$2&amp;B111</f>
        <v>10.51.90.180</v>
      </c>
    </row>
    <row r="112" spans="1:9" x14ac:dyDescent="0.25">
      <c r="A112" s="30"/>
      <c r="B112" s="32">
        <v>181</v>
      </c>
      <c r="C112" s="4" t="s">
        <v>1774</v>
      </c>
      <c r="D112" s="55" t="str">
        <f>IFERROR(VLOOKUP(C112,'정보화기기 명부'!A$2:B$138,2,FALSE),"")</f>
        <v/>
      </c>
      <c r="E112" s="4" t="str">
        <f>IFERROR(VLOOKUP(C112,PC!A$1:K$436,2,FALSE),"")</f>
        <v>20200901-0851</v>
      </c>
      <c r="F112" s="194" t="str">
        <f>IFERROR(VLOOKUP(C112,PC!A$1:K$436,7,FALSE)&amp;" "&amp;VLOOKUP(C112,PC!A$1:K$436,6,FALSE),"")</f>
        <v>삼성 CN/NT550XCJ-K13G</v>
      </c>
      <c r="G112" s="4" t="s">
        <v>102</v>
      </c>
      <c r="H112" s="1" t="str">
        <f t="shared" si="1"/>
        <v>10.51.90.181</v>
      </c>
    </row>
    <row r="113" spans="1:11" x14ac:dyDescent="0.25">
      <c r="A113" s="30"/>
      <c r="B113" s="33">
        <v>182</v>
      </c>
      <c r="C113" s="5" t="s">
        <v>310</v>
      </c>
      <c r="D113" s="35" t="str">
        <f>IFERROR(VLOOKUP(C113,'정보화기기 명부'!A$2:B$138,2,FALSE),"")</f>
        <v/>
      </c>
      <c r="E113" s="5" t="str">
        <f>IFERROR(VLOOKUP(C113,PC!A$1:K$436,2,FALSE),"")</f>
        <v/>
      </c>
      <c r="F113" s="195" t="str">
        <f>IFERROR(VLOOKUP(C113,PC!A$1:K$436,7,FALSE)&amp;" "&amp;VLOOKUP(C113,PC!A$1:K$436,6,FALSE),"")</f>
        <v/>
      </c>
      <c r="G113" s="5" t="str">
        <f>IFERROR(VLOOKUP(C113,PC!$A$1:$K$436,3,FALSE),"")</f>
        <v/>
      </c>
      <c r="H113" s="1" t="str">
        <f t="shared" si="1"/>
        <v>10.51.90.182</v>
      </c>
    </row>
    <row r="114" spans="1:11" x14ac:dyDescent="0.25">
      <c r="A114" s="30"/>
      <c r="B114" s="33">
        <v>183</v>
      </c>
      <c r="C114" s="5" t="s">
        <v>310</v>
      </c>
      <c r="D114" s="35" t="str">
        <f>IFERROR(VLOOKUP(C114,'정보화기기 명부'!A$2:B$138,2,FALSE),"")</f>
        <v/>
      </c>
      <c r="E114" s="5" t="str">
        <f>IFERROR(VLOOKUP(C114,PC!A$1:K$436,2,FALSE),"")</f>
        <v/>
      </c>
      <c r="F114" s="195" t="str">
        <f>IFERROR(VLOOKUP(C114,PC!A$1:K$436,7,FALSE)&amp;" "&amp;VLOOKUP(C114,PC!A$1:K$436,6,FALSE),"")</f>
        <v/>
      </c>
      <c r="G114" s="5" t="str">
        <f>IFERROR(VLOOKUP(C114,PC!$A$1:$K$436,3,FALSE),"")</f>
        <v/>
      </c>
      <c r="H114" s="1" t="str">
        <f t="shared" si="1"/>
        <v>10.51.90.183</v>
      </c>
    </row>
    <row r="115" spans="1:11" x14ac:dyDescent="0.25">
      <c r="A115" s="30"/>
      <c r="B115" s="33">
        <v>184</v>
      </c>
      <c r="C115" s="5" t="s">
        <v>310</v>
      </c>
      <c r="D115" s="35" t="str">
        <f>IFERROR(VLOOKUP(C115,'정보화기기 명부'!A$2:B$138,2,FALSE),"")</f>
        <v/>
      </c>
      <c r="E115" s="5" t="str">
        <f>IFERROR(VLOOKUP(C115,PC!A$1:K$436,2,FALSE),"")</f>
        <v/>
      </c>
      <c r="F115" s="195" t="str">
        <f>IFERROR(VLOOKUP(C115,PC!A$1:K$436,7,FALSE)&amp;" "&amp;VLOOKUP(C115,PC!A$1:K$436,6,FALSE),"")</f>
        <v/>
      </c>
      <c r="G115" s="5" t="str">
        <f>IFERROR(VLOOKUP(C115,PC!$A$1:$K$436,3,FALSE),"")</f>
        <v/>
      </c>
      <c r="H115" s="1" t="str">
        <f t="shared" si="1"/>
        <v>10.51.90.184</v>
      </c>
    </row>
    <row r="116" spans="1:11" x14ac:dyDescent="0.25">
      <c r="A116" s="30"/>
      <c r="B116" s="34">
        <v>185</v>
      </c>
      <c r="C116" s="7"/>
      <c r="D116" s="56"/>
      <c r="E116" s="7"/>
      <c r="F116" s="196" t="str">
        <f>IFERROR(VLOOKUP(C116,PC!A$1:K$436,7,FALSE)&amp;" "&amp;VLOOKUP(C116,PC!A$1:K$436,6,FALSE),"")</f>
        <v/>
      </c>
      <c r="G116" s="7" t="str">
        <f>IFERROR(VLOOKUP(C116,PC!$A$1:$K$436,3,FALSE),"")</f>
        <v/>
      </c>
      <c r="H116" s="1" t="str">
        <f t="shared" si="1"/>
        <v>10.51.90.185</v>
      </c>
    </row>
    <row r="117" spans="1:11" x14ac:dyDescent="0.25">
      <c r="A117" s="30"/>
      <c r="B117" s="32">
        <v>186</v>
      </c>
      <c r="C117" s="4" t="s">
        <v>310</v>
      </c>
      <c r="D117" s="55" t="str">
        <f>IFERROR(VLOOKUP(C117,'정보화기기 명부'!A$2:B$138,2,FALSE),"")</f>
        <v/>
      </c>
      <c r="E117" s="4" t="str">
        <f>IFERROR(VLOOKUP(C117,PC!A$1:K$436,2,FALSE),"")</f>
        <v/>
      </c>
      <c r="F117" s="194" t="str">
        <f>IFERROR(VLOOKUP(C117,PC!A$1:K$436,7,FALSE)&amp;" "&amp;VLOOKUP(C117,PC!A$1:K$436,6,FALSE),"")</f>
        <v/>
      </c>
      <c r="G117" s="4" t="str">
        <f>IFERROR(VLOOKUP(C117,PC!$A$1:$K$436,3,FALSE),"")</f>
        <v/>
      </c>
      <c r="H117" s="1" t="str">
        <f t="shared" si="1"/>
        <v>10.51.90.186</v>
      </c>
    </row>
    <row r="118" spans="1:11" x14ac:dyDescent="0.25">
      <c r="A118" s="30"/>
      <c r="B118" s="33">
        <v>187</v>
      </c>
      <c r="C118" s="5" t="s">
        <v>310</v>
      </c>
      <c r="D118" s="35" t="str">
        <f>IFERROR(VLOOKUP(C118,'정보화기기 명부'!A$2:B$138,2,FALSE),"")</f>
        <v/>
      </c>
      <c r="E118" s="5" t="str">
        <f>IFERROR(VLOOKUP(C118,PC!A$1:K$436,2,FALSE),"")</f>
        <v/>
      </c>
      <c r="F118" s="195" t="str">
        <f>IFERROR(VLOOKUP(C118,PC!A$1:K$436,7,FALSE)&amp;" "&amp;VLOOKUP(C118,PC!A$1:K$436,6,FALSE),"")</f>
        <v/>
      </c>
      <c r="G118" s="5" t="str">
        <f>IFERROR(VLOOKUP(C118,PC!$A$1:$K$436,3,FALSE),"")</f>
        <v/>
      </c>
      <c r="H118" s="1" t="str">
        <f t="shared" si="1"/>
        <v>10.51.90.187</v>
      </c>
    </row>
    <row r="119" spans="1:11" x14ac:dyDescent="0.25">
      <c r="A119" s="30"/>
      <c r="B119" s="33">
        <v>188</v>
      </c>
      <c r="C119" s="5" t="s">
        <v>310</v>
      </c>
      <c r="D119" s="35" t="str">
        <f>IFERROR(VLOOKUP(C119,'정보화기기 명부'!A$2:B$138,2,FALSE),"")</f>
        <v/>
      </c>
      <c r="E119" s="5" t="str">
        <f>IFERROR(VLOOKUP(C119,PC!A$1:K$436,2,FALSE),"")</f>
        <v/>
      </c>
      <c r="F119" s="195" t="str">
        <f>IFERROR(VLOOKUP(C119,PC!A$1:K$436,7,FALSE)&amp;" "&amp;VLOOKUP(C119,PC!A$1:K$436,6,FALSE),"")</f>
        <v/>
      </c>
      <c r="G119" s="5" t="str">
        <f>IFERROR(VLOOKUP(C119,PC!$A$1:$K$436,3,FALSE),"")</f>
        <v/>
      </c>
      <c r="H119" s="1" t="str">
        <f t="shared" si="1"/>
        <v>10.51.90.188</v>
      </c>
    </row>
    <row r="120" spans="1:11" x14ac:dyDescent="0.25">
      <c r="A120" s="30"/>
      <c r="B120" s="33">
        <v>189</v>
      </c>
      <c r="C120" s="5" t="s">
        <v>310</v>
      </c>
      <c r="D120" s="35" t="str">
        <f>IFERROR(VLOOKUP(C120,'정보화기기 명부'!A$2:B$138,2,FALSE),"")</f>
        <v/>
      </c>
      <c r="E120" s="5" t="str">
        <f>IFERROR(VLOOKUP(C120,PC!A$1:K$436,2,FALSE),"")</f>
        <v/>
      </c>
      <c r="F120" s="195" t="str">
        <f>IFERROR(VLOOKUP(C120,PC!A$1:K$436,7,FALSE)&amp;" "&amp;VLOOKUP(C120,PC!A$1:K$436,6,FALSE),"")</f>
        <v/>
      </c>
      <c r="G120" s="5" t="str">
        <f>IFERROR(VLOOKUP(C120,PC!$A$1:$K$436,3,FALSE),"")</f>
        <v/>
      </c>
      <c r="H120" s="1" t="str">
        <f t="shared" si="1"/>
        <v>10.51.90.189</v>
      </c>
    </row>
    <row r="121" spans="1:11" x14ac:dyDescent="0.25">
      <c r="A121" s="30"/>
      <c r="B121" s="34">
        <v>190</v>
      </c>
      <c r="C121" s="7" t="s">
        <v>310</v>
      </c>
      <c r="D121" s="56" t="str">
        <f>IFERROR(VLOOKUP(C121,'정보화기기 명부'!A$2:B$138,2,FALSE),"")</f>
        <v/>
      </c>
      <c r="E121" s="7"/>
      <c r="F121" s="196" t="str">
        <f>IFERROR(VLOOKUP(C121,PC!A$1:K$436,7,FALSE)&amp;" "&amp;VLOOKUP(C121,PC!A$1:K$436,6,FALSE),"")</f>
        <v/>
      </c>
      <c r="G121" s="7"/>
      <c r="H121" s="1" t="str">
        <f t="shared" si="1"/>
        <v>10.51.90.190</v>
      </c>
    </row>
    <row r="122" spans="1:11" x14ac:dyDescent="0.25">
      <c r="A122" s="30"/>
      <c r="B122" s="32">
        <v>191</v>
      </c>
      <c r="C122" s="4" t="s">
        <v>310</v>
      </c>
      <c r="D122" s="55" t="str">
        <f>IFERROR(VLOOKUP(C122,'정보화기기 명부'!A$2:B$138,2,FALSE),"")</f>
        <v/>
      </c>
      <c r="E122" s="4" t="str">
        <f>IFERROR(VLOOKUP(C122,PC!A$1:K$436,2,FALSE),"")</f>
        <v/>
      </c>
      <c r="F122" s="194" t="str">
        <f>IFERROR(VLOOKUP(C122,PC!A$1:K$436,7,FALSE)&amp;" "&amp;VLOOKUP(C122,PC!A$1:K$436,6,FALSE),"")</f>
        <v/>
      </c>
      <c r="G122" s="4" t="str">
        <f>IFERROR(VLOOKUP(C122,PC!$A$1:$K$436,3,FALSE),"")</f>
        <v/>
      </c>
      <c r="H122" s="1" t="str">
        <f t="shared" si="1"/>
        <v>10.51.90.191</v>
      </c>
    </row>
    <row r="123" spans="1:11" x14ac:dyDescent="0.25">
      <c r="A123" s="30"/>
      <c r="B123" s="33">
        <v>192</v>
      </c>
      <c r="C123" s="5" t="s">
        <v>310</v>
      </c>
      <c r="D123" s="35" t="str">
        <f>IFERROR(VLOOKUP(C123,'정보화기기 명부'!A$2:B$138,2,FALSE),"")</f>
        <v/>
      </c>
      <c r="E123" s="5" t="str">
        <f>IFERROR(VLOOKUP(C123,PC!A$1:K$436,2,FALSE),"")</f>
        <v/>
      </c>
      <c r="F123" s="195" t="str">
        <f>IFERROR(VLOOKUP(C123,PC!A$1:K$436,7,FALSE)&amp;" "&amp;VLOOKUP(C123,PC!A$1:K$436,6,FALSE),"")</f>
        <v/>
      </c>
      <c r="G123" s="5" t="str">
        <f>IFERROR(VLOOKUP(C123,PC!$A$1:$K$436,3,FALSE),"")</f>
        <v/>
      </c>
      <c r="H123" s="1" t="str">
        <f t="shared" si="1"/>
        <v>10.51.90.192</v>
      </c>
    </row>
    <row r="124" spans="1:11" x14ac:dyDescent="0.25">
      <c r="A124" s="30"/>
      <c r="B124" s="33">
        <v>193</v>
      </c>
      <c r="C124" s="5" t="s">
        <v>310</v>
      </c>
      <c r="D124" s="35" t="str">
        <f>IFERROR(VLOOKUP(C124,'정보화기기 명부'!A$2:B$138,2,FALSE),"")</f>
        <v/>
      </c>
      <c r="E124" s="5" t="str">
        <f>IFERROR(VLOOKUP(C124,PC!A$1:K$436,2,FALSE),"")</f>
        <v/>
      </c>
      <c r="F124" s="195" t="str">
        <f>IFERROR(VLOOKUP(C124,PC!A$1:K$436,7,FALSE)&amp;" "&amp;VLOOKUP(C124,PC!A$1:K$436,6,FALSE),"")</f>
        <v/>
      </c>
      <c r="G124" s="5" t="str">
        <f>IFERROR(VLOOKUP(C124,PC!$A$1:$K$436,3,FALSE),"")</f>
        <v/>
      </c>
      <c r="H124" s="1" t="str">
        <f t="shared" si="1"/>
        <v>10.51.90.193</v>
      </c>
    </row>
    <row r="125" spans="1:11" x14ac:dyDescent="0.25">
      <c r="A125" s="30"/>
      <c r="B125" s="33">
        <v>194</v>
      </c>
      <c r="C125" s="5" t="s">
        <v>310</v>
      </c>
      <c r="D125" s="35" t="str">
        <f>IFERROR(VLOOKUP(C125,'정보화기기 명부'!A$2:B$138,2,FALSE),"")</f>
        <v/>
      </c>
      <c r="E125" s="5" t="str">
        <f>IFERROR(VLOOKUP(C125,PC!A$1:K$436,2,FALSE),"")</f>
        <v/>
      </c>
      <c r="F125" s="195" t="str">
        <f>IFERROR(VLOOKUP(C125,PC!A$1:K$436,7,FALSE)&amp;" "&amp;VLOOKUP(C125,PC!A$1:K$436,6,FALSE),"")</f>
        <v/>
      </c>
      <c r="G125" s="5" t="str">
        <f>IFERROR(VLOOKUP(C125,PC!$A$1:$K$436,3,FALSE),"")</f>
        <v/>
      </c>
      <c r="H125" s="1" t="str">
        <f t="shared" si="1"/>
        <v>10.51.90.194</v>
      </c>
    </row>
    <row r="126" spans="1:11" x14ac:dyDescent="0.25">
      <c r="A126" s="30"/>
      <c r="B126" s="34">
        <v>195</v>
      </c>
      <c r="C126" s="7" t="s">
        <v>310</v>
      </c>
      <c r="D126" s="56" t="str">
        <f>IFERROR(VLOOKUP(C126,'정보화기기 명부'!A$2:B$138,2,FALSE),"")</f>
        <v/>
      </c>
      <c r="E126" s="7" t="str">
        <f>IFERROR(VLOOKUP(C126,PC!A$1:K$436,2,FALSE),"")</f>
        <v/>
      </c>
      <c r="F126" s="196" t="str">
        <f>IFERROR(VLOOKUP(C126,PC!A$1:K$436,7,FALSE)&amp;" "&amp;VLOOKUP(C126,PC!A$1:K$436,6,FALSE),"")</f>
        <v/>
      </c>
      <c r="G126" s="7" t="str">
        <f>IFERROR(VLOOKUP(C126,PC!$A$1:$K$436,3,FALSE),"")</f>
        <v/>
      </c>
      <c r="H126" s="1" t="str">
        <f t="shared" si="1"/>
        <v>10.51.90.195</v>
      </c>
      <c r="J126" s="1"/>
      <c r="K126" s="1"/>
    </row>
    <row r="127" spans="1:11" x14ac:dyDescent="0.25">
      <c r="A127" s="30"/>
      <c r="B127" s="32">
        <v>196</v>
      </c>
      <c r="C127" s="4" t="s">
        <v>310</v>
      </c>
      <c r="D127" s="55" t="str">
        <f>IFERROR(VLOOKUP(C127,'정보화기기 명부'!A$2:B$138,2,FALSE),"")</f>
        <v/>
      </c>
      <c r="E127" s="4" t="str">
        <f>IFERROR(VLOOKUP(C127,PC!A$1:K$436,2,FALSE),"")</f>
        <v/>
      </c>
      <c r="F127" s="194" t="str">
        <f>IFERROR(VLOOKUP(C127,PC!A$1:K$436,7,FALSE)&amp;" "&amp;VLOOKUP(C127,PC!A$1:K$436,6,FALSE),"")</f>
        <v/>
      </c>
      <c r="G127" s="4" t="str">
        <f>IFERROR(VLOOKUP(C127,PC!$A$1:$K$436,3,FALSE),"")</f>
        <v/>
      </c>
      <c r="H127" s="1" t="str">
        <f t="shared" si="1"/>
        <v>10.51.90.196</v>
      </c>
      <c r="J127" s="27"/>
      <c r="K127" s="1"/>
    </row>
    <row r="128" spans="1:11" x14ac:dyDescent="0.25">
      <c r="A128" s="30"/>
      <c r="B128" s="33">
        <v>197</v>
      </c>
      <c r="C128" s="5" t="s">
        <v>310</v>
      </c>
      <c r="D128" s="35" t="str">
        <f>IFERROR(VLOOKUP(C128,'정보화기기 명부'!A$2:B$138,2,FALSE),"")</f>
        <v/>
      </c>
      <c r="E128" s="5" t="str">
        <f>IFERROR(VLOOKUP(C128,PC!A$1:K$436,2,FALSE),"")</f>
        <v/>
      </c>
      <c r="F128" s="195" t="str">
        <f>IFERROR(VLOOKUP(C128,PC!A$1:K$436,7,FALSE)&amp;" "&amp;VLOOKUP(C128,PC!A$1:K$436,6,FALSE),"")</f>
        <v/>
      </c>
      <c r="G128" s="5" t="str">
        <f>IFERROR(VLOOKUP(C128,PC!$A$1:$K$436,3,FALSE),"")</f>
        <v/>
      </c>
      <c r="H128" s="1" t="str">
        <f t="shared" si="1"/>
        <v>10.51.90.197</v>
      </c>
      <c r="J128" s="27"/>
      <c r="K128" s="1"/>
    </row>
    <row r="129" spans="1:11" x14ac:dyDescent="0.25">
      <c r="A129" s="30"/>
      <c r="B129" s="33">
        <v>198</v>
      </c>
      <c r="C129" s="5" t="s">
        <v>416</v>
      </c>
      <c r="D129" s="35" t="str">
        <f>IFERROR(VLOOKUP(C129,'정보화기기 명부'!A$2:B$138,2,FALSE),"")</f>
        <v/>
      </c>
      <c r="E129" s="5" t="str">
        <f>IFERROR(VLOOKUP(C129,PC!A$1:K$436,2,FALSE),"")</f>
        <v>20210823-0894</v>
      </c>
      <c r="F129" s="195" t="str">
        <f>IFERROR(VLOOKUP(C129,PC!A$1:K$436,7,FALSE)&amp;" "&amp;VLOOKUP(C129,PC!A$1:K$436,6,FALSE),"")</f>
        <v>삼성 NT550XDA-KG03G</v>
      </c>
      <c r="G129" s="5" t="str">
        <f>IFERROR(VLOOKUP(C129,PC!$A$1:$K$436,3,FALSE),"")</f>
        <v>노트북</v>
      </c>
      <c r="H129" s="1" t="str">
        <f t="shared" si="1"/>
        <v>10.51.90.198</v>
      </c>
      <c r="J129" s="27"/>
      <c r="K129" s="1"/>
    </row>
    <row r="130" spans="1:11" x14ac:dyDescent="0.25">
      <c r="A130" s="30"/>
      <c r="B130" s="242">
        <v>199</v>
      </c>
      <c r="C130" s="243" t="s">
        <v>376</v>
      </c>
      <c r="D130" s="35" t="str">
        <f>IFERROR(VLOOKUP(C130,'정보화기기 명부'!A$2:B$138,2,FALSE),"")</f>
        <v>체육보건부</v>
      </c>
      <c r="E130" s="5" t="str">
        <f>IFERROR(VLOOKUP(C130,PC!A$1:K$436,2,FALSE),"")</f>
        <v>202504-0953</v>
      </c>
      <c r="F130" s="269" t="s">
        <v>404</v>
      </c>
      <c r="G130" s="5" t="str">
        <f>IFERROR(VLOOKUP(C130,PC!$A$1:$K$436,3,FALSE),"")</f>
        <v>노트북</v>
      </c>
      <c r="H130" s="1" t="str">
        <f t="shared" si="1"/>
        <v>10.51.90.199</v>
      </c>
      <c r="J130" s="27"/>
      <c r="K130" s="1"/>
    </row>
    <row r="131" spans="1:11" x14ac:dyDescent="0.25">
      <c r="A131" s="30"/>
      <c r="B131" s="34">
        <v>200</v>
      </c>
      <c r="C131" s="7" t="s">
        <v>310</v>
      </c>
      <c r="D131" s="56" t="str">
        <f>IFERROR(VLOOKUP(C131,'정보화기기 명부'!A$2:B$138,2,FALSE),"")</f>
        <v/>
      </c>
      <c r="E131" s="7" t="str">
        <f>IFERROR(VLOOKUP(C131,PC!A$1:K$436,2,FALSE),"")</f>
        <v/>
      </c>
      <c r="F131" s="196" t="str">
        <f>IFERROR(VLOOKUP(C131,PC!A$1:K$436,7,FALSE)&amp;" "&amp;VLOOKUP(C131,PC!A$1:K$436,6,FALSE),"")</f>
        <v/>
      </c>
      <c r="G131" s="7" t="str">
        <f>IFERROR(VLOOKUP(C131,PC!$A$1:$K$436,3,FALSE),"")</f>
        <v/>
      </c>
      <c r="H131" s="1" t="str">
        <f t="shared" ref="H131:H173" si="2">$A$2&amp;B131</f>
        <v>10.51.90.200</v>
      </c>
      <c r="J131" s="1"/>
      <c r="K131" s="1"/>
    </row>
    <row r="132" spans="1:11" x14ac:dyDescent="0.25">
      <c r="A132" s="30"/>
      <c r="B132" s="32">
        <v>201</v>
      </c>
      <c r="C132" s="4" t="s">
        <v>868</v>
      </c>
      <c r="D132" s="55" t="s">
        <v>1121</v>
      </c>
      <c r="E132" s="4"/>
      <c r="F132" s="194" t="str">
        <f>IFERROR(VLOOKUP(C132,PC!A$1:K$436,7,FALSE)&amp;" "&amp;VLOOKUP(C132,PC!A$1:K$436,6,FALSE),"")</f>
        <v/>
      </c>
      <c r="G132" s="4"/>
      <c r="H132" s="1" t="str">
        <f t="shared" si="2"/>
        <v>10.51.90.201</v>
      </c>
      <c r="J132" s="1"/>
      <c r="K132" s="1"/>
    </row>
    <row r="133" spans="1:11" x14ac:dyDescent="0.25">
      <c r="A133" s="30"/>
      <c r="B133" s="33">
        <v>202</v>
      </c>
      <c r="C133" s="5" t="s">
        <v>870</v>
      </c>
      <c r="D133" s="35" t="s">
        <v>1121</v>
      </c>
      <c r="E133" s="5"/>
      <c r="F133" s="195" t="str">
        <f>IFERROR(VLOOKUP(C133,PC!A$1:K$436,7,FALSE)&amp;" "&amp;VLOOKUP(C133,PC!A$1:K$436,6,FALSE),"")</f>
        <v/>
      </c>
      <c r="G133" s="5"/>
      <c r="H133" s="1" t="str">
        <f t="shared" si="2"/>
        <v>10.51.90.202</v>
      </c>
      <c r="J133" s="1"/>
      <c r="K133" s="1"/>
    </row>
    <row r="134" spans="1:11" x14ac:dyDescent="0.25">
      <c r="A134" s="30"/>
      <c r="B134" s="33">
        <v>203</v>
      </c>
      <c r="C134" s="5"/>
      <c r="D134" s="35" t="str">
        <f>IFERROR(VLOOKUP(C134,'정보화기기 명부'!A$2:B$138,2,FALSE),"")</f>
        <v/>
      </c>
      <c r="E134" s="5"/>
      <c r="F134" s="195" t="str">
        <f>IFERROR(VLOOKUP(C134,PC!A$1:K$436,7,FALSE)&amp;" "&amp;VLOOKUP(C134,PC!A$1:K$436,6,FALSE),"")</f>
        <v/>
      </c>
      <c r="G134" s="5"/>
      <c r="H134" s="1" t="str">
        <f t="shared" si="2"/>
        <v>10.51.90.203</v>
      </c>
      <c r="J134" s="1"/>
      <c r="K134" s="1"/>
    </row>
    <row r="135" spans="1:11" x14ac:dyDescent="0.25">
      <c r="A135" s="30"/>
      <c r="B135" s="33">
        <v>204</v>
      </c>
      <c r="C135" s="5"/>
      <c r="D135" s="35" t="str">
        <f>IFERROR(VLOOKUP(C135,'정보화기기 명부'!A$2:B$138,2,FALSE),"")</f>
        <v/>
      </c>
      <c r="E135" s="5"/>
      <c r="F135" s="195" t="str">
        <f>IFERROR(VLOOKUP(C135,PC!A$1:K$436,7,FALSE)&amp;" "&amp;VLOOKUP(C135,PC!A$1:K$436,6,FALSE),"")</f>
        <v/>
      </c>
      <c r="G135" s="5"/>
      <c r="H135" s="1" t="str">
        <f t="shared" si="2"/>
        <v>10.51.90.204</v>
      </c>
      <c r="J135" s="1"/>
      <c r="K135" s="1"/>
    </row>
    <row r="136" spans="1:11" x14ac:dyDescent="0.25">
      <c r="A136" s="30"/>
      <c r="B136" s="34">
        <v>205</v>
      </c>
      <c r="C136" s="7"/>
      <c r="D136" s="56" t="str">
        <f>IFERROR(VLOOKUP(C136,'정보화기기 명부'!A$2:B$138,2,FALSE),"")</f>
        <v/>
      </c>
      <c r="E136" s="7"/>
      <c r="F136" s="196" t="str">
        <f>IFERROR(VLOOKUP(C136,PC!A$1:K$436,7,FALSE)&amp;" "&amp;VLOOKUP(C136,PC!A$1:K$436,6,FALSE),"")</f>
        <v/>
      </c>
      <c r="G136" s="7"/>
      <c r="H136" s="1" t="str">
        <f t="shared" si="2"/>
        <v>10.51.90.205</v>
      </c>
      <c r="J136" s="1"/>
      <c r="K136" s="1"/>
    </row>
    <row r="137" spans="1:11" x14ac:dyDescent="0.25">
      <c r="A137" s="30"/>
      <c r="B137" s="32">
        <v>206</v>
      </c>
      <c r="C137" s="4"/>
      <c r="D137" s="55" t="str">
        <f>IFERROR(VLOOKUP(C137,'정보화기기 명부'!A$2:B$138,2,FALSE),"")</f>
        <v/>
      </c>
      <c r="E137" s="4"/>
      <c r="F137" s="194" t="str">
        <f>IFERROR(VLOOKUP(C137,PC!A$1:K$436,7,FALSE)&amp;" "&amp;VLOOKUP(C137,PC!A$1:K$436,6,FALSE),"")</f>
        <v/>
      </c>
      <c r="G137" s="4"/>
      <c r="H137" s="1" t="str">
        <f t="shared" si="2"/>
        <v>10.51.90.206</v>
      </c>
      <c r="J137" s="27"/>
      <c r="K137" s="1"/>
    </row>
    <row r="138" spans="1:11" x14ac:dyDescent="0.25">
      <c r="A138" s="30"/>
      <c r="B138" s="33">
        <v>207</v>
      </c>
      <c r="C138" s="5"/>
      <c r="D138" s="35" t="str">
        <f>IFERROR(VLOOKUP(C138,'정보화기기 명부'!A$2:B$138,2,FALSE),"")</f>
        <v/>
      </c>
      <c r="E138" s="5"/>
      <c r="F138" s="195" t="str">
        <f>IFERROR(VLOOKUP(C138,PC!A$1:K$436,7,FALSE)&amp;" "&amp;VLOOKUP(C138,PC!A$1:K$436,6,FALSE),"")</f>
        <v/>
      </c>
      <c r="G138" s="5"/>
      <c r="H138" s="1" t="str">
        <f t="shared" si="2"/>
        <v>10.51.90.207</v>
      </c>
      <c r="J138" s="27"/>
      <c r="K138" s="1"/>
    </row>
    <row r="139" spans="1:11" x14ac:dyDescent="0.25">
      <c r="A139" s="30"/>
      <c r="B139" s="33">
        <v>208</v>
      </c>
      <c r="C139" s="5"/>
      <c r="D139" s="35" t="str">
        <f>IFERROR(VLOOKUP(C139,'정보화기기 명부'!A$2:B$138,2,FALSE),"")</f>
        <v/>
      </c>
      <c r="E139" s="5"/>
      <c r="F139" s="195" t="str">
        <f>IFERROR(VLOOKUP(C139,PC!A$1:K$436,7,FALSE)&amp;" "&amp;VLOOKUP(C139,PC!A$1:K$436,6,FALSE),"")</f>
        <v/>
      </c>
      <c r="G139" s="5"/>
      <c r="H139" s="1" t="str">
        <f t="shared" si="2"/>
        <v>10.51.90.208</v>
      </c>
      <c r="J139" s="27"/>
      <c r="K139" s="1"/>
    </row>
    <row r="140" spans="1:11" x14ac:dyDescent="0.25">
      <c r="A140" s="30"/>
      <c r="B140" s="33">
        <v>209</v>
      </c>
      <c r="C140" s="5"/>
      <c r="D140" s="35" t="str">
        <f>IFERROR(VLOOKUP(C140,'정보화기기 명부'!A$2:B$138,2,FALSE),"")</f>
        <v/>
      </c>
      <c r="E140" s="5"/>
      <c r="F140" s="195" t="str">
        <f>IFERROR(VLOOKUP(C140,PC!A$1:K$436,7,FALSE)&amp;" "&amp;VLOOKUP(C140,PC!A$1:K$436,6,FALSE),"")</f>
        <v/>
      </c>
      <c r="G140" s="5"/>
      <c r="H140" s="1" t="str">
        <f t="shared" si="2"/>
        <v>10.51.90.209</v>
      </c>
      <c r="J140" s="27"/>
      <c r="K140" s="1"/>
    </row>
    <row r="141" spans="1:11" x14ac:dyDescent="0.25">
      <c r="A141" s="30"/>
      <c r="B141" s="34">
        <v>210</v>
      </c>
      <c r="C141" s="7"/>
      <c r="D141" s="56" t="str">
        <f>IFERROR(VLOOKUP(C141,'정보화기기 명부'!A$2:B$138,2,FALSE),"")</f>
        <v/>
      </c>
      <c r="E141" s="7"/>
      <c r="F141" s="196" t="str">
        <f>IFERROR(VLOOKUP(C141,PC!A$1:K$436,7,FALSE)&amp;" "&amp;VLOOKUP(C141,PC!A$1:K$436,6,FALSE),"")</f>
        <v/>
      </c>
      <c r="G141" s="7"/>
      <c r="H141" s="1" t="str">
        <f t="shared" si="2"/>
        <v>10.51.90.210</v>
      </c>
      <c r="J141" s="1"/>
      <c r="K141" s="1"/>
    </row>
    <row r="142" spans="1:11" x14ac:dyDescent="0.25">
      <c r="A142" s="30"/>
      <c r="B142" s="32">
        <v>211</v>
      </c>
      <c r="C142" s="4"/>
      <c r="D142" s="55" t="str">
        <f>IFERROR(VLOOKUP(C142,'정보화기기 명부'!A$2:B$138,2,FALSE),"")</f>
        <v/>
      </c>
      <c r="E142" s="4"/>
      <c r="F142" s="194" t="str">
        <f>IFERROR(VLOOKUP(C142,PC!A$1:K$436,7,FALSE)&amp;" "&amp;VLOOKUP(C142,PC!A$1:K$436,6,FALSE),"")</f>
        <v/>
      </c>
      <c r="G142" s="4"/>
      <c r="H142" s="1" t="str">
        <f t="shared" si="2"/>
        <v>10.51.90.211</v>
      </c>
      <c r="J142" s="27"/>
      <c r="K142" s="1"/>
    </row>
    <row r="143" spans="1:11" x14ac:dyDescent="0.25">
      <c r="A143" s="30"/>
      <c r="B143" s="33">
        <v>212</v>
      </c>
      <c r="C143" s="5"/>
      <c r="D143" s="35" t="str">
        <f>IFERROR(VLOOKUP(C143,'정보화기기 명부'!A$2:B$138,2,FALSE),"")</f>
        <v/>
      </c>
      <c r="E143" s="5"/>
      <c r="F143" s="195" t="str">
        <f>IFERROR(VLOOKUP(C143,PC!A$1:K$436,7,FALSE)&amp;" "&amp;VLOOKUP(C143,PC!A$1:K$436,6,FALSE),"")</f>
        <v/>
      </c>
      <c r="G143" s="5"/>
      <c r="H143" s="1" t="str">
        <f t="shared" si="2"/>
        <v>10.51.90.212</v>
      </c>
      <c r="J143" s="27"/>
      <c r="K143" s="1"/>
    </row>
    <row r="144" spans="1:11" x14ac:dyDescent="0.25">
      <c r="A144" s="30"/>
      <c r="B144" s="33">
        <v>213</v>
      </c>
      <c r="C144" s="5"/>
      <c r="D144" s="35" t="str">
        <f>IFERROR(VLOOKUP(C144,'정보화기기 명부'!A$2:B$138,2,FALSE),"")</f>
        <v/>
      </c>
      <c r="E144" s="5"/>
      <c r="F144" s="195" t="str">
        <f>IFERROR(VLOOKUP(C144,PC!A$1:K$436,7,FALSE)&amp;" "&amp;VLOOKUP(C144,PC!A$1:K$436,6,FALSE),"")</f>
        <v/>
      </c>
      <c r="G144" s="5"/>
      <c r="H144" s="1" t="str">
        <f t="shared" si="2"/>
        <v>10.51.90.213</v>
      </c>
      <c r="J144" s="27"/>
      <c r="K144" s="1"/>
    </row>
    <row r="145" spans="1:11" x14ac:dyDescent="0.25">
      <c r="A145" s="30"/>
      <c r="B145" s="33">
        <v>214</v>
      </c>
      <c r="C145" s="5"/>
      <c r="D145" s="35" t="str">
        <f>IFERROR(VLOOKUP(C145,'정보화기기 명부'!A$2:B$138,2,FALSE),"")</f>
        <v/>
      </c>
      <c r="E145" s="5"/>
      <c r="F145" s="195" t="str">
        <f>IFERROR(VLOOKUP(C145,PC!A$1:K$436,7,FALSE)&amp;" "&amp;VLOOKUP(C145,PC!A$1:K$436,6,FALSE),"")</f>
        <v/>
      </c>
      <c r="G145" s="5"/>
      <c r="H145" s="1" t="str">
        <f t="shared" si="2"/>
        <v>10.51.90.214</v>
      </c>
      <c r="J145" s="27"/>
      <c r="K145" s="1"/>
    </row>
    <row r="146" spans="1:11" x14ac:dyDescent="0.25">
      <c r="A146" s="30"/>
      <c r="B146" s="34">
        <v>215</v>
      </c>
      <c r="C146" s="7"/>
      <c r="D146" s="56" t="str">
        <f>IFERROR(VLOOKUP(C146,'정보화기기 명부'!A$2:B$138,2,FALSE),"")</f>
        <v/>
      </c>
      <c r="E146" s="7"/>
      <c r="F146" s="196" t="str">
        <f>IFERROR(VLOOKUP(C146,PC!A$1:K$436,7,FALSE)&amp;" "&amp;VLOOKUP(C146,PC!A$1:K$436,6,FALSE),"")</f>
        <v/>
      </c>
      <c r="G146" s="7"/>
      <c r="H146" s="1" t="str">
        <f t="shared" si="2"/>
        <v>10.51.90.215</v>
      </c>
      <c r="J146" s="1"/>
      <c r="K146" s="1"/>
    </row>
    <row r="147" spans="1:11" x14ac:dyDescent="0.25">
      <c r="A147" s="30"/>
      <c r="B147" s="32">
        <v>216</v>
      </c>
      <c r="C147" s="4"/>
      <c r="D147" s="55" t="str">
        <f>IFERROR(VLOOKUP(C147,'정보화기기 명부'!A$2:B$138,2,FALSE),"")</f>
        <v/>
      </c>
      <c r="E147" s="4"/>
      <c r="F147" s="194" t="str">
        <f>IFERROR(VLOOKUP(C147,PC!A$1:K$436,7,FALSE)&amp;" "&amp;VLOOKUP(C147,PC!A$1:K$436,6,FALSE),"")</f>
        <v/>
      </c>
      <c r="G147" s="4"/>
      <c r="H147" s="1" t="str">
        <f t="shared" si="2"/>
        <v>10.51.90.216</v>
      </c>
      <c r="J147" s="27"/>
      <c r="K147" s="1"/>
    </row>
    <row r="148" spans="1:11" x14ac:dyDescent="0.25">
      <c r="A148" s="30"/>
      <c r="B148" s="33">
        <v>217</v>
      </c>
      <c r="C148" s="5"/>
      <c r="D148" s="35" t="str">
        <f>IFERROR(VLOOKUP(C148,'정보화기기 명부'!A$2:B$138,2,FALSE),"")</f>
        <v/>
      </c>
      <c r="E148" s="5"/>
      <c r="F148" s="195" t="str">
        <f>IFERROR(VLOOKUP(C148,PC!A$1:K$436,7,FALSE)&amp;" "&amp;VLOOKUP(C148,PC!A$1:K$436,6,FALSE),"")</f>
        <v/>
      </c>
      <c r="G148" s="5"/>
      <c r="H148" s="1" t="str">
        <f t="shared" si="2"/>
        <v>10.51.90.217</v>
      </c>
      <c r="J148" s="27"/>
      <c r="K148" s="1"/>
    </row>
    <row r="149" spans="1:11" x14ac:dyDescent="0.25">
      <c r="A149" s="30"/>
      <c r="B149" s="33">
        <v>218</v>
      </c>
      <c r="C149" s="5"/>
      <c r="D149" s="35" t="str">
        <f>IFERROR(VLOOKUP(C149,'정보화기기 명부'!A$2:B$138,2,FALSE),"")</f>
        <v/>
      </c>
      <c r="E149" s="5"/>
      <c r="F149" s="195" t="str">
        <f>IFERROR(VLOOKUP(C149,PC!A$1:K$436,7,FALSE)&amp;" "&amp;VLOOKUP(C149,PC!A$1:K$436,6,FALSE),"")</f>
        <v/>
      </c>
      <c r="G149" s="5"/>
      <c r="H149" s="1" t="str">
        <f t="shared" si="2"/>
        <v>10.51.90.218</v>
      </c>
      <c r="J149" s="27"/>
      <c r="K149" s="1"/>
    </row>
    <row r="150" spans="1:11" x14ac:dyDescent="0.25">
      <c r="A150" s="30"/>
      <c r="B150" s="33">
        <v>219</v>
      </c>
      <c r="C150" s="5"/>
      <c r="D150" s="35" t="str">
        <f>IFERROR(VLOOKUP(C150,'정보화기기 명부'!A$2:B$138,2,FALSE),"")</f>
        <v/>
      </c>
      <c r="E150" s="5"/>
      <c r="F150" s="195" t="str">
        <f>IFERROR(VLOOKUP(C150,PC!A$1:K$436,7,FALSE)&amp;" "&amp;VLOOKUP(C150,PC!A$1:K$436,6,FALSE),"")</f>
        <v/>
      </c>
      <c r="G150" s="5"/>
      <c r="H150" s="1" t="str">
        <f t="shared" si="2"/>
        <v>10.51.90.219</v>
      </c>
      <c r="J150" s="27"/>
      <c r="K150" s="1"/>
    </row>
    <row r="151" spans="1:11" x14ac:dyDescent="0.25">
      <c r="A151" s="30"/>
      <c r="B151" s="34">
        <v>220</v>
      </c>
      <c r="C151" s="7"/>
      <c r="D151" s="56" t="str">
        <f>IFERROR(VLOOKUP(C151,'정보화기기 명부'!A$2:B$138,2,FALSE),"")</f>
        <v/>
      </c>
      <c r="E151" s="7"/>
      <c r="F151" s="196" t="str">
        <f>IFERROR(VLOOKUP(C151,PC!A$1:K$436,7,FALSE)&amp;" "&amp;VLOOKUP(C151,PC!A$1:K$436,6,FALSE),"")</f>
        <v/>
      </c>
      <c r="G151" s="7"/>
      <c r="H151" s="1" t="str">
        <f t="shared" si="2"/>
        <v>10.51.90.220</v>
      </c>
      <c r="J151" s="1"/>
      <c r="K151" s="1"/>
    </row>
    <row r="152" spans="1:11" x14ac:dyDescent="0.25">
      <c r="A152" s="30"/>
      <c r="B152" s="32">
        <v>221</v>
      </c>
      <c r="C152" s="4"/>
      <c r="D152" s="55" t="str">
        <f>IFERROR(VLOOKUP(C152,'정보화기기 명부'!A$2:B$138,2,FALSE),"")</f>
        <v/>
      </c>
      <c r="E152" s="4"/>
      <c r="F152" s="194" t="str">
        <f>IFERROR(VLOOKUP(C152,PC!A$1:K$436,7,FALSE)&amp;" "&amp;VLOOKUP(C152,PC!A$1:K$436,6,FALSE),"")</f>
        <v/>
      </c>
      <c r="G152" s="4"/>
      <c r="H152" s="1" t="str">
        <f t="shared" si="2"/>
        <v>10.51.90.221</v>
      </c>
      <c r="J152" s="27"/>
      <c r="K152" s="1"/>
    </row>
    <row r="153" spans="1:11" x14ac:dyDescent="0.25">
      <c r="A153" s="30"/>
      <c r="B153" s="33">
        <v>222</v>
      </c>
      <c r="C153" s="5"/>
      <c r="D153" s="35" t="str">
        <f>IFERROR(VLOOKUP(C153,'정보화기기 명부'!A$2:B$138,2,FALSE),"")</f>
        <v/>
      </c>
      <c r="E153" s="5"/>
      <c r="F153" s="195" t="str">
        <f>IFERROR(VLOOKUP(C153,PC!A$1:K$436,7,FALSE)&amp;" "&amp;VLOOKUP(C153,PC!A$1:K$436,6,FALSE),"")</f>
        <v/>
      </c>
      <c r="G153" s="5"/>
      <c r="H153" s="1" t="str">
        <f t="shared" si="2"/>
        <v>10.51.90.222</v>
      </c>
      <c r="J153" s="27"/>
      <c r="K153" s="1"/>
    </row>
    <row r="154" spans="1:11" x14ac:dyDescent="0.25">
      <c r="A154" s="30"/>
      <c r="B154" s="33">
        <v>223</v>
      </c>
      <c r="C154" s="5"/>
      <c r="D154" s="35" t="str">
        <f>IFERROR(VLOOKUP(C154,'정보화기기 명부'!A$2:B$138,2,FALSE),"")</f>
        <v/>
      </c>
      <c r="E154" s="5"/>
      <c r="F154" s="195" t="str">
        <f>IFERROR(VLOOKUP(C154,PC!A$1:K$436,7,FALSE)&amp;" "&amp;VLOOKUP(C154,PC!A$1:K$436,6,FALSE),"")</f>
        <v/>
      </c>
      <c r="G154" s="5"/>
      <c r="H154" s="1" t="str">
        <f t="shared" si="2"/>
        <v>10.51.90.223</v>
      </c>
      <c r="J154" s="27"/>
      <c r="K154" s="1"/>
    </row>
    <row r="155" spans="1:11" x14ac:dyDescent="0.25">
      <c r="A155" s="30"/>
      <c r="B155" s="33">
        <v>224</v>
      </c>
      <c r="C155" s="5"/>
      <c r="D155" s="35" t="str">
        <f>IFERROR(VLOOKUP(C155,'정보화기기 명부'!A$2:B$138,2,FALSE),"")</f>
        <v/>
      </c>
      <c r="E155" s="5"/>
      <c r="F155" s="195" t="str">
        <f>IFERROR(VLOOKUP(C155,PC!A$1:K$436,7,FALSE)&amp;" "&amp;VLOOKUP(C155,PC!A$1:K$436,6,FALSE),"")</f>
        <v/>
      </c>
      <c r="G155" s="5"/>
      <c r="H155" s="1" t="str">
        <f t="shared" si="2"/>
        <v>10.51.90.224</v>
      </c>
      <c r="J155" s="27"/>
      <c r="K155" s="1"/>
    </row>
    <row r="156" spans="1:11" x14ac:dyDescent="0.25">
      <c r="A156" s="30"/>
      <c r="B156" s="34">
        <v>225</v>
      </c>
      <c r="C156" s="7"/>
      <c r="D156" s="56" t="str">
        <f>IFERROR(VLOOKUP(C156,'정보화기기 명부'!A$2:B$138,2,FALSE),"")</f>
        <v/>
      </c>
      <c r="E156" s="7"/>
      <c r="F156" s="196" t="str">
        <f>IFERROR(VLOOKUP(C156,PC!A$1:K$436,7,FALSE)&amp;" "&amp;VLOOKUP(C156,PC!A$1:K$436,6,FALSE),"")</f>
        <v/>
      </c>
      <c r="G156" s="7"/>
      <c r="H156" s="1" t="str">
        <f t="shared" si="2"/>
        <v>10.51.90.225</v>
      </c>
      <c r="J156" s="1"/>
      <c r="K156" s="1"/>
    </row>
    <row r="157" spans="1:11" x14ac:dyDescent="0.25">
      <c r="A157" s="30"/>
      <c r="B157" s="32">
        <v>226</v>
      </c>
      <c r="C157" s="4"/>
      <c r="D157" s="55" t="str">
        <f>IFERROR(VLOOKUP(C157,'정보화기기 명부'!A$2:B$138,2,FALSE),"")</f>
        <v/>
      </c>
      <c r="E157" s="4"/>
      <c r="F157" s="194" t="str">
        <f>IFERROR(VLOOKUP(C157,PC!A$1:K$436,7,FALSE)&amp;" "&amp;VLOOKUP(C157,PC!A$1:K$436,6,FALSE),"")</f>
        <v/>
      </c>
      <c r="G157" s="4"/>
      <c r="H157" s="1" t="str">
        <f t="shared" si="2"/>
        <v>10.51.90.226</v>
      </c>
      <c r="J157" s="27"/>
      <c r="K157" s="1"/>
    </row>
    <row r="158" spans="1:11" x14ac:dyDescent="0.25">
      <c r="A158" s="30"/>
      <c r="B158" s="33">
        <v>227</v>
      </c>
      <c r="C158" s="5"/>
      <c r="D158" s="35" t="str">
        <f>IFERROR(VLOOKUP(C158,'정보화기기 명부'!A$2:B$138,2,FALSE),"")</f>
        <v/>
      </c>
      <c r="E158" s="5"/>
      <c r="F158" s="195" t="str">
        <f>IFERROR(VLOOKUP(C158,PC!A$1:K$436,7,FALSE)&amp;" "&amp;VLOOKUP(C158,PC!A$1:K$436,6,FALSE),"")</f>
        <v/>
      </c>
      <c r="G158" s="5"/>
      <c r="H158" s="1" t="str">
        <f t="shared" si="2"/>
        <v>10.51.90.227</v>
      </c>
      <c r="J158" s="27"/>
      <c r="K158" s="1"/>
    </row>
    <row r="159" spans="1:11" x14ac:dyDescent="0.25">
      <c r="A159" s="30"/>
      <c r="B159" s="33">
        <v>228</v>
      </c>
      <c r="C159" s="5"/>
      <c r="D159" s="35" t="str">
        <f>IFERROR(VLOOKUP(C159,'정보화기기 명부'!A$2:B$138,2,FALSE),"")</f>
        <v/>
      </c>
      <c r="E159" s="5"/>
      <c r="F159" s="195" t="str">
        <f>IFERROR(VLOOKUP(C159,PC!A$1:K$436,7,FALSE)&amp;" "&amp;VLOOKUP(C159,PC!A$1:K$436,6,FALSE),"")</f>
        <v/>
      </c>
      <c r="G159" s="5"/>
      <c r="H159" s="1" t="str">
        <f t="shared" si="2"/>
        <v>10.51.90.228</v>
      </c>
      <c r="J159" s="27"/>
      <c r="K159" s="1"/>
    </row>
    <row r="160" spans="1:11" x14ac:dyDescent="0.25">
      <c r="A160" s="30"/>
      <c r="B160" s="33">
        <v>229</v>
      </c>
      <c r="C160" s="5"/>
      <c r="D160" s="35" t="str">
        <f>IFERROR(VLOOKUP(C160,'정보화기기 명부'!A$2:B$138,2,FALSE),"")</f>
        <v/>
      </c>
      <c r="E160" s="5"/>
      <c r="F160" s="195" t="str">
        <f>IFERROR(VLOOKUP(C160,PC!A$1:K$436,7,FALSE)&amp;" "&amp;VLOOKUP(C160,PC!A$1:K$436,6,FALSE),"")</f>
        <v/>
      </c>
      <c r="G160" s="5"/>
      <c r="H160" s="1" t="str">
        <f t="shared" si="2"/>
        <v>10.51.90.229</v>
      </c>
      <c r="J160" s="27"/>
      <c r="K160" s="1"/>
    </row>
    <row r="161" spans="1:11" x14ac:dyDescent="0.25">
      <c r="A161" s="30"/>
      <c r="B161" s="34">
        <v>230</v>
      </c>
      <c r="C161" s="7"/>
      <c r="D161" s="56" t="str">
        <f>IFERROR(VLOOKUP(C161,'정보화기기 명부'!A$2:B$138,2,FALSE),"")</f>
        <v/>
      </c>
      <c r="E161" s="7"/>
      <c r="F161" s="196" t="str">
        <f>IFERROR(VLOOKUP(C161,PC!A$1:K$436,7,FALSE)&amp;" "&amp;VLOOKUP(C161,PC!A$1:K$436,6,FALSE),"")</f>
        <v/>
      </c>
      <c r="G161" s="7"/>
      <c r="H161" s="1" t="str">
        <f t="shared" si="2"/>
        <v>10.51.90.230</v>
      </c>
      <c r="J161" s="1"/>
      <c r="K161" s="1"/>
    </row>
    <row r="162" spans="1:11" x14ac:dyDescent="0.25">
      <c r="A162" s="30"/>
      <c r="B162" s="32">
        <v>231</v>
      </c>
      <c r="C162" s="290" t="s">
        <v>390</v>
      </c>
      <c r="D162" s="55" t="s">
        <v>191</v>
      </c>
      <c r="E162" s="4"/>
      <c r="F162" s="194" t="str">
        <f>IFERROR(VLOOKUP(C162,PC!A$1:K$436,7,FALSE)&amp;" "&amp;VLOOKUP(C162,PC!A$1:K$436,6,FALSE),"")</f>
        <v/>
      </c>
      <c r="G162" s="4"/>
      <c r="H162" s="1" t="str">
        <f t="shared" si="2"/>
        <v>10.51.90.231</v>
      </c>
      <c r="J162" s="27"/>
      <c r="K162" s="1"/>
    </row>
    <row r="163" spans="1:11" x14ac:dyDescent="0.25">
      <c r="A163" s="30"/>
      <c r="B163" s="33">
        <v>232</v>
      </c>
      <c r="C163" s="291" t="s">
        <v>392</v>
      </c>
      <c r="D163" s="35" t="s">
        <v>191</v>
      </c>
      <c r="E163" s="5"/>
      <c r="F163" s="195" t="str">
        <f>IFERROR(VLOOKUP(C163,PC!A$1:K$436,7,FALSE)&amp;" "&amp;VLOOKUP(C163,PC!A$1:K$436,6,FALSE),"")</f>
        <v/>
      </c>
      <c r="G163" s="5"/>
      <c r="H163" s="1" t="str">
        <f t="shared" si="2"/>
        <v>10.51.90.232</v>
      </c>
      <c r="J163" s="27"/>
      <c r="K163" s="1"/>
    </row>
    <row r="164" spans="1:11" x14ac:dyDescent="0.25">
      <c r="A164" s="30"/>
      <c r="B164" s="33">
        <v>233</v>
      </c>
      <c r="C164" s="5"/>
      <c r="D164" s="35" t="str">
        <f>IFERROR(VLOOKUP(C164,'정보화기기 명부'!A$2:B$138,2,FALSE),"")</f>
        <v/>
      </c>
      <c r="E164" s="5"/>
      <c r="F164" s="195" t="str">
        <f>IFERROR(VLOOKUP(C164,PC!A$1:K$436,7,FALSE)&amp;" "&amp;VLOOKUP(C164,PC!A$1:K$436,6,FALSE),"")</f>
        <v/>
      </c>
      <c r="G164" s="5"/>
      <c r="H164" s="1" t="str">
        <f t="shared" si="2"/>
        <v>10.51.90.233</v>
      </c>
      <c r="J164" s="27"/>
      <c r="K164" s="1"/>
    </row>
    <row r="165" spans="1:11" x14ac:dyDescent="0.25">
      <c r="A165" s="30"/>
      <c r="B165" s="33">
        <v>234</v>
      </c>
      <c r="C165" s="5"/>
      <c r="D165" s="35" t="str">
        <f>IFERROR(VLOOKUP(C165,'정보화기기 명부'!A$2:B$138,2,FALSE),"")</f>
        <v/>
      </c>
      <c r="E165" s="5"/>
      <c r="F165" s="195" t="str">
        <f>IFERROR(VLOOKUP(C165,PC!A$1:K$436,7,FALSE)&amp;" "&amp;VLOOKUP(C165,PC!A$1:K$436,6,FALSE),"")</f>
        <v/>
      </c>
      <c r="G165" s="5"/>
      <c r="H165" s="1" t="str">
        <f t="shared" si="2"/>
        <v>10.51.90.234</v>
      </c>
      <c r="J165" s="27"/>
      <c r="K165" s="1"/>
    </row>
    <row r="166" spans="1:11" x14ac:dyDescent="0.25">
      <c r="A166" s="30"/>
      <c r="B166" s="34">
        <v>235</v>
      </c>
      <c r="C166" s="7"/>
      <c r="D166" s="56" t="str">
        <f>IFERROR(VLOOKUP(C166,'정보화기기 명부'!A$2:B$138,2,FALSE),"")</f>
        <v/>
      </c>
      <c r="E166" s="7"/>
      <c r="F166" s="196" t="str">
        <f>IFERROR(VLOOKUP(C166,PC!A$1:K$436,7,FALSE)&amp;" "&amp;VLOOKUP(C166,PC!A$1:K$436,6,FALSE),"")</f>
        <v/>
      </c>
      <c r="G166" s="7"/>
      <c r="H166" s="1" t="str">
        <f t="shared" si="2"/>
        <v>10.51.90.235</v>
      </c>
      <c r="J166" s="1"/>
      <c r="K166" s="1"/>
    </row>
    <row r="167" spans="1:11" x14ac:dyDescent="0.25">
      <c r="A167" s="30"/>
      <c r="B167" s="32">
        <v>236</v>
      </c>
      <c r="C167" s="4"/>
      <c r="D167" s="55" t="str">
        <f>IFERROR(VLOOKUP(C167,'정보화기기 명부'!A$2:B$138,2,FALSE),"")</f>
        <v/>
      </c>
      <c r="E167" s="4"/>
      <c r="F167" s="194" t="str">
        <f>IFERROR(VLOOKUP(C167,PC!A$1:K$436,7,FALSE)&amp;" "&amp;VLOOKUP(C167,PC!A$1:K$436,6,FALSE),"")</f>
        <v/>
      </c>
      <c r="G167" s="4"/>
      <c r="H167" s="1" t="str">
        <f t="shared" si="2"/>
        <v>10.51.90.236</v>
      </c>
      <c r="J167" s="27"/>
      <c r="K167" s="1"/>
    </row>
    <row r="168" spans="1:11" x14ac:dyDescent="0.25">
      <c r="A168" s="30"/>
      <c r="B168" s="33">
        <v>237</v>
      </c>
      <c r="C168" s="5"/>
      <c r="D168" s="35" t="str">
        <f>IFERROR(VLOOKUP(C168,'정보화기기 명부'!A$2:B$138,2,FALSE),"")</f>
        <v/>
      </c>
      <c r="E168" s="5"/>
      <c r="F168" s="195" t="str">
        <f>IFERROR(VLOOKUP(C168,PC!A$1:K$436,7,FALSE)&amp;" "&amp;VLOOKUP(C168,PC!A$1:K$436,6,FALSE),"")</f>
        <v/>
      </c>
      <c r="G168" s="5"/>
      <c r="H168" s="1" t="str">
        <f t="shared" si="2"/>
        <v>10.51.90.237</v>
      </c>
      <c r="J168" s="27"/>
      <c r="K168" s="1"/>
    </row>
    <row r="169" spans="1:11" x14ac:dyDescent="0.25">
      <c r="A169" s="30"/>
      <c r="B169" s="33">
        <v>238</v>
      </c>
      <c r="C169" s="5"/>
      <c r="D169" s="35" t="str">
        <f>IFERROR(VLOOKUP(C169,'정보화기기 명부'!A$2:B$138,2,FALSE),"")</f>
        <v/>
      </c>
      <c r="E169" s="5"/>
      <c r="F169" s="195" t="str">
        <f>IFERROR(VLOOKUP(C169,PC!A$1:K$436,7,FALSE)&amp;" "&amp;VLOOKUP(C169,PC!A$1:K$436,6,FALSE),"")</f>
        <v/>
      </c>
      <c r="G169" s="5"/>
      <c r="H169" s="1" t="str">
        <f t="shared" si="2"/>
        <v>10.51.90.238</v>
      </c>
      <c r="J169" s="27"/>
      <c r="K169" s="1"/>
    </row>
    <row r="170" spans="1:11" x14ac:dyDescent="0.25">
      <c r="A170" s="30"/>
      <c r="B170" s="33">
        <v>239</v>
      </c>
      <c r="C170" s="5"/>
      <c r="D170" s="35" t="str">
        <f>IFERROR(VLOOKUP(C170,'정보화기기 명부'!A$2:B$138,2,FALSE),"")</f>
        <v/>
      </c>
      <c r="E170" s="5"/>
      <c r="F170" s="195" t="str">
        <f>IFERROR(VLOOKUP(C170,PC!A$1:K$436,7,FALSE)&amp;" "&amp;VLOOKUP(C170,PC!A$1:K$436,6,FALSE),"")</f>
        <v/>
      </c>
      <c r="G170" s="5"/>
      <c r="H170" s="1" t="str">
        <f t="shared" si="2"/>
        <v>10.51.90.239</v>
      </c>
      <c r="J170" s="27"/>
      <c r="K170" s="1"/>
    </row>
    <row r="171" spans="1:11" x14ac:dyDescent="0.25">
      <c r="A171" s="30"/>
      <c r="B171" s="34">
        <v>240</v>
      </c>
      <c r="C171" s="7"/>
      <c r="D171" s="56" t="str">
        <f>IFERROR(VLOOKUP(C171,'정보화기기 명부'!A$2:B$138,2,FALSE),"")</f>
        <v/>
      </c>
      <c r="E171" s="7"/>
      <c r="F171" s="196" t="str">
        <f>IFERROR(VLOOKUP(C171,PC!A$1:K$436,7,FALSE)&amp;" "&amp;VLOOKUP(C171,PC!A$1:K$436,6,FALSE),"")</f>
        <v/>
      </c>
      <c r="G171" s="7"/>
      <c r="H171" s="1" t="str">
        <f t="shared" si="2"/>
        <v>10.51.90.240</v>
      </c>
      <c r="J171" s="1"/>
      <c r="K171" s="1"/>
    </row>
    <row r="172" spans="1:11" x14ac:dyDescent="0.25">
      <c r="A172" s="30"/>
      <c r="B172" s="32">
        <v>241</v>
      </c>
      <c r="C172" s="4"/>
      <c r="D172" s="55" t="str">
        <f>IFERROR(VLOOKUP(C172,'정보화기기 명부'!A$2:B$138,2,FALSE),"")</f>
        <v/>
      </c>
      <c r="E172" s="4"/>
      <c r="F172" s="194" t="str">
        <f>IFERROR(VLOOKUP(C172,PC!A$1:K$436,7,FALSE)&amp;" "&amp;VLOOKUP(C172,PC!A$1:K$436,6,FALSE),"")</f>
        <v/>
      </c>
      <c r="G172" s="4"/>
      <c r="H172" s="1" t="str">
        <f t="shared" si="2"/>
        <v>10.51.90.241</v>
      </c>
      <c r="J172" s="27"/>
      <c r="K172" s="1"/>
    </row>
    <row r="173" spans="1:11" x14ac:dyDescent="0.25">
      <c r="A173" s="31"/>
      <c r="B173" s="33">
        <v>242</v>
      </c>
      <c r="C173" s="7"/>
      <c r="D173" s="56" t="str">
        <f>IFERROR(VLOOKUP(C173,'정보화기기 명부'!A$2:B$138,2,FALSE),"")</f>
        <v/>
      </c>
      <c r="E173" s="7"/>
      <c r="F173" s="196" t="str">
        <f>IFERROR(VLOOKUP(C173,PC!A$1:K$436,7,FALSE)&amp;" "&amp;VLOOKUP(C173,PC!A$1:K$436,6,FALSE),"")</f>
        <v/>
      </c>
      <c r="G173" s="7"/>
      <c r="H173" s="1" t="str">
        <f t="shared" si="2"/>
        <v>10.51.90.242</v>
      </c>
      <c r="J173" s="27"/>
      <c r="K173" s="1"/>
    </row>
    <row r="174" spans="1:11" x14ac:dyDescent="0.25">
      <c r="A174" s="86" t="s">
        <v>624</v>
      </c>
      <c r="B174" s="32">
        <v>1</v>
      </c>
      <c r="C174" s="4" t="s">
        <v>310</v>
      </c>
      <c r="D174" s="55" t="str">
        <f>IFERROR(VLOOKUP(C174,'정보화기기 명부'!A$2:B$138,2,FALSE),"")</f>
        <v/>
      </c>
      <c r="E174" s="4" t="str">
        <f>IFERROR(VLOOKUP(C174,PC!A$1:K$436,2,FALSE),"")</f>
        <v/>
      </c>
      <c r="F174" s="194" t="str">
        <f>IFERROR(VLOOKUP(C174,PC!A$1:K$436,7,FALSE)&amp;" "&amp;VLOOKUP(C174,PC!A$1:K$436,6,FALSE),"")</f>
        <v/>
      </c>
      <c r="G174" s="4" t="str">
        <f>IFERROR(VLOOKUP(C174,PC!$A$1:$K$436,3,FALSE),"")</f>
        <v/>
      </c>
      <c r="H174" s="1" t="str">
        <f>$A$174&amp;B174</f>
        <v>10.51.91.1</v>
      </c>
      <c r="J174" s="27"/>
      <c r="K174" s="1"/>
    </row>
    <row r="175" spans="1:11" x14ac:dyDescent="0.25">
      <c r="A175" s="101"/>
      <c r="B175" s="109">
        <v>2</v>
      </c>
      <c r="C175" s="111" t="s">
        <v>310</v>
      </c>
      <c r="D175" s="110" t="str">
        <f>IFERROR(VLOOKUP(C175,'정보화기기 명부'!A$2:B$138,2,FALSE),"")</f>
        <v/>
      </c>
      <c r="E175" s="111" t="str">
        <f>IFERROR(VLOOKUP(C175,PC!A$1:K$436,2,FALSE),"")</f>
        <v/>
      </c>
      <c r="F175" s="197" t="str">
        <f>IFERROR(VLOOKUP(C175,PC!A$1:K$436,7,FALSE)&amp;" "&amp;VLOOKUP(C175,PC!A$1:K$436,6,FALSE),"")</f>
        <v/>
      </c>
      <c r="G175" s="111" t="str">
        <f>IFERROR(VLOOKUP(C175,PC!$A$1:$K$436,3,FALSE),"")</f>
        <v/>
      </c>
      <c r="H175" s="1" t="str">
        <f t="shared" ref="H175:H238" si="3">$A$174&amp;B175</f>
        <v>10.51.91.2</v>
      </c>
      <c r="J175" s="27"/>
      <c r="K175" s="1"/>
    </row>
    <row r="176" spans="1:11" x14ac:dyDescent="0.25">
      <c r="A176" s="101"/>
      <c r="B176" s="109">
        <v>3</v>
      </c>
      <c r="C176" s="111" t="s">
        <v>310</v>
      </c>
      <c r="D176" s="110" t="str">
        <f>IFERROR(VLOOKUP(C176,'정보화기기 명부'!A$2:B$138,2,FALSE),"")</f>
        <v/>
      </c>
      <c r="E176" s="111" t="str">
        <f>IFERROR(VLOOKUP(C176,PC!A$1:K$436,2,FALSE),"")</f>
        <v/>
      </c>
      <c r="F176" s="197" t="str">
        <f>IFERROR(VLOOKUP(C176,PC!A$1:K$436,7,FALSE)&amp;" "&amp;VLOOKUP(C176,PC!A$1:K$436,6,FALSE),"")</f>
        <v/>
      </c>
      <c r="G176" s="111" t="str">
        <f>IFERROR(VLOOKUP(C176,PC!$A$1:$K$436,3,FALSE),"")</f>
        <v/>
      </c>
      <c r="H176" s="1" t="str">
        <f t="shared" si="3"/>
        <v>10.51.91.3</v>
      </c>
      <c r="J176" s="27"/>
      <c r="K176" s="1"/>
    </row>
    <row r="177" spans="1:11" x14ac:dyDescent="0.25">
      <c r="A177" s="101"/>
      <c r="B177" s="109">
        <v>4</v>
      </c>
      <c r="C177" s="111" t="s">
        <v>310</v>
      </c>
      <c r="D177" s="110" t="str">
        <f>IFERROR(VLOOKUP(C177,'정보화기기 명부'!A$2:B$138,2,FALSE),"")</f>
        <v/>
      </c>
      <c r="E177" s="111" t="str">
        <f>IFERROR(VLOOKUP(C177,PC!A$1:K$436,2,FALSE),"")</f>
        <v/>
      </c>
      <c r="F177" s="197" t="str">
        <f>IFERROR(VLOOKUP(C177,PC!A$1:K$436,7,FALSE)&amp;" "&amp;VLOOKUP(C177,PC!A$1:K$436,6,FALSE),"")</f>
        <v/>
      </c>
      <c r="G177" s="111" t="str">
        <f>IFERROR(VLOOKUP(C177,PC!$A$1:$K$436,3,FALSE),"")</f>
        <v/>
      </c>
      <c r="H177" s="1" t="str">
        <f t="shared" si="3"/>
        <v>10.51.91.4</v>
      </c>
      <c r="J177" s="27"/>
      <c r="K177" s="1"/>
    </row>
    <row r="178" spans="1:11" x14ac:dyDescent="0.25">
      <c r="A178" s="101"/>
      <c r="B178" s="109">
        <v>5</v>
      </c>
      <c r="C178" s="111" t="s">
        <v>310</v>
      </c>
      <c r="D178" s="110" t="str">
        <f>IFERROR(VLOOKUP(C178,'정보화기기 명부'!A$2:B$138,2,FALSE),"")</f>
        <v/>
      </c>
      <c r="E178" s="111" t="str">
        <f>IFERROR(VLOOKUP(C178,PC!A$1:K$436,2,FALSE),"")</f>
        <v/>
      </c>
      <c r="F178" s="197" t="str">
        <f>IFERROR(VLOOKUP(C178,PC!A$1:K$436,7,FALSE)&amp;" "&amp;VLOOKUP(C178,PC!A$1:K$436,6,FALSE),"")</f>
        <v/>
      </c>
      <c r="G178" s="111" t="str">
        <f>IFERROR(VLOOKUP(C178,PC!$A$1:$K$436,3,FALSE),"")</f>
        <v/>
      </c>
      <c r="H178" s="1" t="str">
        <f t="shared" si="3"/>
        <v>10.51.91.5</v>
      </c>
      <c r="J178" s="27"/>
      <c r="K178" s="1"/>
    </row>
    <row r="179" spans="1:11" x14ac:dyDescent="0.25">
      <c r="A179" s="101"/>
      <c r="B179" s="109">
        <v>6</v>
      </c>
      <c r="C179" s="111" t="s">
        <v>310</v>
      </c>
      <c r="D179" s="110" t="str">
        <f>IFERROR(VLOOKUP(C179,'정보화기기 명부'!A$2:B$138,2,FALSE),"")</f>
        <v/>
      </c>
      <c r="E179" s="111" t="str">
        <f>IFERROR(VLOOKUP(C179,PC!A$1:K$436,2,FALSE),"")</f>
        <v/>
      </c>
      <c r="F179" s="197" t="str">
        <f>IFERROR(VLOOKUP(C179,PC!A$1:K$436,7,FALSE)&amp;" "&amp;VLOOKUP(C179,PC!A$1:K$436,6,FALSE),"")</f>
        <v/>
      </c>
      <c r="G179" s="111" t="str">
        <f>IFERROR(VLOOKUP(C179,PC!$A$1:$K$436,3,FALSE),"")</f>
        <v/>
      </c>
      <c r="H179" s="1" t="str">
        <f t="shared" si="3"/>
        <v>10.51.91.6</v>
      </c>
      <c r="J179" s="27"/>
      <c r="K179" s="1"/>
    </row>
    <row r="180" spans="1:11" x14ac:dyDescent="0.25">
      <c r="A180" s="101"/>
      <c r="B180" s="109">
        <v>7</v>
      </c>
      <c r="C180" s="111" t="s">
        <v>310</v>
      </c>
      <c r="D180" s="110" t="str">
        <f>IFERROR(VLOOKUP(C180,'정보화기기 명부'!A$2:B$138,2,FALSE),"")</f>
        <v/>
      </c>
      <c r="E180" s="111" t="str">
        <f>IFERROR(VLOOKUP(C180,PC!A$1:K$436,2,FALSE),"")</f>
        <v/>
      </c>
      <c r="F180" s="197" t="str">
        <f>IFERROR(VLOOKUP(C180,PC!A$1:K$436,7,FALSE)&amp;" "&amp;VLOOKUP(C180,PC!A$1:K$436,6,FALSE),"")</f>
        <v/>
      </c>
      <c r="G180" s="111" t="str">
        <f>IFERROR(VLOOKUP(C180,PC!$A$1:$K$436,3,FALSE),"")</f>
        <v/>
      </c>
      <c r="H180" s="1" t="str">
        <f t="shared" si="3"/>
        <v>10.51.91.7</v>
      </c>
      <c r="J180" s="27"/>
      <c r="K180" s="1"/>
    </row>
    <row r="181" spans="1:11" x14ac:dyDescent="0.25">
      <c r="A181" s="101"/>
      <c r="B181" s="109">
        <v>8</v>
      </c>
      <c r="C181" s="111" t="s">
        <v>310</v>
      </c>
      <c r="D181" s="110" t="str">
        <f>IFERROR(VLOOKUP(C181,'정보화기기 명부'!A$2:B$138,2,FALSE),"")</f>
        <v/>
      </c>
      <c r="E181" s="111" t="str">
        <f>IFERROR(VLOOKUP(C181,PC!A$1:K$436,2,FALSE),"")</f>
        <v/>
      </c>
      <c r="F181" s="197" t="str">
        <f>IFERROR(VLOOKUP(C181,PC!A$1:K$436,7,FALSE)&amp;" "&amp;VLOOKUP(C181,PC!A$1:K$436,6,FALSE),"")</f>
        <v/>
      </c>
      <c r="G181" s="111" t="str">
        <f>IFERROR(VLOOKUP(C181,PC!$A$1:$K$436,3,FALSE),"")</f>
        <v/>
      </c>
      <c r="H181" s="1" t="str">
        <f t="shared" si="3"/>
        <v>10.51.91.8</v>
      </c>
      <c r="J181" s="27"/>
      <c r="K181" s="1"/>
    </row>
    <row r="182" spans="1:11" x14ac:dyDescent="0.25">
      <c r="A182" s="101"/>
      <c r="B182" s="109">
        <v>9</v>
      </c>
      <c r="C182" s="111" t="s">
        <v>34</v>
      </c>
      <c r="D182" s="110" t="str">
        <f>IFERROR(VLOOKUP(C182,'정보화기기 명부'!A$2:B$138,2,FALSE),"")</f>
        <v>야구부합숙소</v>
      </c>
      <c r="E182" s="111" t="str">
        <f>IFERROR(VLOOKUP(C182,PC!A$1:K$436,2,FALSE),"")</f>
        <v>20191224-0812</v>
      </c>
      <c r="F182" s="197" t="str">
        <f>IFERROR(VLOOKUP(C182,PC!A$1:K$436,7,FALSE)&amp;" "&amp;VLOOKUP(C182,PC!A$1:K$436,6,FALSE),"")</f>
        <v>엘지 CN/15UG470-MP5SKN</v>
      </c>
      <c r="G182" s="111" t="str">
        <f>IFERROR(VLOOKUP(C182,PC!$A$1:$K$436,3,FALSE),"")</f>
        <v>노트북</v>
      </c>
      <c r="H182" s="1" t="str">
        <f t="shared" si="3"/>
        <v>10.51.91.9</v>
      </c>
      <c r="J182" s="27"/>
      <c r="K182" s="1"/>
    </row>
    <row r="183" spans="1:11" x14ac:dyDescent="0.25">
      <c r="A183" s="101"/>
      <c r="B183" s="109">
        <v>10</v>
      </c>
      <c r="C183" s="111" t="s">
        <v>53</v>
      </c>
      <c r="D183" s="110" t="str">
        <f>IFERROR(VLOOKUP(C183,'정보화기기 명부'!A$2:B$138,2,FALSE),"")</f>
        <v>야구부합숙소</v>
      </c>
      <c r="E183" s="111" t="str">
        <f>IFERROR(VLOOKUP(C183,PC!A$1:K$436,2,FALSE),"")</f>
        <v>20191224-0814</v>
      </c>
      <c r="F183" s="197" t="str">
        <f>IFERROR(VLOOKUP(C183,PC!A$1:K$436,7,FALSE)&amp;" "&amp;VLOOKUP(C183,PC!A$1:K$436,6,FALSE),"")</f>
        <v>엘지 0</v>
      </c>
      <c r="G183" s="111" t="str">
        <f>IFERROR(VLOOKUP(C183,PC!$A$1:$K$436,3,FALSE),"")</f>
        <v>노트북</v>
      </c>
      <c r="H183" s="1" t="str">
        <f t="shared" si="3"/>
        <v>10.51.91.10</v>
      </c>
      <c r="J183" s="27"/>
      <c r="K183" s="1"/>
    </row>
    <row r="184" spans="1:11" x14ac:dyDescent="0.25">
      <c r="A184" s="101"/>
      <c r="B184" s="109">
        <v>11</v>
      </c>
      <c r="C184" s="111" t="s">
        <v>310</v>
      </c>
      <c r="D184" s="110" t="str">
        <f>IFERROR(VLOOKUP(C184,'정보화기기 명부'!A$2:B$138,2,FALSE),"")</f>
        <v/>
      </c>
      <c r="E184" s="111" t="str">
        <f>IFERROR(VLOOKUP(C184,PC!A$1:K$436,2,FALSE),"")</f>
        <v/>
      </c>
      <c r="F184" s="197" t="str">
        <f>IFERROR(VLOOKUP(C184,PC!A$1:K$436,7,FALSE)&amp;" "&amp;VLOOKUP(C184,PC!A$1:K$436,6,FALSE),"")</f>
        <v/>
      </c>
      <c r="G184" s="111" t="str">
        <f>IFERROR(VLOOKUP(C184,PC!$A$1:$K$436,3,FALSE),"")</f>
        <v/>
      </c>
      <c r="H184" s="1" t="str">
        <f t="shared" si="3"/>
        <v>10.51.91.11</v>
      </c>
      <c r="J184" s="27"/>
      <c r="K184" s="1"/>
    </row>
    <row r="185" spans="1:11" x14ac:dyDescent="0.25">
      <c r="A185" s="101"/>
      <c r="B185" s="109">
        <v>12</v>
      </c>
      <c r="C185" s="307" t="s">
        <v>413</v>
      </c>
      <c r="D185" s="308" t="str">
        <f>IFERROR(VLOOKUP(C185,'정보화기기 명부'!A$2:B$138,2,FALSE),"")</f>
        <v/>
      </c>
      <c r="E185" s="307" t="str">
        <f>IFERROR(VLOOKUP(C185,PC!A$1:K$436,2,FALSE),"")</f>
        <v>20170404-0738</v>
      </c>
      <c r="F185" s="309" t="str">
        <f>IFERROR(VLOOKUP(C185,PC!A$1:K$436,7,FALSE)&amp;" "&amp;VLOOKUP(C185,PC!A$1:K$436,6,FALSE),"")</f>
        <v>삼성 NT500R5L-M01G</v>
      </c>
      <c r="G185" s="307" t="str">
        <f>IFERROR(VLOOKUP(C185,PC!$A$1:$K$436,3,FALSE),"")</f>
        <v>노트북</v>
      </c>
      <c r="H185" s="1" t="str">
        <f t="shared" si="3"/>
        <v>10.51.91.12</v>
      </c>
      <c r="J185" s="27"/>
      <c r="K185" s="1"/>
    </row>
    <row r="186" spans="1:11" x14ac:dyDescent="0.25">
      <c r="B186" s="109">
        <v>13</v>
      </c>
      <c r="C186" s="307" t="s">
        <v>413</v>
      </c>
      <c r="D186" s="308" t="str">
        <f>IFERROR(VLOOKUP(C186,'정보화기기 명부'!A$2:B$138,2,FALSE),"")</f>
        <v/>
      </c>
      <c r="E186" s="307" t="str">
        <f>IFERROR(VLOOKUP(C186,PC!A$1:K$436,2,FALSE),"")</f>
        <v>20170404-0738</v>
      </c>
      <c r="F186" s="309" t="str">
        <f>IFERROR(VLOOKUP(C186,PC!A$1:K$436,7,FALSE)&amp;" "&amp;VLOOKUP(C186,PC!A$1:K$436,6,FALSE),"")</f>
        <v>삼성 NT500R5L-M01G</v>
      </c>
      <c r="G186" s="307" t="str">
        <f>IFERROR(VLOOKUP(C186,PC!$A$1:$K$436,3,FALSE),"")</f>
        <v>노트북</v>
      </c>
      <c r="H186" s="1" t="str">
        <f t="shared" si="3"/>
        <v>10.51.91.13</v>
      </c>
    </row>
    <row r="187" spans="1:11" x14ac:dyDescent="0.25">
      <c r="B187" s="109">
        <v>14</v>
      </c>
      <c r="C187" s="111" t="s">
        <v>63</v>
      </c>
      <c r="D187" s="110" t="str">
        <f>IFERROR(VLOOKUP(C187,'정보화기기 명부'!A$2:B$138,2,FALSE),"")</f>
        <v>야구부합숙소</v>
      </c>
      <c r="E187" s="111" t="str">
        <f>IFERROR(VLOOKUP(C187,PC!A$1:K$436,2,FALSE),"")</f>
        <v>20180102-0755</v>
      </c>
      <c r="F187" s="197" t="str">
        <f>IFERROR(VLOOKUP(C187,PC!A$1:K$436,7,FALSE)&amp;" "&amp;VLOOKUP(C187,PC!A$1:K$436,6,FALSE),"")</f>
        <v>삼성 NT300E5L-K51G</v>
      </c>
      <c r="G187" s="111" t="str">
        <f>IFERROR(VLOOKUP(C187,PC!$A$1:$K$436,3,FALSE),"")</f>
        <v>노트북</v>
      </c>
      <c r="H187" s="1" t="str">
        <f t="shared" si="3"/>
        <v>10.51.91.14</v>
      </c>
    </row>
    <row r="188" spans="1:11" x14ac:dyDescent="0.25">
      <c r="A188" s="101"/>
      <c r="B188" s="33">
        <v>15</v>
      </c>
      <c r="C188" s="5" t="s">
        <v>32</v>
      </c>
      <c r="D188" s="35" t="str">
        <f>IFERROR(VLOOKUP(C188,'정보화기기 명부'!A$2:B$138,2,FALSE),"")</f>
        <v>급식실</v>
      </c>
      <c r="E188" s="5" t="str">
        <f>IFERROR(VLOOKUP(C188,PC!A$1:K$436,2,FALSE),"")</f>
        <v>20150511-0676</v>
      </c>
      <c r="F188" s="195" t="str">
        <f>IFERROR(VLOOKUP(C188,PC!A$1:K$436,7,FALSE)&amp;" "&amp;VLOOKUP(C188,PC!A$1:K$436,6,FALSE),"")</f>
        <v>삼성 NT500P7C-S04G</v>
      </c>
      <c r="G188" s="5" t="str">
        <f>IFERROR(VLOOKUP(C188,PC!$A$1:$K$436,3,FALSE),"")</f>
        <v>노트북</v>
      </c>
      <c r="H188" s="1" t="str">
        <f t="shared" si="3"/>
        <v>10.51.91.15</v>
      </c>
      <c r="J188" s="27"/>
      <c r="K188" s="1"/>
    </row>
    <row r="189" spans="1:11" x14ac:dyDescent="0.25">
      <c r="A189" s="101"/>
      <c r="B189" s="120">
        <v>16</v>
      </c>
      <c r="C189" s="122" t="s">
        <v>993</v>
      </c>
      <c r="D189" s="35" t="str">
        <f>IFERROR(VLOOKUP(C189,'정보화기기 명부'!A$2:B$138,2,FALSE),"")</f>
        <v>급식실</v>
      </c>
      <c r="E189" s="5" t="str">
        <f>IFERROR(VLOOKUP(C189,PC!A$1:K$436,2,FALSE),"")</f>
        <v>20150511-0677</v>
      </c>
      <c r="F189" s="195" t="str">
        <f>IFERROR(VLOOKUP(C189,PC!A$1:K$436,7,FALSE)&amp;" "&amp;VLOOKUP(C189,PC!A$1:K$436,6,FALSE),"")</f>
        <v>삼성 NT500P7C-S04G</v>
      </c>
      <c r="G189" s="5" t="str">
        <f>IFERROR(VLOOKUP(C189,PC!$A$1:$K$436,3,FALSE),"")</f>
        <v>노트북</v>
      </c>
      <c r="H189" s="1" t="str">
        <f t="shared" si="3"/>
        <v>10.51.91.16</v>
      </c>
      <c r="J189" s="27"/>
      <c r="K189" s="1"/>
    </row>
    <row r="190" spans="1:11" x14ac:dyDescent="0.25">
      <c r="A190" s="101"/>
      <c r="B190" s="120">
        <v>17</v>
      </c>
      <c r="C190" s="122" t="s">
        <v>940</v>
      </c>
      <c r="D190" s="35" t="str">
        <f>IFERROR(VLOOKUP(C190,'정보화기기 명부'!A$2:B$138,2,FALSE),"")</f>
        <v>급식실</v>
      </c>
      <c r="E190" s="5" t="str">
        <f>IFERROR(VLOOKUP(C190,PC!A$1:K$436,2,FALSE),"")</f>
        <v>20150223-0667</v>
      </c>
      <c r="F190" s="195" t="str">
        <f>IFERROR(VLOOKUP(C190,PC!A$1:K$436,7,FALSE)&amp;" "&amp;VLOOKUP(C190,PC!A$1:K$436,6,FALSE),"")</f>
        <v>삼성 NT550P7C-S04G</v>
      </c>
      <c r="G190" s="5" t="str">
        <f>IFERROR(VLOOKUP(C190,PC!$A$1:$K$436,3,FALSE),"")</f>
        <v>노트북</v>
      </c>
      <c r="H190" s="1" t="str">
        <f t="shared" si="3"/>
        <v>10.51.91.17</v>
      </c>
      <c r="J190" s="27"/>
      <c r="K190" s="1"/>
    </row>
    <row r="191" spans="1:11" x14ac:dyDescent="0.25">
      <c r="A191" s="101"/>
      <c r="B191" s="120">
        <v>18</v>
      </c>
      <c r="C191" s="122" t="s">
        <v>310</v>
      </c>
      <c r="D191" s="35" t="str">
        <f>IFERROR(VLOOKUP(C191,'정보화기기 명부'!A$2:B$138,2,FALSE),"")</f>
        <v/>
      </c>
      <c r="E191" s="5" t="str">
        <f>IFERROR(VLOOKUP(C191,PC!A$1:K$436,2,FALSE),"")</f>
        <v/>
      </c>
      <c r="F191" s="195" t="str">
        <f>IFERROR(VLOOKUP(C191,PC!A$1:K$436,7,FALSE)&amp;" "&amp;VLOOKUP(C191,PC!A$1:K$436,6,FALSE),"")</f>
        <v/>
      </c>
      <c r="G191" s="5" t="str">
        <f>IFERROR(VLOOKUP(C191,PC!$A$1:$K$436,3,FALSE),"")</f>
        <v/>
      </c>
      <c r="H191" s="1" t="str">
        <f t="shared" si="3"/>
        <v>10.51.91.18</v>
      </c>
      <c r="J191" s="27"/>
      <c r="K191" s="1"/>
    </row>
    <row r="192" spans="1:11" x14ac:dyDescent="0.25">
      <c r="A192" s="101"/>
      <c r="B192" s="120">
        <v>19</v>
      </c>
      <c r="C192" s="293" t="s">
        <v>1201</v>
      </c>
      <c r="D192" s="294" t="str">
        <f>IFERROR(VLOOKUP(C192,'정보화기기 명부'!A$2:B$138,2,FALSE),"")</f>
        <v>교육과정부</v>
      </c>
      <c r="E192" s="295" t="str">
        <f>IFERROR(VLOOKUP(C192,PC!A$1:K$436,2,FALSE),"")</f>
        <v>20170404-0742</v>
      </c>
      <c r="F192" s="296" t="str">
        <f>IFERROR(VLOOKUP(C192,PC!A$1:K$436,7,FALSE)&amp;" "&amp;VLOOKUP(C192,PC!A$1:K$436,6,FALSE),"")</f>
        <v>삼성 NT500R5L-M01G</v>
      </c>
      <c r="G192" s="295" t="str">
        <f>IFERROR(VLOOKUP(C192,PC!$A$1:$K$436,3,FALSE),"")</f>
        <v>노트북</v>
      </c>
      <c r="H192" s="1" t="str">
        <f t="shared" si="3"/>
        <v>10.51.91.19</v>
      </c>
      <c r="J192" s="27"/>
      <c r="K192" s="1"/>
    </row>
    <row r="193" spans="1:11" x14ac:dyDescent="0.25">
      <c r="A193" s="101"/>
      <c r="B193" s="120">
        <v>20</v>
      </c>
      <c r="C193" s="122" t="s">
        <v>310</v>
      </c>
      <c r="D193" s="121" t="str">
        <f>IFERROR(VLOOKUP(C193,'정보화기기 명부'!A$2:B$138,2,FALSE),"")</f>
        <v/>
      </c>
      <c r="E193" s="5" t="str">
        <f>IFERROR(VLOOKUP(C193,PC!A$1:K$436,2,FALSE),"")</f>
        <v/>
      </c>
      <c r="F193" s="195" t="str">
        <f>IFERROR(VLOOKUP(C193,PC!A$1:K$436,7,FALSE)&amp;" "&amp;VLOOKUP(C193,PC!A$1:K$436,6,FALSE),"")</f>
        <v/>
      </c>
      <c r="G193" s="122"/>
      <c r="H193" s="1" t="str">
        <f t="shared" si="3"/>
        <v>10.51.91.20</v>
      </c>
      <c r="J193" s="27"/>
      <c r="K193" s="1"/>
    </row>
    <row r="194" spans="1:11" x14ac:dyDescent="0.25">
      <c r="A194" s="101"/>
      <c r="B194" s="120">
        <v>21</v>
      </c>
      <c r="C194" s="122" t="s">
        <v>310</v>
      </c>
      <c r="D194" s="121" t="str">
        <f>IFERROR(VLOOKUP(C194,'정보화기기 명부'!A$2:B$138,2,FALSE),"")</f>
        <v/>
      </c>
      <c r="E194" s="5" t="str">
        <f>IFERROR(VLOOKUP(C194,PC!A$1:K$436,2,FALSE),"")</f>
        <v/>
      </c>
      <c r="F194" s="195" t="str">
        <f>IFERROR(VLOOKUP(C194,PC!A$1:K$436,7,FALSE)&amp;" "&amp;VLOOKUP(C194,PC!A$1:K$436,6,FALSE),"")</f>
        <v/>
      </c>
      <c r="G194" s="122"/>
      <c r="H194" s="1" t="str">
        <f t="shared" si="3"/>
        <v>10.51.91.21</v>
      </c>
      <c r="J194" s="27"/>
      <c r="K194" s="1"/>
    </row>
    <row r="195" spans="1:11" x14ac:dyDescent="0.25">
      <c r="A195" s="101"/>
      <c r="B195" s="120">
        <v>22</v>
      </c>
      <c r="C195" s="122" t="s">
        <v>310</v>
      </c>
      <c r="D195" s="121" t="str">
        <f>IFERROR(VLOOKUP(C195,'정보화기기 명부'!A$2:B$138,2,FALSE),"")</f>
        <v/>
      </c>
      <c r="E195" s="5" t="str">
        <f>IFERROR(VLOOKUP(C195,PC!A$1:K$436,2,FALSE),"")</f>
        <v/>
      </c>
      <c r="F195" s="195" t="str">
        <f>IFERROR(VLOOKUP(C195,PC!A$1:K$436,7,FALSE)&amp;" "&amp;VLOOKUP(C195,PC!A$1:K$436,6,FALSE),"")</f>
        <v/>
      </c>
      <c r="G195" s="122"/>
      <c r="H195" s="1" t="str">
        <f t="shared" si="3"/>
        <v>10.51.91.22</v>
      </c>
      <c r="J195" s="27"/>
      <c r="K195" s="1"/>
    </row>
    <row r="196" spans="1:11" x14ac:dyDescent="0.25">
      <c r="A196" s="101"/>
      <c r="B196" s="120">
        <v>23</v>
      </c>
      <c r="C196" s="122" t="s">
        <v>310</v>
      </c>
      <c r="D196" s="121" t="str">
        <f>IFERROR(VLOOKUP(C196,'정보화기기 명부'!A$2:B$138,2,FALSE),"")</f>
        <v/>
      </c>
      <c r="E196" s="5" t="str">
        <f>IFERROR(VLOOKUP(C196,PC!A$1:K$436,2,FALSE),"")</f>
        <v/>
      </c>
      <c r="F196" s="195" t="str">
        <f>IFERROR(VLOOKUP(C196,PC!A$1:K$436,7,FALSE)&amp;" "&amp;VLOOKUP(C196,PC!A$1:K$436,6,FALSE),"")</f>
        <v/>
      </c>
      <c r="G196" s="122"/>
      <c r="H196" s="1" t="str">
        <f t="shared" si="3"/>
        <v>10.51.91.23</v>
      </c>
      <c r="J196" s="27"/>
      <c r="K196" s="1"/>
    </row>
    <row r="197" spans="1:11" x14ac:dyDescent="0.25">
      <c r="A197" s="101"/>
      <c r="B197" s="120">
        <v>24</v>
      </c>
      <c r="C197" s="122" t="s">
        <v>310</v>
      </c>
      <c r="D197" s="121" t="str">
        <f>IFERROR(VLOOKUP(C197,'정보화기기 명부'!A$2:B$138,2,FALSE),"")</f>
        <v/>
      </c>
      <c r="E197" s="5" t="str">
        <f>IFERROR(VLOOKUP(C197,PC!A$1:K$436,2,FALSE),"")</f>
        <v/>
      </c>
      <c r="F197" s="195" t="str">
        <f>IFERROR(VLOOKUP(C197,PC!A$1:K$436,7,FALSE)&amp;" "&amp;VLOOKUP(C197,PC!A$1:K$436,6,FALSE),"")</f>
        <v/>
      </c>
      <c r="G197" s="122"/>
      <c r="H197" s="1" t="str">
        <f t="shared" si="3"/>
        <v>10.51.91.24</v>
      </c>
      <c r="J197" s="27"/>
      <c r="K197" s="1"/>
    </row>
    <row r="198" spans="1:11" x14ac:dyDescent="0.25">
      <c r="A198" s="101"/>
      <c r="B198" s="120">
        <v>25</v>
      </c>
      <c r="C198" s="122" t="s">
        <v>310</v>
      </c>
      <c r="D198" s="121" t="str">
        <f>IFERROR(VLOOKUP(C198,'정보화기기 명부'!A$2:B$138,2,FALSE),"")</f>
        <v/>
      </c>
      <c r="E198" s="5" t="str">
        <f>IFERROR(VLOOKUP(C198,PC!A$1:K$436,2,FALSE),"")</f>
        <v/>
      </c>
      <c r="F198" s="195" t="str">
        <f>IFERROR(VLOOKUP(C198,PC!A$1:K$436,7,FALSE)&amp;" "&amp;VLOOKUP(C198,PC!A$1:K$436,6,FALSE),"")</f>
        <v/>
      </c>
      <c r="G198" s="122"/>
      <c r="H198" s="1" t="str">
        <f t="shared" si="3"/>
        <v>10.51.91.25</v>
      </c>
      <c r="J198" s="27"/>
      <c r="K198" s="1"/>
    </row>
    <row r="199" spans="1:11" x14ac:dyDescent="0.25">
      <c r="A199" s="101"/>
      <c r="B199" s="120">
        <v>26</v>
      </c>
      <c r="C199" s="122" t="s">
        <v>310</v>
      </c>
      <c r="D199" s="121" t="str">
        <f>IFERROR(VLOOKUP(C199,'정보화기기 명부'!A$2:B$138,2,FALSE),"")</f>
        <v/>
      </c>
      <c r="E199" s="5" t="str">
        <f>IFERROR(VLOOKUP(C199,PC!A$1:K$436,2,FALSE),"")</f>
        <v/>
      </c>
      <c r="F199" s="195" t="str">
        <f>IFERROR(VLOOKUP(C199,PC!A$1:K$436,7,FALSE)&amp;" "&amp;VLOOKUP(C199,PC!A$1:K$436,6,FALSE),"")</f>
        <v/>
      </c>
      <c r="G199" s="122"/>
      <c r="H199" s="1" t="str">
        <f t="shared" si="3"/>
        <v>10.51.91.26</v>
      </c>
      <c r="J199" s="27"/>
      <c r="K199" s="1"/>
    </row>
    <row r="200" spans="1:11" x14ac:dyDescent="0.25">
      <c r="A200" s="101"/>
      <c r="B200" s="120">
        <v>27</v>
      </c>
      <c r="C200" s="122" t="s">
        <v>310</v>
      </c>
      <c r="D200" s="121" t="str">
        <f>IFERROR(VLOOKUP(C200,'정보화기기 명부'!A$2:B$138,2,FALSE),"")</f>
        <v/>
      </c>
      <c r="E200" s="5" t="str">
        <f>IFERROR(VLOOKUP(C200,PC!A$1:K$436,2,FALSE),"")</f>
        <v/>
      </c>
      <c r="F200" s="195" t="str">
        <f>IFERROR(VLOOKUP(C200,PC!A$1:K$436,7,FALSE)&amp;" "&amp;VLOOKUP(C200,PC!A$1:K$436,6,FALSE),"")</f>
        <v/>
      </c>
      <c r="G200" s="122"/>
      <c r="H200" s="1" t="str">
        <f t="shared" si="3"/>
        <v>10.51.91.27</v>
      </c>
      <c r="J200" s="27"/>
      <c r="K200" s="1"/>
    </row>
    <row r="201" spans="1:11" x14ac:dyDescent="0.25">
      <c r="A201" s="101"/>
      <c r="B201" s="120">
        <v>28</v>
      </c>
      <c r="C201" s="122" t="s">
        <v>310</v>
      </c>
      <c r="D201" s="121" t="str">
        <f>IFERROR(VLOOKUP(C201,'정보화기기 명부'!A$2:B$138,2,FALSE),"")</f>
        <v/>
      </c>
      <c r="E201" s="5" t="str">
        <f>IFERROR(VLOOKUP(C201,PC!A$1:K$436,2,FALSE),"")</f>
        <v/>
      </c>
      <c r="F201" s="195" t="str">
        <f>IFERROR(VLOOKUP(C201,PC!A$1:K$436,7,FALSE)&amp;" "&amp;VLOOKUP(C201,PC!A$1:K$436,6,FALSE),"")</f>
        <v/>
      </c>
      <c r="G201" s="122"/>
      <c r="H201" s="1" t="str">
        <f t="shared" si="3"/>
        <v>10.51.91.28</v>
      </c>
      <c r="J201" s="27"/>
      <c r="K201" s="1"/>
    </row>
    <row r="202" spans="1:11" x14ac:dyDescent="0.25">
      <c r="A202" s="101"/>
      <c r="B202" s="120">
        <v>29</v>
      </c>
      <c r="C202" s="122" t="s">
        <v>310</v>
      </c>
      <c r="D202" s="121" t="str">
        <f>IFERROR(VLOOKUP(C202,'정보화기기 명부'!A$2:B$138,2,FALSE),"")</f>
        <v/>
      </c>
      <c r="E202" s="5" t="str">
        <f>IFERROR(VLOOKUP(C202,PC!A$1:K$436,2,FALSE),"")</f>
        <v/>
      </c>
      <c r="F202" s="195" t="str">
        <f>IFERROR(VLOOKUP(C202,PC!A$1:K$436,7,FALSE)&amp;" "&amp;VLOOKUP(C202,PC!A$1:K$436,6,FALSE),"")</f>
        <v/>
      </c>
      <c r="G202" s="122"/>
      <c r="H202" s="1" t="str">
        <f t="shared" si="3"/>
        <v>10.51.91.29</v>
      </c>
      <c r="J202" s="27"/>
      <c r="K202" s="1"/>
    </row>
    <row r="203" spans="1:11" x14ac:dyDescent="0.25">
      <c r="A203" s="101"/>
      <c r="B203" s="120">
        <v>30</v>
      </c>
      <c r="C203" s="122" t="s">
        <v>310</v>
      </c>
      <c r="D203" s="121" t="str">
        <f>IFERROR(VLOOKUP(C203,'정보화기기 명부'!A$2:B$138,2,FALSE),"")</f>
        <v/>
      </c>
      <c r="E203" s="5" t="str">
        <f>IFERROR(VLOOKUP(C203,PC!A$1:K$436,2,FALSE),"")</f>
        <v/>
      </c>
      <c r="F203" s="195" t="str">
        <f>IFERROR(VLOOKUP(C203,PC!A$1:K$436,7,FALSE)&amp;" "&amp;VLOOKUP(C203,PC!A$1:K$436,6,FALSE),"")</f>
        <v/>
      </c>
      <c r="G203" s="122"/>
      <c r="H203" s="1" t="str">
        <f t="shared" si="3"/>
        <v>10.51.91.30</v>
      </c>
      <c r="J203" s="27"/>
      <c r="K203" s="1"/>
    </row>
    <row r="204" spans="1:11" x14ac:dyDescent="0.25">
      <c r="A204" s="101"/>
      <c r="B204" s="120">
        <v>31</v>
      </c>
      <c r="C204" s="122" t="s">
        <v>968</v>
      </c>
      <c r="D204" s="121" t="str">
        <f>IFERROR(VLOOKUP(C204,'정보화기기 명부'!A$2:B$138,2,FALSE),"")</f>
        <v>교무기획부</v>
      </c>
      <c r="E204" s="5" t="str">
        <f>IFERROR(VLOOKUP(C204,PC!A$1:K$436,2,FALSE),"")</f>
        <v>20170404-0735</v>
      </c>
      <c r="F204" s="195" t="str">
        <f>IFERROR(VLOOKUP(C204,PC!A$1:K$436,7,FALSE)&amp;" "&amp;VLOOKUP(C204,PC!A$1:K$436,6,FALSE),"")</f>
        <v>삼성 NT500R5L-M01G</v>
      </c>
      <c r="G204" s="122"/>
      <c r="H204" s="1" t="str">
        <f t="shared" si="3"/>
        <v>10.51.91.31</v>
      </c>
      <c r="J204" s="27"/>
      <c r="K204" s="1"/>
    </row>
    <row r="205" spans="1:11" x14ac:dyDescent="0.25">
      <c r="A205" s="101"/>
      <c r="B205" s="120">
        <v>32</v>
      </c>
      <c r="C205" s="203" t="s">
        <v>947</v>
      </c>
      <c r="D205" s="121" t="str">
        <f>IFERROR(VLOOKUP(C205,'정보화기기 명부'!A$2:B$138,2,FALSE),"")</f>
        <v>교무기획부</v>
      </c>
      <c r="E205" s="5" t="str">
        <f>IFERROR(VLOOKUP(C205,PC!A$1:K$436,2,FALSE),"")</f>
        <v>20170404-0736</v>
      </c>
      <c r="F205" s="195" t="str">
        <f>IFERROR(VLOOKUP(C205,PC!A$1:K$436,7,FALSE)&amp;" "&amp;VLOOKUP(C205,PC!A$1:K$436,6,FALSE),"")</f>
        <v>삼성 NT500R5L-M01G</v>
      </c>
      <c r="G205" s="122"/>
      <c r="H205" s="1" t="str">
        <f t="shared" si="3"/>
        <v>10.51.91.32</v>
      </c>
      <c r="J205" s="27"/>
      <c r="K205" s="1"/>
    </row>
    <row r="206" spans="1:11" x14ac:dyDescent="0.25">
      <c r="A206" s="101"/>
      <c r="B206" s="120">
        <v>33</v>
      </c>
      <c r="C206" s="122" t="s">
        <v>922</v>
      </c>
      <c r="D206" s="121" t="str">
        <f>IFERROR(VLOOKUP(C206,'정보화기기 명부'!A$2:B$138,2,FALSE),"")</f>
        <v>교무기획부</v>
      </c>
      <c r="E206" s="5" t="str">
        <f>IFERROR(VLOOKUP(C206,PC!A$1:K$436,2,FALSE),"")</f>
        <v>20170404-0740</v>
      </c>
      <c r="F206" s="195" t="str">
        <f>IFERROR(VLOOKUP(C206,PC!A$1:K$436,7,FALSE)&amp;" "&amp;VLOOKUP(C206,PC!A$1:K$436,6,FALSE),"")</f>
        <v>삼성 NT500R5L-M01G</v>
      </c>
      <c r="G206" s="122"/>
      <c r="H206" s="1" t="str">
        <f t="shared" si="3"/>
        <v>10.51.91.33</v>
      </c>
      <c r="J206" s="27"/>
      <c r="K206" s="1"/>
    </row>
    <row r="207" spans="1:11" x14ac:dyDescent="0.25">
      <c r="A207" s="101"/>
      <c r="B207" s="120">
        <v>34</v>
      </c>
      <c r="C207" s="122" t="s">
        <v>310</v>
      </c>
      <c r="D207" s="121" t="str">
        <f>IFERROR(VLOOKUP(C207,'정보화기기 명부'!A$2:B$138,2,FALSE),"")</f>
        <v/>
      </c>
      <c r="E207" s="122" t="str">
        <f>IFERROR(VLOOKUP(C207,PC!A$1:K$436,2,FALSE),"")</f>
        <v/>
      </c>
      <c r="F207" s="199" t="str">
        <f>IFERROR(VLOOKUP(C207,PC!A$1:K$436,7,FALSE)&amp;" "&amp;VLOOKUP(C207,PC!A$1:K$436,6,FALSE),"")</f>
        <v/>
      </c>
      <c r="G207" s="122"/>
      <c r="H207" s="1" t="str">
        <f t="shared" si="3"/>
        <v>10.51.91.34</v>
      </c>
      <c r="J207" s="27"/>
      <c r="K207" s="1"/>
    </row>
    <row r="208" spans="1:11" x14ac:dyDescent="0.25">
      <c r="A208" s="101"/>
      <c r="B208" s="120">
        <v>35</v>
      </c>
      <c r="C208" s="122" t="s">
        <v>310</v>
      </c>
      <c r="D208" s="121" t="str">
        <f>IFERROR(VLOOKUP(C208,'정보화기기 명부'!A$2:B$138,2,FALSE),"")</f>
        <v/>
      </c>
      <c r="E208" s="122" t="str">
        <f>IFERROR(VLOOKUP(C208,PC!A$1:K$436,2,FALSE),"")</f>
        <v/>
      </c>
      <c r="F208" s="199" t="str">
        <f>IFERROR(VLOOKUP(C208,PC!A$1:K$436,7,FALSE)&amp;" "&amp;VLOOKUP(C208,PC!A$1:K$436,6,FALSE),"")</f>
        <v/>
      </c>
      <c r="G208" s="122"/>
      <c r="H208" s="1" t="str">
        <f t="shared" si="3"/>
        <v>10.51.91.35</v>
      </c>
      <c r="J208" s="27"/>
      <c r="K208" s="1"/>
    </row>
    <row r="209" spans="1:11" x14ac:dyDescent="0.25">
      <c r="A209" s="101"/>
      <c r="B209" s="120">
        <v>36</v>
      </c>
      <c r="C209" s="122" t="s">
        <v>310</v>
      </c>
      <c r="D209" s="121" t="str">
        <f>IFERROR(VLOOKUP(C209,'정보화기기 명부'!A$2:B$138,2,FALSE),"")</f>
        <v/>
      </c>
      <c r="E209" s="122" t="str">
        <f>IFERROR(VLOOKUP(C209,PC!A$1:K$436,2,FALSE),"")</f>
        <v/>
      </c>
      <c r="F209" s="199" t="str">
        <f>IFERROR(VLOOKUP(C209,PC!A$1:K$436,7,FALSE)&amp;" "&amp;VLOOKUP(C209,PC!A$1:K$436,6,FALSE),"")</f>
        <v/>
      </c>
      <c r="G209" s="122"/>
      <c r="H209" s="1" t="str">
        <f t="shared" si="3"/>
        <v>10.51.91.36</v>
      </c>
      <c r="J209" s="27"/>
      <c r="K209" s="1"/>
    </row>
    <row r="210" spans="1:11" x14ac:dyDescent="0.25">
      <c r="A210" s="101"/>
      <c r="B210" s="120">
        <v>37</v>
      </c>
      <c r="C210" s="122" t="s">
        <v>310</v>
      </c>
      <c r="D210" s="121" t="str">
        <f>IFERROR(VLOOKUP(C210,'정보화기기 명부'!A$2:B$138,2,FALSE),"")</f>
        <v/>
      </c>
      <c r="E210" s="122" t="str">
        <f>IFERROR(VLOOKUP(C210,PC!A$1:K$436,2,FALSE),"")</f>
        <v/>
      </c>
      <c r="F210" s="199" t="str">
        <f>IFERROR(VLOOKUP(C210,PC!A$1:K$436,7,FALSE)&amp;" "&amp;VLOOKUP(C210,PC!A$1:K$436,6,FALSE),"")</f>
        <v/>
      </c>
      <c r="G210" s="122"/>
      <c r="H210" s="1" t="str">
        <f t="shared" si="3"/>
        <v>10.51.91.37</v>
      </c>
      <c r="J210" s="27"/>
      <c r="K210" s="1"/>
    </row>
    <row r="211" spans="1:11" x14ac:dyDescent="0.25">
      <c r="A211" s="101"/>
      <c r="B211" s="120">
        <v>38</v>
      </c>
      <c r="C211" s="122" t="s">
        <v>310</v>
      </c>
      <c r="D211" s="121" t="str">
        <f>IFERROR(VLOOKUP(C211,'정보화기기 명부'!A$2:B$138,2,FALSE),"")</f>
        <v/>
      </c>
      <c r="E211" s="122" t="str">
        <f>IFERROR(VLOOKUP(C211,PC!A$1:K$436,2,FALSE),"")</f>
        <v/>
      </c>
      <c r="F211" s="199" t="str">
        <f>IFERROR(VLOOKUP(C211,PC!A$1:K$436,7,FALSE)&amp;" "&amp;VLOOKUP(C211,PC!A$1:K$436,6,FALSE),"")</f>
        <v/>
      </c>
      <c r="G211" s="122"/>
      <c r="H211" s="1" t="str">
        <f t="shared" si="3"/>
        <v>10.51.91.38</v>
      </c>
      <c r="J211" s="27"/>
      <c r="K211" s="1"/>
    </row>
    <row r="212" spans="1:11" x14ac:dyDescent="0.25">
      <c r="A212" s="101"/>
      <c r="B212" s="120">
        <v>39</v>
      </c>
      <c r="C212" s="122" t="s">
        <v>310</v>
      </c>
      <c r="D212" s="121" t="str">
        <f>IFERROR(VLOOKUP(C212,'정보화기기 명부'!A$2:B$138,2,FALSE),"")</f>
        <v/>
      </c>
      <c r="E212" s="122" t="str">
        <f>IFERROR(VLOOKUP(C212,PC!A$1:K$436,2,FALSE),"")</f>
        <v/>
      </c>
      <c r="F212" s="199" t="str">
        <f>IFERROR(VLOOKUP(C212,PC!A$1:K$436,7,FALSE)&amp;" "&amp;VLOOKUP(C212,PC!A$1:K$436,6,FALSE),"")</f>
        <v/>
      </c>
      <c r="G212" s="122"/>
      <c r="H212" s="1" t="str">
        <f t="shared" si="3"/>
        <v>10.51.91.39</v>
      </c>
      <c r="J212" s="27"/>
      <c r="K212" s="1"/>
    </row>
    <row r="213" spans="1:11" x14ac:dyDescent="0.25">
      <c r="A213" s="101"/>
      <c r="B213" s="120">
        <v>40</v>
      </c>
      <c r="C213" s="35" t="s">
        <v>310</v>
      </c>
      <c r="D213" s="121" t="str">
        <f>IFERROR(VLOOKUP(C213,'정보화기기 명부'!A$2:B$138,2,FALSE),"")</f>
        <v/>
      </c>
      <c r="E213" s="122" t="str">
        <f>IFERROR(VLOOKUP(C213,PC!A$1:K$436,2,FALSE),"")</f>
        <v/>
      </c>
      <c r="F213" s="199" t="str">
        <f>IFERROR(VLOOKUP(C213,PC!A$1:K$436,7,FALSE)&amp;" "&amp;VLOOKUP(C213,PC!A$1:K$436,6,FALSE),"")</f>
        <v/>
      </c>
      <c r="G213" s="122" t="str">
        <f>IFERROR(VLOOKUP(C213,PC!$A$1:$K$436,3,FALSE),"")</f>
        <v/>
      </c>
      <c r="H213" s="1" t="str">
        <f t="shared" si="3"/>
        <v>10.51.91.40</v>
      </c>
      <c r="J213" s="27"/>
      <c r="K213" s="1"/>
    </row>
    <row r="214" spans="1:11" x14ac:dyDescent="0.25">
      <c r="A214" s="101"/>
      <c r="B214" s="120">
        <v>41</v>
      </c>
      <c r="C214" s="5" t="s">
        <v>310</v>
      </c>
      <c r="D214" s="121" t="str">
        <f>IFERROR(VLOOKUP(C214,'정보화기기 명부'!A$2:B$138,2,FALSE),"")</f>
        <v/>
      </c>
      <c r="E214" s="122" t="str">
        <f>IFERROR(VLOOKUP(C214,PC!A$1:K$436,2,FALSE),"")</f>
        <v/>
      </c>
      <c r="F214" s="199" t="str">
        <f>IFERROR(VLOOKUP(C214,PC!A$1:K$436,7,FALSE)&amp;" "&amp;VLOOKUP(C214,PC!A$1:K$436,6,FALSE),"")</f>
        <v/>
      </c>
      <c r="G214" s="122" t="str">
        <f>IFERROR(VLOOKUP(C214,PC!$A$1:$K$436,3,FALSE),"")</f>
        <v/>
      </c>
      <c r="H214" s="1" t="str">
        <f t="shared" si="3"/>
        <v>10.51.91.41</v>
      </c>
      <c r="J214" s="27"/>
      <c r="K214" s="1"/>
    </row>
    <row r="215" spans="1:11" x14ac:dyDescent="0.25">
      <c r="A215" s="101"/>
      <c r="B215" s="120">
        <v>42</v>
      </c>
      <c r="C215" s="5" t="s">
        <v>310</v>
      </c>
      <c r="D215" s="121" t="str">
        <f>IFERROR(VLOOKUP(C215,'정보화기기 명부'!A$2:B$138,2,FALSE),"")</f>
        <v/>
      </c>
      <c r="E215" s="122" t="str">
        <f>IFERROR(VLOOKUP(C215,PC!A$1:K$436,2,FALSE),"")</f>
        <v/>
      </c>
      <c r="F215" s="199" t="str">
        <f>IFERROR(VLOOKUP(C215,PC!A$1:K$436,7,FALSE)&amp;" "&amp;VLOOKUP(C215,PC!A$1:K$436,6,FALSE),"")</f>
        <v/>
      </c>
      <c r="G215" s="122" t="str">
        <f>IFERROR(VLOOKUP(C215,PC!$A$1:$K$436,3,FALSE),"")</f>
        <v/>
      </c>
      <c r="H215" s="1" t="str">
        <f t="shared" si="3"/>
        <v>10.51.91.42</v>
      </c>
      <c r="J215" s="27"/>
      <c r="K215" s="1"/>
    </row>
    <row r="216" spans="1:11" x14ac:dyDescent="0.25">
      <c r="A216" s="101"/>
      <c r="B216" s="120">
        <v>43</v>
      </c>
      <c r="C216" s="35" t="s">
        <v>310</v>
      </c>
      <c r="D216" s="121" t="str">
        <f>IFERROR(VLOOKUP(C216,'정보화기기 명부'!A$2:B$138,2,FALSE),"")</f>
        <v/>
      </c>
      <c r="E216" s="122" t="str">
        <f>IFERROR(VLOOKUP(C216,PC!A$1:K$436,2,FALSE),"")</f>
        <v/>
      </c>
      <c r="F216" s="199" t="str">
        <f>IFERROR(VLOOKUP(C216,PC!A$1:K$436,7,FALSE)&amp;" "&amp;VLOOKUP(C216,PC!A$1:K$436,6,FALSE),"")</f>
        <v/>
      </c>
      <c r="G216" s="122" t="str">
        <f>IFERROR(VLOOKUP(C216,PC!$A$1:$K$436,3,FALSE),"")</f>
        <v/>
      </c>
      <c r="H216" s="1" t="str">
        <f t="shared" si="3"/>
        <v>10.51.91.43</v>
      </c>
      <c r="J216" s="27"/>
      <c r="K216" s="1"/>
    </row>
    <row r="217" spans="1:11" x14ac:dyDescent="0.25">
      <c r="A217" s="101"/>
      <c r="B217" s="120">
        <v>44</v>
      </c>
      <c r="C217" s="5" t="s">
        <v>310</v>
      </c>
      <c r="D217" s="121" t="str">
        <f>IFERROR(VLOOKUP(C217,'정보화기기 명부'!A$2:B$138,2,FALSE),"")</f>
        <v/>
      </c>
      <c r="E217" s="122" t="str">
        <f>IFERROR(VLOOKUP(C217,PC!A$1:K$436,2,FALSE),"")</f>
        <v/>
      </c>
      <c r="F217" s="199" t="str">
        <f>IFERROR(VLOOKUP(C217,PC!A$1:K$436,7,FALSE)&amp;" "&amp;VLOOKUP(C217,PC!A$1:K$436,6,FALSE),"")</f>
        <v/>
      </c>
      <c r="G217" s="122" t="str">
        <f>IFERROR(VLOOKUP(C217,PC!$A$1:$K$436,3,FALSE),"")</f>
        <v/>
      </c>
      <c r="H217" s="1" t="str">
        <f t="shared" si="3"/>
        <v>10.51.91.44</v>
      </c>
      <c r="J217" s="27"/>
      <c r="K217" s="1"/>
    </row>
    <row r="218" spans="1:11" x14ac:dyDescent="0.25">
      <c r="A218" s="101"/>
      <c r="B218" s="120">
        <v>45</v>
      </c>
      <c r="C218" s="5" t="s">
        <v>310</v>
      </c>
      <c r="D218" s="121" t="str">
        <f>IFERROR(VLOOKUP(C218,'정보화기기 명부'!A$2:B$138,2,FALSE),"")</f>
        <v/>
      </c>
      <c r="E218" s="122" t="str">
        <f>IFERROR(VLOOKUP(C218,PC!A$1:K$436,2,FALSE),"")</f>
        <v/>
      </c>
      <c r="F218" s="199" t="str">
        <f>IFERROR(VLOOKUP(C218,PC!A$1:K$436,7,FALSE)&amp;" "&amp;VLOOKUP(C218,PC!A$1:K$436,6,FALSE),"")</f>
        <v/>
      </c>
      <c r="G218" s="122" t="str">
        <f>IFERROR(VLOOKUP(C218,PC!$A$1:$K$436,3,FALSE),"")</f>
        <v/>
      </c>
      <c r="H218" s="1" t="str">
        <f t="shared" si="3"/>
        <v>10.51.91.45</v>
      </c>
      <c r="J218" s="27"/>
      <c r="K218" s="1"/>
    </row>
    <row r="219" spans="1:11" x14ac:dyDescent="0.25">
      <c r="A219" s="101"/>
      <c r="B219" s="120">
        <v>46</v>
      </c>
      <c r="C219" s="5" t="s">
        <v>310</v>
      </c>
      <c r="D219" s="121" t="str">
        <f>IFERROR(VLOOKUP(C219,'정보화기기 명부'!A$2:B$138,2,FALSE),"")</f>
        <v/>
      </c>
      <c r="E219" s="122" t="str">
        <f>IFERROR(VLOOKUP(C219,PC!A$1:K$436,2,FALSE),"")</f>
        <v/>
      </c>
      <c r="F219" s="199" t="str">
        <f>IFERROR(VLOOKUP(C219,PC!A$1:K$436,7,FALSE)&amp;" "&amp;VLOOKUP(C219,PC!A$1:K$436,6,FALSE),"")</f>
        <v/>
      </c>
      <c r="G219" s="122" t="str">
        <f>IFERROR(VLOOKUP(C219,PC!$A$1:$K$436,3,FALSE),"")</f>
        <v/>
      </c>
      <c r="H219" s="1" t="str">
        <f t="shared" si="3"/>
        <v>10.51.91.46</v>
      </c>
      <c r="J219" s="27"/>
      <c r="K219" s="1"/>
    </row>
    <row r="220" spans="1:11" x14ac:dyDescent="0.25">
      <c r="A220" s="101"/>
      <c r="B220" s="120">
        <v>47</v>
      </c>
      <c r="C220" s="5" t="s">
        <v>310</v>
      </c>
      <c r="D220" s="121" t="str">
        <f>IFERROR(VLOOKUP(C220,'정보화기기 명부'!A$2:B$138,2,FALSE),"")</f>
        <v/>
      </c>
      <c r="E220" s="122" t="str">
        <f>IFERROR(VLOOKUP(C220,PC!A$1:K$436,2,FALSE),"")</f>
        <v/>
      </c>
      <c r="F220" s="199" t="str">
        <f>IFERROR(VLOOKUP(C220,PC!A$1:K$436,7,FALSE)&amp;" "&amp;VLOOKUP(C220,PC!A$1:K$436,6,FALSE),"")</f>
        <v/>
      </c>
      <c r="G220" s="122" t="str">
        <f>IFERROR(VLOOKUP(C220,PC!$A$1:$K$436,3,FALSE),"")</f>
        <v/>
      </c>
      <c r="H220" s="1" t="str">
        <f t="shared" si="3"/>
        <v>10.51.91.47</v>
      </c>
      <c r="J220" s="27"/>
      <c r="K220" s="1"/>
    </row>
    <row r="221" spans="1:11" x14ac:dyDescent="0.25">
      <c r="A221" s="101"/>
      <c r="B221" s="120">
        <v>48</v>
      </c>
      <c r="C221" s="5" t="s">
        <v>310</v>
      </c>
      <c r="D221" s="121" t="str">
        <f>IFERROR(VLOOKUP(C221,'정보화기기 명부'!A$2:B$138,2,FALSE),"")</f>
        <v/>
      </c>
      <c r="E221" s="122" t="str">
        <f>IFERROR(VLOOKUP(C221,PC!A$1:K$436,2,FALSE),"")</f>
        <v/>
      </c>
      <c r="F221" s="199" t="str">
        <f>IFERROR(VLOOKUP(C221,PC!A$1:K$436,7,FALSE)&amp;" "&amp;VLOOKUP(C221,PC!A$1:K$436,6,FALSE),"")</f>
        <v/>
      </c>
      <c r="G221" s="122" t="str">
        <f>IFERROR(VLOOKUP(C221,PC!$A$1:$K$436,3,FALSE),"")</f>
        <v/>
      </c>
      <c r="H221" s="1" t="str">
        <f t="shared" si="3"/>
        <v>10.51.91.48</v>
      </c>
      <c r="J221" s="27"/>
      <c r="K221" s="1"/>
    </row>
    <row r="222" spans="1:11" x14ac:dyDescent="0.25">
      <c r="A222" s="101"/>
      <c r="B222" s="120">
        <v>49</v>
      </c>
      <c r="C222" s="5" t="s">
        <v>310</v>
      </c>
      <c r="D222" s="121" t="str">
        <f>IFERROR(VLOOKUP(C222,'정보화기기 명부'!A$2:B$138,2,FALSE),"")</f>
        <v/>
      </c>
      <c r="E222" s="122" t="str">
        <f>IFERROR(VLOOKUP(C222,PC!A$1:K$436,2,FALSE),"")</f>
        <v/>
      </c>
      <c r="F222" s="199" t="str">
        <f>IFERROR(VLOOKUP(C222,PC!A$1:K$436,7,FALSE)&amp;" "&amp;VLOOKUP(C222,PC!A$1:K$436,6,FALSE),"")</f>
        <v/>
      </c>
      <c r="G222" s="122" t="str">
        <f>IFERROR(VLOOKUP(C222,PC!$A$1:$K$436,3,FALSE),"")</f>
        <v/>
      </c>
      <c r="H222" s="1" t="str">
        <f t="shared" si="3"/>
        <v>10.51.91.49</v>
      </c>
      <c r="J222" s="27"/>
      <c r="K222" s="1"/>
    </row>
    <row r="223" spans="1:11" x14ac:dyDescent="0.25">
      <c r="A223" s="101"/>
      <c r="B223" s="120">
        <v>50</v>
      </c>
      <c r="C223" s="5" t="s">
        <v>310</v>
      </c>
      <c r="D223" s="121" t="str">
        <f>IFERROR(VLOOKUP(C223,'정보화기기 명부'!A$2:B$138,2,FALSE),"")</f>
        <v/>
      </c>
      <c r="E223" s="122" t="str">
        <f>IFERROR(VLOOKUP(C223,PC!A$1:K$436,2,FALSE),"")</f>
        <v/>
      </c>
      <c r="F223" s="199" t="str">
        <f>IFERROR(VLOOKUP(C223,PC!A$1:K$436,7,FALSE)&amp;" "&amp;VLOOKUP(C223,PC!A$1:K$436,6,FALSE),"")</f>
        <v/>
      </c>
      <c r="G223" s="122" t="str">
        <f>IFERROR(VLOOKUP(C223,PC!$A$1:$K$436,3,FALSE),"")</f>
        <v/>
      </c>
      <c r="H223" s="1" t="str">
        <f t="shared" si="3"/>
        <v>10.51.91.50</v>
      </c>
      <c r="J223" s="27"/>
      <c r="K223" s="1"/>
    </row>
    <row r="224" spans="1:11" x14ac:dyDescent="0.25">
      <c r="A224" s="101"/>
      <c r="B224" s="120">
        <v>60</v>
      </c>
      <c r="C224" s="35" t="s">
        <v>1691</v>
      </c>
      <c r="D224" s="121" t="str">
        <f>IFERROR(VLOOKUP(C224,'정보화기기 명부'!A$2:B$138,2,FALSE),"")</f>
        <v/>
      </c>
      <c r="E224" s="122" t="str">
        <f>IFERROR(VLOOKUP(C224,PC!A$1:K$436,2,FALSE),"")</f>
        <v/>
      </c>
      <c r="F224" s="199" t="str">
        <f>IFERROR(VLOOKUP(C224,PC!A$1:K$436,7,FALSE)&amp;" "&amp;VLOOKUP(C224,PC!A$1:K$436,6,FALSE),"")</f>
        <v/>
      </c>
      <c r="G224" s="122" t="str">
        <f>IFERROR(VLOOKUP(C224,PC!$A$1:$K$436,3,FALSE),"")</f>
        <v/>
      </c>
      <c r="H224" s="1" t="str">
        <f t="shared" si="3"/>
        <v>10.51.91.60</v>
      </c>
      <c r="J224" s="27"/>
      <c r="K224" s="1"/>
    </row>
    <row r="225" spans="1:11" x14ac:dyDescent="0.25">
      <c r="A225" s="101"/>
      <c r="B225" s="120">
        <v>61</v>
      </c>
      <c r="C225" s="35" t="s">
        <v>310</v>
      </c>
      <c r="D225" s="121" t="str">
        <f>IFERROR(VLOOKUP(C225,'정보화기기 명부'!A$2:B$138,2,FALSE),"")</f>
        <v/>
      </c>
      <c r="E225" s="122" t="str">
        <f>IFERROR(VLOOKUP(C225,PC!A$1:K$436,2,FALSE),"")</f>
        <v/>
      </c>
      <c r="F225" s="199" t="str">
        <f>IFERROR(VLOOKUP(C225,PC!A$1:K$436,7,FALSE)&amp;" "&amp;VLOOKUP(C225,PC!A$1:K$436,6,FALSE),"")</f>
        <v/>
      </c>
      <c r="G225" s="122" t="str">
        <f>IFERROR(VLOOKUP(C225,PC!$A$1:$K$436,3,FALSE),"")</f>
        <v/>
      </c>
      <c r="H225" s="1" t="str">
        <f t="shared" si="3"/>
        <v>10.51.91.61</v>
      </c>
      <c r="J225" s="27"/>
      <c r="K225" s="1"/>
    </row>
    <row r="226" spans="1:11" x14ac:dyDescent="0.25">
      <c r="A226" s="101"/>
      <c r="B226" s="120">
        <v>62</v>
      </c>
      <c r="C226" s="35" t="s">
        <v>310</v>
      </c>
      <c r="D226" s="121" t="str">
        <f>IFERROR(VLOOKUP(C226,'정보화기기 명부'!A$2:B$138,2,FALSE),"")</f>
        <v/>
      </c>
      <c r="E226" s="122" t="str">
        <f>IFERROR(VLOOKUP(C226,PC!A$1:K$436,2,FALSE),"")</f>
        <v/>
      </c>
      <c r="F226" s="199" t="str">
        <f>IFERROR(VLOOKUP(C226,PC!A$1:K$436,7,FALSE)&amp;" "&amp;VLOOKUP(C226,PC!A$1:K$436,6,FALSE),"")</f>
        <v/>
      </c>
      <c r="G226" s="122" t="str">
        <f>IFERROR(VLOOKUP(C226,PC!$A$1:$K$436,3,FALSE),"")</f>
        <v/>
      </c>
      <c r="H226" s="1" t="str">
        <f t="shared" si="3"/>
        <v>10.51.91.62</v>
      </c>
      <c r="J226" s="27"/>
      <c r="K226" s="1"/>
    </row>
    <row r="227" spans="1:11" x14ac:dyDescent="0.25">
      <c r="A227" s="101"/>
      <c r="B227" s="120">
        <v>63</v>
      </c>
      <c r="C227" s="35" t="s">
        <v>310</v>
      </c>
      <c r="D227" s="121" t="str">
        <f>IFERROR(VLOOKUP(C227,'정보화기기 명부'!A$2:B$138,2,FALSE),"")</f>
        <v/>
      </c>
      <c r="E227" s="122" t="str">
        <f>IFERROR(VLOOKUP(C227,PC!A$1:K$436,2,FALSE),"")</f>
        <v/>
      </c>
      <c r="F227" s="199" t="str">
        <f>IFERROR(VLOOKUP(C227,PC!A$1:K$436,7,FALSE)&amp;" "&amp;VLOOKUP(C227,PC!A$1:K$436,6,FALSE),"")</f>
        <v/>
      </c>
      <c r="G227" s="122" t="str">
        <f>IFERROR(VLOOKUP(C227,PC!$A$1:$K$436,3,FALSE),"")</f>
        <v/>
      </c>
      <c r="H227" s="1" t="str">
        <f t="shared" si="3"/>
        <v>10.51.91.63</v>
      </c>
      <c r="J227" s="27"/>
      <c r="K227" s="1"/>
    </row>
    <row r="228" spans="1:11" x14ac:dyDescent="0.25">
      <c r="A228" s="101"/>
      <c r="B228" s="120">
        <v>64</v>
      </c>
      <c r="C228" s="35" t="s">
        <v>310</v>
      </c>
      <c r="D228" s="121" t="str">
        <f>IFERROR(VLOOKUP(C228,'정보화기기 명부'!A$2:B$138,2,FALSE),"")</f>
        <v/>
      </c>
      <c r="E228" s="122" t="str">
        <f>IFERROR(VLOOKUP(C228,PC!A$1:K$436,2,FALSE),"")</f>
        <v/>
      </c>
      <c r="F228" s="199" t="str">
        <f>IFERROR(VLOOKUP(C228,PC!A$1:K$436,7,FALSE)&amp;" "&amp;VLOOKUP(C228,PC!A$1:K$436,6,FALSE),"")</f>
        <v/>
      </c>
      <c r="G228" s="122" t="str">
        <f>IFERROR(VLOOKUP(C228,PC!$A$1:$K$436,3,FALSE),"")</f>
        <v/>
      </c>
      <c r="H228" s="1" t="str">
        <f t="shared" si="3"/>
        <v>10.51.91.64</v>
      </c>
      <c r="J228" s="27"/>
      <c r="K228" s="1"/>
    </row>
    <row r="229" spans="1:11" x14ac:dyDescent="0.25">
      <c r="A229" s="101"/>
      <c r="B229" s="120">
        <v>65</v>
      </c>
      <c r="C229" s="35" t="s">
        <v>310</v>
      </c>
      <c r="D229" s="121" t="str">
        <f>IFERROR(VLOOKUP(C229,'정보화기기 명부'!A$2:B$138,2,FALSE),"")</f>
        <v/>
      </c>
      <c r="E229" s="122" t="str">
        <f>IFERROR(VLOOKUP(C229,PC!A$1:K$436,2,FALSE),"")</f>
        <v/>
      </c>
      <c r="F229" s="199" t="str">
        <f>IFERROR(VLOOKUP(C229,PC!A$1:K$436,7,FALSE)&amp;" "&amp;VLOOKUP(C229,PC!A$1:K$436,6,FALSE),"")</f>
        <v/>
      </c>
      <c r="G229" s="122" t="str">
        <f>IFERROR(VLOOKUP(C229,PC!$A$1:$K$436,3,FALSE),"")</f>
        <v/>
      </c>
      <c r="H229" s="1" t="str">
        <f t="shared" si="3"/>
        <v>10.51.91.65</v>
      </c>
      <c r="J229" s="27"/>
      <c r="K229" s="1"/>
    </row>
    <row r="230" spans="1:11" x14ac:dyDescent="0.25">
      <c r="A230" s="101"/>
      <c r="B230" s="120">
        <v>66</v>
      </c>
      <c r="C230" s="35" t="s">
        <v>310</v>
      </c>
      <c r="D230" s="121" t="str">
        <f>IFERROR(VLOOKUP(C230,'정보화기기 명부'!A$2:B$138,2,FALSE),"")</f>
        <v/>
      </c>
      <c r="E230" s="122" t="str">
        <f>IFERROR(VLOOKUP(C230,PC!A$1:K$436,2,FALSE),"")</f>
        <v/>
      </c>
      <c r="F230" s="199" t="str">
        <f>IFERROR(VLOOKUP(C230,PC!A$1:K$436,7,FALSE)&amp;" "&amp;VLOOKUP(C230,PC!A$1:K$436,6,FALSE),"")</f>
        <v/>
      </c>
      <c r="G230" s="122" t="str">
        <f>IFERROR(VLOOKUP(C230,PC!$A$1:$K$436,3,FALSE),"")</f>
        <v/>
      </c>
      <c r="H230" s="1" t="str">
        <f t="shared" si="3"/>
        <v>10.51.91.66</v>
      </c>
      <c r="J230" s="27"/>
      <c r="K230" s="1"/>
    </row>
    <row r="231" spans="1:11" x14ac:dyDescent="0.25">
      <c r="A231" s="101"/>
      <c r="B231" s="120">
        <v>67</v>
      </c>
      <c r="C231" s="35" t="s">
        <v>310</v>
      </c>
      <c r="D231" s="121" t="str">
        <f>IFERROR(VLOOKUP(C231,'정보화기기 명부'!A$2:B$138,2,FALSE),"")</f>
        <v/>
      </c>
      <c r="E231" s="122" t="str">
        <f>IFERROR(VLOOKUP(C231,PC!A$1:K$436,2,FALSE),"")</f>
        <v/>
      </c>
      <c r="F231" s="199" t="str">
        <f>IFERROR(VLOOKUP(C231,PC!A$1:K$436,7,FALSE)&amp;" "&amp;VLOOKUP(C231,PC!A$1:K$436,6,FALSE),"")</f>
        <v/>
      </c>
      <c r="G231" s="122"/>
      <c r="H231" s="1" t="str">
        <f t="shared" si="3"/>
        <v>10.51.91.67</v>
      </c>
      <c r="J231" s="27"/>
      <c r="K231" s="1"/>
    </row>
    <row r="232" spans="1:11" x14ac:dyDescent="0.25">
      <c r="A232" s="101"/>
      <c r="B232" s="120">
        <v>68</v>
      </c>
      <c r="C232" s="35" t="s">
        <v>310</v>
      </c>
      <c r="D232" s="121" t="str">
        <f>IFERROR(VLOOKUP(C232,'정보화기기 명부'!A$2:B$138,2,FALSE),"")</f>
        <v/>
      </c>
      <c r="E232" s="122" t="str">
        <f>IFERROR(VLOOKUP(C232,PC!A$1:K$436,2,FALSE),"")</f>
        <v/>
      </c>
      <c r="F232" s="199" t="str">
        <f>IFERROR(VLOOKUP(C232,PC!A$1:K$436,7,FALSE)&amp;" "&amp;VLOOKUP(C232,PC!A$1:K$436,6,FALSE),"")</f>
        <v/>
      </c>
      <c r="G232" s="122"/>
      <c r="H232" s="1" t="str">
        <f t="shared" si="3"/>
        <v>10.51.91.68</v>
      </c>
      <c r="J232" s="27"/>
      <c r="K232" s="1"/>
    </row>
    <row r="233" spans="1:11" x14ac:dyDescent="0.25">
      <c r="A233" s="101"/>
      <c r="B233" s="120">
        <v>69</v>
      </c>
      <c r="C233" s="35" t="s">
        <v>310</v>
      </c>
      <c r="D233" s="121" t="str">
        <f>IFERROR(VLOOKUP(C233,'정보화기기 명부'!A$2:B$138,2,FALSE),"")</f>
        <v/>
      </c>
      <c r="E233" s="122" t="str">
        <f>IFERROR(VLOOKUP(C233,PC!A$1:K$436,2,FALSE),"")</f>
        <v/>
      </c>
      <c r="F233" s="199" t="str">
        <f>IFERROR(VLOOKUP(C233,PC!A$1:K$436,7,FALSE)&amp;" "&amp;VLOOKUP(C233,PC!A$1:K$436,6,FALSE),"")</f>
        <v/>
      </c>
      <c r="G233" s="122"/>
      <c r="H233" s="1" t="str">
        <f t="shared" si="3"/>
        <v>10.51.91.69</v>
      </c>
      <c r="J233" s="27"/>
      <c r="K233" s="1"/>
    </row>
    <row r="234" spans="1:11" x14ac:dyDescent="0.25">
      <c r="A234" s="101"/>
      <c r="B234" s="120">
        <v>70</v>
      </c>
      <c r="C234" s="35" t="s">
        <v>310</v>
      </c>
      <c r="D234" s="121" t="str">
        <f>IFERROR(VLOOKUP(C234,'정보화기기 명부'!A$2:B$138,2,FALSE),"")</f>
        <v/>
      </c>
      <c r="E234" s="122" t="str">
        <f>IFERROR(VLOOKUP(C234,PC!A$1:K$436,2,FALSE),"")</f>
        <v/>
      </c>
      <c r="F234" s="199" t="str">
        <f>IFERROR(VLOOKUP(C234,PC!A$1:K$436,7,FALSE)&amp;" "&amp;VLOOKUP(C234,PC!A$1:K$436,6,FALSE),"")</f>
        <v/>
      </c>
      <c r="G234" s="122"/>
      <c r="H234" s="1" t="str">
        <f t="shared" si="3"/>
        <v>10.51.91.70</v>
      </c>
      <c r="J234" s="27"/>
      <c r="K234" s="1"/>
    </row>
    <row r="235" spans="1:11" x14ac:dyDescent="0.25">
      <c r="A235" s="101"/>
      <c r="B235" s="120">
        <v>71</v>
      </c>
      <c r="C235" s="35" t="s">
        <v>310</v>
      </c>
      <c r="D235" s="121" t="str">
        <f>IFERROR(VLOOKUP(C235,'정보화기기 명부'!A$2:B$138,2,FALSE),"")</f>
        <v/>
      </c>
      <c r="E235" s="122" t="str">
        <f>IFERROR(VLOOKUP(C235,PC!A$1:K$436,2,FALSE),"")</f>
        <v/>
      </c>
      <c r="F235" s="199" t="str">
        <f>IFERROR(VLOOKUP(C235,PC!A$1:K$436,7,FALSE)&amp;" "&amp;VLOOKUP(C235,PC!A$1:K$436,6,FALSE),"")</f>
        <v/>
      </c>
      <c r="G235" s="122"/>
      <c r="H235" s="1" t="str">
        <f t="shared" si="3"/>
        <v>10.51.91.71</v>
      </c>
      <c r="J235" s="27"/>
      <c r="K235" s="1"/>
    </row>
    <row r="236" spans="1:11" x14ac:dyDescent="0.25">
      <c r="A236" s="101"/>
      <c r="B236" s="120">
        <v>72</v>
      </c>
      <c r="C236" s="35" t="s">
        <v>310</v>
      </c>
      <c r="D236" s="121" t="str">
        <f>IFERROR(VLOOKUP(C236,'정보화기기 명부'!A$2:B$138,2,FALSE),"")</f>
        <v/>
      </c>
      <c r="E236" s="122" t="str">
        <f>IFERROR(VLOOKUP(C236,PC!A$1:K$436,2,FALSE),"")</f>
        <v/>
      </c>
      <c r="F236" s="199" t="str">
        <f>IFERROR(VLOOKUP(C236,PC!A$1:K$436,7,FALSE)&amp;" "&amp;VLOOKUP(C236,PC!A$1:K$436,6,FALSE),"")</f>
        <v/>
      </c>
      <c r="G236" s="122"/>
      <c r="H236" s="1" t="str">
        <f t="shared" si="3"/>
        <v>10.51.91.72</v>
      </c>
      <c r="J236" s="27"/>
      <c r="K236" s="1"/>
    </row>
    <row r="237" spans="1:11" x14ac:dyDescent="0.25">
      <c r="A237" s="101"/>
      <c r="B237" s="120">
        <v>73</v>
      </c>
      <c r="C237" s="35" t="s">
        <v>310</v>
      </c>
      <c r="D237" s="121" t="str">
        <f>IFERROR(VLOOKUP(C237,'정보화기기 명부'!A$2:B$138,2,FALSE),"")</f>
        <v/>
      </c>
      <c r="E237" s="122" t="str">
        <f>IFERROR(VLOOKUP(C237,PC!A$1:K$436,2,FALSE),"")</f>
        <v/>
      </c>
      <c r="F237" s="199" t="str">
        <f>IFERROR(VLOOKUP(C237,PC!A$1:K$436,7,FALSE)&amp;" "&amp;VLOOKUP(C237,PC!A$1:K$436,6,FALSE),"")</f>
        <v/>
      </c>
      <c r="G237" s="122"/>
      <c r="H237" s="1" t="str">
        <f t="shared" si="3"/>
        <v>10.51.91.73</v>
      </c>
      <c r="J237" s="27"/>
      <c r="K237" s="1"/>
    </row>
    <row r="238" spans="1:11" x14ac:dyDescent="0.25">
      <c r="A238" s="87"/>
      <c r="B238" s="120">
        <v>74</v>
      </c>
      <c r="C238" s="35" t="s">
        <v>310</v>
      </c>
      <c r="D238" s="121" t="str">
        <f>IFERROR(VLOOKUP(C238,'정보화기기 명부'!A$2:B$138,2,FALSE),"")</f>
        <v/>
      </c>
      <c r="E238" s="122" t="str">
        <f>IFERROR(VLOOKUP(C238,PC!A$1:K$436,2,FALSE),"")</f>
        <v/>
      </c>
      <c r="F238" s="199" t="str">
        <f>IFERROR(VLOOKUP(C238,PC!A$1:K$436,7,FALSE)&amp;" "&amp;VLOOKUP(C238,PC!A$1:K$436,6,FALSE),"")</f>
        <v/>
      </c>
      <c r="G238" s="122"/>
      <c r="H238" s="1" t="str">
        <f t="shared" si="3"/>
        <v>10.51.91.74</v>
      </c>
      <c r="J238" s="27"/>
      <c r="K238" s="1"/>
    </row>
    <row r="239" spans="1:11" x14ac:dyDescent="0.25">
      <c r="B239" s="120">
        <v>75</v>
      </c>
      <c r="C239" s="35" t="s">
        <v>310</v>
      </c>
      <c r="D239" s="121" t="str">
        <f>IFERROR(VLOOKUP(C239,'정보화기기 명부'!A$2:B$138,2,FALSE),"")</f>
        <v/>
      </c>
      <c r="E239" s="122" t="str">
        <f>IFERROR(VLOOKUP(C239,PC!A$1:K$436,2,FALSE),"")</f>
        <v/>
      </c>
      <c r="F239" s="199" t="str">
        <f>IFERROR(VLOOKUP(C239,PC!A$1:K$436,7,FALSE)&amp;" "&amp;VLOOKUP(C239,PC!A$1:K$436,6,FALSE),"")</f>
        <v/>
      </c>
      <c r="G239" s="122"/>
      <c r="H239" s="1" t="str">
        <f t="shared" ref="H239:H302" si="4">$A$174&amp;B239</f>
        <v>10.51.91.75</v>
      </c>
    </row>
    <row r="240" spans="1:11" x14ac:dyDescent="0.25">
      <c r="B240" s="120">
        <v>76</v>
      </c>
      <c r="C240" s="35" t="s">
        <v>310</v>
      </c>
      <c r="D240" s="121" t="str">
        <f>IFERROR(VLOOKUP(C240,'정보화기기 명부'!A$2:B$138,2,FALSE),"")</f>
        <v/>
      </c>
      <c r="E240" s="122" t="str">
        <f>IFERROR(VLOOKUP(C240,PC!A$1:K$436,2,FALSE),"")</f>
        <v/>
      </c>
      <c r="F240" s="199" t="str">
        <f>IFERROR(VLOOKUP(C240,PC!A$1:K$436,7,FALSE)&amp;" "&amp;VLOOKUP(C240,PC!A$1:K$436,6,FALSE),"")</f>
        <v/>
      </c>
      <c r="G240" s="122"/>
      <c r="H240" s="1" t="str">
        <f t="shared" si="4"/>
        <v>10.51.91.76</v>
      </c>
    </row>
    <row r="241" spans="2:8" x14ac:dyDescent="0.25">
      <c r="B241" s="120">
        <v>77</v>
      </c>
      <c r="C241" s="35" t="s">
        <v>310</v>
      </c>
      <c r="D241" s="121" t="str">
        <f>IFERROR(VLOOKUP(C241,'정보화기기 명부'!A$2:B$138,2,FALSE),"")</f>
        <v/>
      </c>
      <c r="E241" s="122" t="str">
        <f>IFERROR(VLOOKUP(C241,PC!A$1:K$436,2,FALSE),"")</f>
        <v/>
      </c>
      <c r="F241" s="199" t="str">
        <f>IFERROR(VLOOKUP(C241,PC!A$1:K$436,7,FALSE)&amp;" "&amp;VLOOKUP(C241,PC!A$1:K$436,6,FALSE),"")</f>
        <v/>
      </c>
      <c r="G241" s="122"/>
      <c r="H241" s="1" t="str">
        <f t="shared" si="4"/>
        <v>10.51.91.77</v>
      </c>
    </row>
    <row r="242" spans="2:8" x14ac:dyDescent="0.25">
      <c r="B242" s="120">
        <v>78</v>
      </c>
      <c r="C242" s="35" t="s">
        <v>310</v>
      </c>
      <c r="D242" s="121" t="str">
        <f>IFERROR(VLOOKUP(C242,'정보화기기 명부'!A$2:B$138,2,FALSE),"")</f>
        <v/>
      </c>
      <c r="E242" s="122" t="str">
        <f>IFERROR(VLOOKUP(C242,PC!A$1:K$436,2,FALSE),"")</f>
        <v/>
      </c>
      <c r="F242" s="199" t="str">
        <f>IFERROR(VLOOKUP(C242,PC!A$1:K$436,7,FALSE)&amp;" "&amp;VLOOKUP(C242,PC!A$1:K$436,6,FALSE),"")</f>
        <v/>
      </c>
      <c r="G242" s="122"/>
      <c r="H242" s="1" t="str">
        <f t="shared" si="4"/>
        <v>10.51.91.78</v>
      </c>
    </row>
    <row r="243" spans="2:8" x14ac:dyDescent="0.25">
      <c r="B243" s="120">
        <v>79</v>
      </c>
      <c r="C243" s="35" t="s">
        <v>310</v>
      </c>
      <c r="D243" s="121" t="str">
        <f>IFERROR(VLOOKUP(C243,'정보화기기 명부'!A$2:B$138,2,FALSE),"")</f>
        <v/>
      </c>
      <c r="E243" s="122" t="str">
        <f>IFERROR(VLOOKUP(C243,PC!A$1:K$436,2,FALSE),"")</f>
        <v/>
      </c>
      <c r="F243" s="199" t="str">
        <f>IFERROR(VLOOKUP(C243,PC!A$1:K$436,7,FALSE)&amp;" "&amp;VLOOKUP(C243,PC!A$1:K$436,6,FALSE),"")</f>
        <v/>
      </c>
      <c r="G243" s="122"/>
      <c r="H243" s="1" t="str">
        <f t="shared" si="4"/>
        <v>10.51.91.79</v>
      </c>
    </row>
    <row r="244" spans="2:8" x14ac:dyDescent="0.25">
      <c r="B244" s="120">
        <v>80</v>
      </c>
      <c r="C244" s="35" t="s">
        <v>310</v>
      </c>
      <c r="D244" s="121" t="str">
        <f>IFERROR(VLOOKUP(C244,'정보화기기 명부'!A$2:B$138,2,FALSE),"")</f>
        <v/>
      </c>
      <c r="E244" s="122" t="str">
        <f>IFERROR(VLOOKUP(C244,PC!A$1:K$436,2,FALSE),"")</f>
        <v/>
      </c>
      <c r="F244" s="199" t="str">
        <f>IFERROR(VLOOKUP(C244,PC!A$1:K$436,7,FALSE)&amp;" "&amp;VLOOKUP(C244,PC!A$1:K$436,6,FALSE),"")</f>
        <v/>
      </c>
      <c r="G244" s="122"/>
      <c r="H244" s="1" t="str">
        <f t="shared" si="4"/>
        <v>10.51.91.80</v>
      </c>
    </row>
    <row r="245" spans="2:8" x14ac:dyDescent="0.25">
      <c r="B245" s="120">
        <v>81</v>
      </c>
      <c r="C245" s="35" t="s">
        <v>310</v>
      </c>
      <c r="D245" s="121" t="str">
        <f>IFERROR(VLOOKUP(C245,'정보화기기 명부'!A$2:B$138,2,FALSE),"")</f>
        <v/>
      </c>
      <c r="E245" s="122" t="str">
        <f>IFERROR(VLOOKUP(C245,PC!A$1:K$436,2,FALSE),"")</f>
        <v/>
      </c>
      <c r="F245" s="199" t="str">
        <f>IFERROR(VLOOKUP(C245,PC!A$1:K$436,7,FALSE)&amp;" "&amp;VLOOKUP(C245,PC!A$1:K$436,6,FALSE),"")</f>
        <v/>
      </c>
      <c r="G245" s="122"/>
      <c r="H245" s="1" t="str">
        <f t="shared" si="4"/>
        <v>10.51.91.81</v>
      </c>
    </row>
    <row r="246" spans="2:8" x14ac:dyDescent="0.25">
      <c r="B246" s="120">
        <v>82</v>
      </c>
      <c r="C246" s="35" t="s">
        <v>310</v>
      </c>
      <c r="D246" s="121" t="str">
        <f>IFERROR(VLOOKUP(C246,'정보화기기 명부'!A$2:B$138,2,FALSE),"")</f>
        <v/>
      </c>
      <c r="E246" s="122" t="str">
        <f>IFERROR(VLOOKUP(C246,PC!A$1:K$436,2,FALSE),"")</f>
        <v/>
      </c>
      <c r="F246" s="199" t="str">
        <f>IFERROR(VLOOKUP(C246,PC!A$1:K$436,7,FALSE)&amp;" "&amp;VLOOKUP(C246,PC!A$1:K$436,6,FALSE),"")</f>
        <v/>
      </c>
      <c r="G246" s="122"/>
      <c r="H246" s="1" t="str">
        <f t="shared" si="4"/>
        <v>10.51.91.82</v>
      </c>
    </row>
    <row r="247" spans="2:8" x14ac:dyDescent="0.25">
      <c r="B247" s="120">
        <v>83</v>
      </c>
      <c r="C247" s="35" t="s">
        <v>310</v>
      </c>
      <c r="D247" s="121" t="str">
        <f>IFERROR(VLOOKUP(C247,'정보화기기 명부'!A$2:B$138,2,FALSE),"")</f>
        <v/>
      </c>
      <c r="E247" s="122" t="str">
        <f>IFERROR(VLOOKUP(C247,PC!A$1:K$436,2,FALSE),"")</f>
        <v/>
      </c>
      <c r="F247" s="199" t="str">
        <f>IFERROR(VLOOKUP(C247,PC!A$1:K$436,7,FALSE)&amp;" "&amp;VLOOKUP(C247,PC!A$1:K$436,6,FALSE),"")</f>
        <v/>
      </c>
      <c r="G247" s="122"/>
      <c r="H247" s="1" t="str">
        <f t="shared" si="4"/>
        <v>10.51.91.83</v>
      </c>
    </row>
    <row r="248" spans="2:8" x14ac:dyDescent="0.25">
      <c r="B248" s="120">
        <v>84</v>
      </c>
      <c r="C248" s="35" t="s">
        <v>310</v>
      </c>
      <c r="D248" s="121" t="str">
        <f>IFERROR(VLOOKUP(C248,'정보화기기 명부'!A$2:B$138,2,FALSE),"")</f>
        <v/>
      </c>
      <c r="E248" s="122" t="str">
        <f>IFERROR(VLOOKUP(C248,PC!A$1:K$436,2,FALSE),"")</f>
        <v/>
      </c>
      <c r="F248" s="199" t="str">
        <f>IFERROR(VLOOKUP(C248,PC!A$1:K$436,7,FALSE)&amp;" "&amp;VLOOKUP(C248,PC!A$1:K$436,6,FALSE),"")</f>
        <v/>
      </c>
      <c r="G248" s="122"/>
      <c r="H248" s="1" t="str">
        <f t="shared" si="4"/>
        <v>10.51.91.84</v>
      </c>
    </row>
    <row r="249" spans="2:8" x14ac:dyDescent="0.25">
      <c r="B249" s="120">
        <v>85</v>
      </c>
      <c r="C249" s="35" t="s">
        <v>310</v>
      </c>
      <c r="D249" s="121" t="str">
        <f>IFERROR(VLOOKUP(C249,'정보화기기 명부'!A$2:B$138,2,FALSE),"")</f>
        <v/>
      </c>
      <c r="E249" s="122" t="str">
        <f>IFERROR(VLOOKUP(C249,PC!A$1:K$436,2,FALSE),"")</f>
        <v/>
      </c>
      <c r="F249" s="199" t="str">
        <f>IFERROR(VLOOKUP(C249,PC!A$1:K$436,7,FALSE)&amp;" "&amp;VLOOKUP(C249,PC!A$1:K$436,6,FALSE),"")</f>
        <v/>
      </c>
      <c r="G249" s="122"/>
      <c r="H249" s="1" t="str">
        <f t="shared" si="4"/>
        <v>10.51.91.85</v>
      </c>
    </row>
    <row r="250" spans="2:8" x14ac:dyDescent="0.25">
      <c r="B250" s="120">
        <v>86</v>
      </c>
      <c r="C250" s="35" t="s">
        <v>310</v>
      </c>
      <c r="D250" s="121" t="str">
        <f>IFERROR(VLOOKUP(C250,'정보화기기 명부'!A$2:B$138,2,FALSE),"")</f>
        <v/>
      </c>
      <c r="E250" s="122" t="str">
        <f>IFERROR(VLOOKUP(C250,PC!A$1:K$436,2,FALSE),"")</f>
        <v/>
      </c>
      <c r="F250" s="199" t="str">
        <f>IFERROR(VLOOKUP(C250,PC!A$1:K$436,7,FALSE)&amp;" "&amp;VLOOKUP(C250,PC!A$1:K$436,6,FALSE),"")</f>
        <v/>
      </c>
      <c r="G250" s="122"/>
      <c r="H250" s="1" t="str">
        <f t="shared" si="4"/>
        <v>10.51.91.86</v>
      </c>
    </row>
    <row r="251" spans="2:8" x14ac:dyDescent="0.25">
      <c r="B251" s="120">
        <v>87</v>
      </c>
      <c r="C251" s="35" t="s">
        <v>310</v>
      </c>
      <c r="D251" s="121" t="str">
        <f>IFERROR(VLOOKUP(C251,'정보화기기 명부'!A$2:B$138,2,FALSE),"")</f>
        <v/>
      </c>
      <c r="E251" s="122" t="str">
        <f>IFERROR(VLOOKUP(C251,PC!A$1:K$436,2,FALSE),"")</f>
        <v/>
      </c>
      <c r="F251" s="199" t="str">
        <f>IFERROR(VLOOKUP(C251,PC!A$1:K$436,7,FALSE)&amp;" "&amp;VLOOKUP(C251,PC!A$1:K$436,6,FALSE),"")</f>
        <v/>
      </c>
      <c r="G251" s="122"/>
      <c r="H251" s="1" t="str">
        <f t="shared" si="4"/>
        <v>10.51.91.87</v>
      </c>
    </row>
    <row r="252" spans="2:8" x14ac:dyDescent="0.25">
      <c r="B252" s="120">
        <v>88</v>
      </c>
      <c r="C252" s="35" t="s">
        <v>310</v>
      </c>
      <c r="D252" s="121" t="str">
        <f>IFERROR(VLOOKUP(C252,'정보화기기 명부'!A$2:B$138,2,FALSE),"")</f>
        <v/>
      </c>
      <c r="E252" s="122" t="str">
        <f>IFERROR(VLOOKUP(C252,PC!A$1:K$436,2,FALSE),"")</f>
        <v/>
      </c>
      <c r="F252" s="199" t="str">
        <f>IFERROR(VLOOKUP(C252,PC!A$1:K$436,7,FALSE)&amp;" "&amp;VLOOKUP(C252,PC!A$1:K$436,6,FALSE),"")</f>
        <v/>
      </c>
      <c r="G252" s="122"/>
      <c r="H252" s="1" t="str">
        <f t="shared" si="4"/>
        <v>10.51.91.88</v>
      </c>
    </row>
    <row r="253" spans="2:8" x14ac:dyDescent="0.25">
      <c r="B253" s="120">
        <v>89</v>
      </c>
      <c r="C253" s="35" t="s">
        <v>310</v>
      </c>
      <c r="D253" s="121" t="str">
        <f>IFERROR(VLOOKUP(C253,'정보화기기 명부'!A$2:B$138,2,FALSE),"")</f>
        <v/>
      </c>
      <c r="E253" s="122" t="str">
        <f>IFERROR(VLOOKUP(C253,PC!A$1:K$436,2,FALSE),"")</f>
        <v/>
      </c>
      <c r="F253" s="199" t="str">
        <f>IFERROR(VLOOKUP(C253,PC!A$1:K$436,7,FALSE)&amp;" "&amp;VLOOKUP(C253,PC!A$1:K$436,6,FALSE),"")</f>
        <v/>
      </c>
      <c r="G253" s="122"/>
      <c r="H253" s="1" t="str">
        <f t="shared" si="4"/>
        <v>10.51.91.89</v>
      </c>
    </row>
    <row r="254" spans="2:8" x14ac:dyDescent="0.25">
      <c r="B254" s="120">
        <v>90</v>
      </c>
      <c r="C254" s="35" t="s">
        <v>310</v>
      </c>
      <c r="D254" s="121" t="str">
        <f>IFERROR(VLOOKUP(C254,'정보화기기 명부'!A$2:B$138,2,FALSE),"")</f>
        <v/>
      </c>
      <c r="E254" s="122" t="str">
        <f>IFERROR(VLOOKUP(C254,PC!A$1:K$436,2,FALSE),"")</f>
        <v/>
      </c>
      <c r="F254" s="199" t="str">
        <f>IFERROR(VLOOKUP(C254,PC!A$1:K$436,7,FALSE)&amp;" "&amp;VLOOKUP(C254,PC!A$1:K$436,6,FALSE),"")</f>
        <v/>
      </c>
      <c r="G254" s="122"/>
      <c r="H254" s="1" t="str">
        <f t="shared" si="4"/>
        <v>10.51.91.90</v>
      </c>
    </row>
    <row r="255" spans="2:8" x14ac:dyDescent="0.25">
      <c r="B255" s="120">
        <v>91</v>
      </c>
      <c r="C255" s="35" t="s">
        <v>310</v>
      </c>
      <c r="D255" s="121" t="str">
        <f>IFERROR(VLOOKUP(C255,'정보화기기 명부'!A$2:B$138,2,FALSE),"")</f>
        <v/>
      </c>
      <c r="E255" s="122" t="str">
        <f>IFERROR(VLOOKUP(C255,PC!A$1:K$436,2,FALSE),"")</f>
        <v/>
      </c>
      <c r="F255" s="199" t="str">
        <f>IFERROR(VLOOKUP(C255,PC!A$1:K$436,7,FALSE)&amp;" "&amp;VLOOKUP(C255,PC!A$1:K$436,6,FALSE),"")</f>
        <v/>
      </c>
      <c r="G255" s="122"/>
      <c r="H255" s="1" t="str">
        <f t="shared" si="4"/>
        <v>10.51.91.91</v>
      </c>
    </row>
    <row r="256" spans="2:8" x14ac:dyDescent="0.25">
      <c r="B256" s="120">
        <v>92</v>
      </c>
      <c r="C256" s="35" t="s">
        <v>310</v>
      </c>
      <c r="D256" s="121" t="str">
        <f>IFERROR(VLOOKUP(C256,'정보화기기 명부'!A$2:B$138,2,FALSE),"")</f>
        <v/>
      </c>
      <c r="E256" s="122" t="str">
        <f>IFERROR(VLOOKUP(C256,PC!A$1:K$436,2,FALSE),"")</f>
        <v/>
      </c>
      <c r="F256" s="199" t="str">
        <f>IFERROR(VLOOKUP(C256,PC!A$1:K$436,7,FALSE)&amp;" "&amp;VLOOKUP(C256,PC!A$1:K$436,6,FALSE),"")</f>
        <v/>
      </c>
      <c r="G256" s="122"/>
      <c r="H256" s="1" t="str">
        <f t="shared" si="4"/>
        <v>10.51.91.92</v>
      </c>
    </row>
    <row r="257" spans="2:8" x14ac:dyDescent="0.25">
      <c r="B257" s="120">
        <v>93</v>
      </c>
      <c r="C257" s="35" t="s">
        <v>310</v>
      </c>
      <c r="D257" s="121" t="str">
        <f>IFERROR(VLOOKUP(C257,'정보화기기 명부'!A$2:B$138,2,FALSE),"")</f>
        <v/>
      </c>
      <c r="E257" s="122" t="str">
        <f>IFERROR(VLOOKUP(C257,PC!A$1:K$436,2,FALSE),"")</f>
        <v/>
      </c>
      <c r="F257" s="199" t="str">
        <f>IFERROR(VLOOKUP(C257,PC!A$1:K$436,7,FALSE)&amp;" "&amp;VLOOKUP(C257,PC!A$1:K$436,6,FALSE),"")</f>
        <v/>
      </c>
      <c r="G257" s="122"/>
      <c r="H257" s="1" t="str">
        <f t="shared" si="4"/>
        <v>10.51.91.93</v>
      </c>
    </row>
    <row r="258" spans="2:8" x14ac:dyDescent="0.25">
      <c r="B258" s="120">
        <v>94</v>
      </c>
      <c r="C258" s="35" t="s">
        <v>310</v>
      </c>
      <c r="D258" s="121" t="str">
        <f>IFERROR(VLOOKUP(C258,'정보화기기 명부'!A$2:B$138,2,FALSE),"")</f>
        <v/>
      </c>
      <c r="E258" s="122" t="str">
        <f>IFERROR(VLOOKUP(C258,PC!A$1:K$436,2,FALSE),"")</f>
        <v/>
      </c>
      <c r="F258" s="199" t="str">
        <f>IFERROR(VLOOKUP(C258,PC!A$1:K$436,7,FALSE)&amp;" "&amp;VLOOKUP(C258,PC!A$1:K$436,6,FALSE),"")</f>
        <v/>
      </c>
      <c r="G258" s="122"/>
      <c r="H258" s="1" t="str">
        <f t="shared" si="4"/>
        <v>10.51.91.94</v>
      </c>
    </row>
    <row r="259" spans="2:8" x14ac:dyDescent="0.25">
      <c r="B259" s="120">
        <v>95</v>
      </c>
      <c r="C259" s="35" t="s">
        <v>310</v>
      </c>
      <c r="D259" s="121" t="str">
        <f>IFERROR(VLOOKUP(C259,'정보화기기 명부'!A$2:B$138,2,FALSE),"")</f>
        <v/>
      </c>
      <c r="E259" s="122" t="str">
        <f>IFERROR(VLOOKUP(C259,PC!A$1:K$436,2,FALSE),"")</f>
        <v/>
      </c>
      <c r="F259" s="199" t="str">
        <f>IFERROR(VLOOKUP(C259,PC!A$1:K$436,7,FALSE)&amp;" "&amp;VLOOKUP(C259,PC!A$1:K$436,6,FALSE),"")</f>
        <v/>
      </c>
      <c r="G259" s="122"/>
      <c r="H259" s="1" t="str">
        <f t="shared" si="4"/>
        <v>10.51.91.95</v>
      </c>
    </row>
    <row r="260" spans="2:8" x14ac:dyDescent="0.25">
      <c r="B260" s="120">
        <v>96</v>
      </c>
      <c r="C260" s="35" t="s">
        <v>310</v>
      </c>
      <c r="D260" s="121" t="str">
        <f>IFERROR(VLOOKUP(C260,'정보화기기 명부'!A$2:B$138,2,FALSE),"")</f>
        <v/>
      </c>
      <c r="E260" s="122" t="str">
        <f>IFERROR(VLOOKUP(C260,PC!A$1:K$436,2,FALSE),"")</f>
        <v/>
      </c>
      <c r="F260" s="199" t="str">
        <f>IFERROR(VLOOKUP(C260,PC!A$1:K$436,7,FALSE)&amp;" "&amp;VLOOKUP(C260,PC!A$1:K$436,6,FALSE),"")</f>
        <v/>
      </c>
      <c r="G260" s="122"/>
      <c r="H260" s="1" t="str">
        <f t="shared" si="4"/>
        <v>10.51.91.96</v>
      </c>
    </row>
    <row r="261" spans="2:8" x14ac:dyDescent="0.25">
      <c r="B261" s="120">
        <v>97</v>
      </c>
      <c r="C261" s="35" t="s">
        <v>310</v>
      </c>
      <c r="D261" s="121" t="str">
        <f>IFERROR(VLOOKUP(C261,'정보화기기 명부'!A$2:B$138,2,FALSE),"")</f>
        <v/>
      </c>
      <c r="E261" s="122" t="str">
        <f>IFERROR(VLOOKUP(C261,PC!A$1:K$436,2,FALSE),"")</f>
        <v/>
      </c>
      <c r="F261" s="199" t="str">
        <f>IFERROR(VLOOKUP(C261,PC!A$1:K$436,7,FALSE)&amp;" "&amp;VLOOKUP(C261,PC!A$1:K$436,6,FALSE),"")</f>
        <v/>
      </c>
      <c r="G261" s="122"/>
      <c r="H261" s="1" t="str">
        <f t="shared" si="4"/>
        <v>10.51.91.97</v>
      </c>
    </row>
    <row r="262" spans="2:8" x14ac:dyDescent="0.25">
      <c r="B262" s="120">
        <v>98</v>
      </c>
      <c r="C262" s="35" t="s">
        <v>310</v>
      </c>
      <c r="D262" s="121" t="str">
        <f>IFERROR(VLOOKUP(C262,'정보화기기 명부'!A$2:B$138,2,FALSE),"")</f>
        <v/>
      </c>
      <c r="E262" s="122" t="str">
        <f>IFERROR(VLOOKUP(C262,PC!A$1:K$436,2,FALSE),"")</f>
        <v/>
      </c>
      <c r="F262" s="199" t="str">
        <f>IFERROR(VLOOKUP(C262,PC!A$1:K$436,7,FALSE)&amp;" "&amp;VLOOKUP(C262,PC!A$1:K$436,6,FALSE),"")</f>
        <v/>
      </c>
      <c r="G262" s="122"/>
      <c r="H262" s="1" t="str">
        <f t="shared" si="4"/>
        <v>10.51.91.98</v>
      </c>
    </row>
    <row r="263" spans="2:8" x14ac:dyDescent="0.25">
      <c r="B263" s="120">
        <v>99</v>
      </c>
      <c r="C263" s="35" t="s">
        <v>310</v>
      </c>
      <c r="D263" s="121" t="str">
        <f>IFERROR(VLOOKUP(C263,'정보화기기 명부'!A$2:B$138,2,FALSE),"")</f>
        <v/>
      </c>
      <c r="E263" s="122" t="str">
        <f>IFERROR(VLOOKUP(C263,PC!A$1:K$436,2,FALSE),"")</f>
        <v/>
      </c>
      <c r="F263" s="199" t="str">
        <f>IFERROR(VLOOKUP(C263,PC!A$1:K$436,7,FALSE)&amp;" "&amp;VLOOKUP(C263,PC!A$1:K$436,6,FALSE),"")</f>
        <v/>
      </c>
      <c r="G263" s="122"/>
      <c r="H263" s="1" t="str">
        <f t="shared" si="4"/>
        <v>10.51.91.99</v>
      </c>
    </row>
    <row r="264" spans="2:8" x14ac:dyDescent="0.25">
      <c r="B264" s="120">
        <v>100</v>
      </c>
      <c r="C264" s="35" t="s">
        <v>310</v>
      </c>
      <c r="D264" s="121" t="str">
        <f>IFERROR(VLOOKUP(C264,'정보화기기 명부'!A$2:B$138,2,FALSE),"")</f>
        <v/>
      </c>
      <c r="E264" s="122" t="str">
        <f>IFERROR(VLOOKUP(C264,PC!A$1:K$436,2,FALSE),"")</f>
        <v/>
      </c>
      <c r="F264" s="199" t="str">
        <f>IFERROR(VLOOKUP(C264,PC!A$1:K$436,7,FALSE)&amp;" "&amp;VLOOKUP(C264,PC!A$1:K$436,6,FALSE),"")</f>
        <v/>
      </c>
      <c r="G264" s="122"/>
      <c r="H264" s="1" t="str">
        <f t="shared" si="4"/>
        <v>10.51.91.100</v>
      </c>
    </row>
    <row r="265" spans="2:8" x14ac:dyDescent="0.25">
      <c r="B265" s="120">
        <v>101</v>
      </c>
      <c r="C265" s="35" t="s">
        <v>310</v>
      </c>
      <c r="D265" s="121" t="str">
        <f>IFERROR(VLOOKUP(C265,'정보화기기 명부'!A$2:B$138,2,FALSE),"")</f>
        <v/>
      </c>
      <c r="E265" s="122" t="str">
        <f>IFERROR(VLOOKUP(C265,PC!A$1:K$436,2,FALSE),"")</f>
        <v/>
      </c>
      <c r="F265" s="199" t="str">
        <f>IFERROR(VLOOKUP(C265,PC!A$1:K$436,7,FALSE)&amp;" "&amp;VLOOKUP(C265,PC!A$1:K$436,6,FALSE),"")</f>
        <v/>
      </c>
      <c r="G265" s="122"/>
      <c r="H265" s="1" t="str">
        <f t="shared" si="4"/>
        <v>10.51.91.101</v>
      </c>
    </row>
    <row r="266" spans="2:8" x14ac:dyDescent="0.25">
      <c r="B266" s="120">
        <v>102</v>
      </c>
      <c r="C266" s="35" t="s">
        <v>310</v>
      </c>
      <c r="D266" s="121" t="str">
        <f>IFERROR(VLOOKUP(C266,'정보화기기 명부'!A$2:B$138,2,FALSE),"")</f>
        <v/>
      </c>
      <c r="E266" s="122" t="str">
        <f>IFERROR(VLOOKUP(C266,PC!A$1:K$436,2,FALSE),"")</f>
        <v/>
      </c>
      <c r="F266" s="199" t="str">
        <f>IFERROR(VLOOKUP(C266,PC!A$1:K$436,7,FALSE)&amp;" "&amp;VLOOKUP(C266,PC!A$1:K$436,6,FALSE),"")</f>
        <v/>
      </c>
      <c r="G266" s="122"/>
      <c r="H266" s="1" t="str">
        <f t="shared" si="4"/>
        <v>10.51.91.102</v>
      </c>
    </row>
    <row r="267" spans="2:8" x14ac:dyDescent="0.25">
      <c r="B267" s="120">
        <v>103</v>
      </c>
      <c r="C267" s="35" t="s">
        <v>310</v>
      </c>
      <c r="D267" s="121" t="str">
        <f>IFERROR(VLOOKUP(C267,'정보화기기 명부'!A$2:B$138,2,FALSE),"")</f>
        <v/>
      </c>
      <c r="E267" s="122" t="str">
        <f>IFERROR(VLOOKUP(C267,PC!A$1:K$436,2,FALSE),"")</f>
        <v/>
      </c>
      <c r="F267" s="199" t="str">
        <f>IFERROR(VLOOKUP(C267,PC!A$1:K$436,7,FALSE)&amp;" "&amp;VLOOKUP(C267,PC!A$1:K$436,6,FALSE),"")</f>
        <v/>
      </c>
      <c r="G267" s="122"/>
      <c r="H267" s="1" t="str">
        <f t="shared" si="4"/>
        <v>10.51.91.103</v>
      </c>
    </row>
    <row r="268" spans="2:8" x14ac:dyDescent="0.25">
      <c r="B268" s="120">
        <v>104</v>
      </c>
      <c r="C268" s="35" t="s">
        <v>310</v>
      </c>
      <c r="D268" s="121" t="str">
        <f>IFERROR(VLOOKUP(C268,'정보화기기 명부'!A$2:B$138,2,FALSE),"")</f>
        <v/>
      </c>
      <c r="E268" s="122" t="str">
        <f>IFERROR(VLOOKUP(C268,PC!A$1:K$436,2,FALSE),"")</f>
        <v/>
      </c>
      <c r="F268" s="199" t="str">
        <f>IFERROR(VLOOKUP(C268,PC!A$1:K$436,7,FALSE)&amp;" "&amp;VLOOKUP(C268,PC!A$1:K$436,6,FALSE),"")</f>
        <v/>
      </c>
      <c r="G268" s="122"/>
      <c r="H268" s="1" t="str">
        <f t="shared" si="4"/>
        <v>10.51.91.104</v>
      </c>
    </row>
    <row r="269" spans="2:8" x14ac:dyDescent="0.25">
      <c r="B269" s="120">
        <v>105</v>
      </c>
      <c r="C269" s="35" t="s">
        <v>310</v>
      </c>
      <c r="D269" s="121" t="str">
        <f>IFERROR(VLOOKUP(C269,'정보화기기 명부'!A$2:B$138,2,FALSE),"")</f>
        <v/>
      </c>
      <c r="E269" s="122" t="str">
        <f>IFERROR(VLOOKUP(C269,PC!A$1:K$436,2,FALSE),"")</f>
        <v/>
      </c>
      <c r="F269" s="199" t="str">
        <f>IFERROR(VLOOKUP(C269,PC!A$1:K$436,7,FALSE)&amp;" "&amp;VLOOKUP(C269,PC!A$1:K$436,6,FALSE),"")</f>
        <v/>
      </c>
      <c r="G269" s="122"/>
      <c r="H269" s="1" t="str">
        <f t="shared" si="4"/>
        <v>10.51.91.105</v>
      </c>
    </row>
    <row r="270" spans="2:8" x14ac:dyDescent="0.25">
      <c r="B270" s="120">
        <v>106</v>
      </c>
      <c r="C270" s="35" t="s">
        <v>310</v>
      </c>
      <c r="D270" s="121" t="str">
        <f>IFERROR(VLOOKUP(C270,'정보화기기 명부'!A$2:B$138,2,FALSE),"")</f>
        <v/>
      </c>
      <c r="E270" s="122" t="str">
        <f>IFERROR(VLOOKUP(C270,PC!A$1:K$436,2,FALSE),"")</f>
        <v/>
      </c>
      <c r="F270" s="199" t="str">
        <f>IFERROR(VLOOKUP(C270,PC!A$1:K$436,7,FALSE)&amp;" "&amp;VLOOKUP(C270,PC!A$1:K$436,6,FALSE),"")</f>
        <v/>
      </c>
      <c r="G270" s="122"/>
      <c r="H270" s="1" t="str">
        <f t="shared" si="4"/>
        <v>10.51.91.106</v>
      </c>
    </row>
    <row r="271" spans="2:8" x14ac:dyDescent="0.25">
      <c r="B271" s="120">
        <v>107</v>
      </c>
      <c r="C271" s="35" t="s">
        <v>310</v>
      </c>
      <c r="D271" s="121" t="str">
        <f>IFERROR(VLOOKUP(C271,'정보화기기 명부'!A$2:B$138,2,FALSE),"")</f>
        <v/>
      </c>
      <c r="E271" s="122" t="str">
        <f>IFERROR(VLOOKUP(C271,PC!A$1:K$436,2,FALSE),"")</f>
        <v/>
      </c>
      <c r="F271" s="199" t="str">
        <f>IFERROR(VLOOKUP(C271,PC!A$1:K$436,7,FALSE)&amp;" "&amp;VLOOKUP(C271,PC!A$1:K$436,6,FALSE),"")</f>
        <v/>
      </c>
      <c r="G271" s="122"/>
      <c r="H271" s="1" t="str">
        <f t="shared" si="4"/>
        <v>10.51.91.107</v>
      </c>
    </row>
    <row r="272" spans="2:8" x14ac:dyDescent="0.25">
      <c r="B272" s="120">
        <v>108</v>
      </c>
      <c r="C272" s="35" t="s">
        <v>310</v>
      </c>
      <c r="D272" s="121" t="str">
        <f>IFERROR(VLOOKUP(C272,'정보화기기 명부'!A$2:B$138,2,FALSE),"")</f>
        <v/>
      </c>
      <c r="E272" s="122" t="str">
        <f>IFERROR(VLOOKUP(C272,PC!A$1:K$436,2,FALSE),"")</f>
        <v/>
      </c>
      <c r="F272" s="199" t="str">
        <f>IFERROR(VLOOKUP(C272,PC!A$1:K$436,7,FALSE)&amp;" "&amp;VLOOKUP(C272,PC!A$1:K$436,6,FALSE),"")</f>
        <v/>
      </c>
      <c r="G272" s="122"/>
      <c r="H272" s="1" t="str">
        <f t="shared" si="4"/>
        <v>10.51.91.108</v>
      </c>
    </row>
    <row r="273" spans="2:8" x14ac:dyDescent="0.25">
      <c r="B273" s="120">
        <v>109</v>
      </c>
      <c r="C273" s="35" t="s">
        <v>310</v>
      </c>
      <c r="D273" s="121" t="str">
        <f>IFERROR(VLOOKUP(C273,'정보화기기 명부'!A$2:B$138,2,FALSE),"")</f>
        <v/>
      </c>
      <c r="E273" s="122" t="str">
        <f>IFERROR(VLOOKUP(C273,PC!A$1:K$436,2,FALSE),"")</f>
        <v/>
      </c>
      <c r="F273" s="199" t="str">
        <f>IFERROR(VLOOKUP(C273,PC!A$1:K$436,7,FALSE)&amp;" "&amp;VLOOKUP(C273,PC!A$1:K$436,6,FALSE),"")</f>
        <v/>
      </c>
      <c r="G273" s="122"/>
      <c r="H273" s="1" t="str">
        <f t="shared" si="4"/>
        <v>10.51.91.109</v>
      </c>
    </row>
    <row r="274" spans="2:8" x14ac:dyDescent="0.25">
      <c r="B274" s="120">
        <v>110</v>
      </c>
      <c r="C274" s="35" t="s">
        <v>310</v>
      </c>
      <c r="D274" s="121" t="str">
        <f>IFERROR(VLOOKUP(C274,'정보화기기 명부'!A$2:B$138,2,FALSE),"")</f>
        <v/>
      </c>
      <c r="E274" s="122" t="str">
        <f>IFERROR(VLOOKUP(C274,PC!A$1:K$436,2,FALSE),"")</f>
        <v/>
      </c>
      <c r="F274" s="199" t="str">
        <f>IFERROR(VLOOKUP(C274,PC!A$1:K$436,7,FALSE)&amp;" "&amp;VLOOKUP(C274,PC!A$1:K$436,6,FALSE),"")</f>
        <v/>
      </c>
      <c r="G274" s="122"/>
      <c r="H274" s="1" t="str">
        <f t="shared" si="4"/>
        <v>10.51.91.110</v>
      </c>
    </row>
    <row r="275" spans="2:8" x14ac:dyDescent="0.25">
      <c r="B275" s="120">
        <v>111</v>
      </c>
      <c r="C275" s="35" t="s">
        <v>310</v>
      </c>
      <c r="D275" s="121" t="str">
        <f>IFERROR(VLOOKUP(C275,'정보화기기 명부'!A$2:B$138,2,FALSE),"")</f>
        <v/>
      </c>
      <c r="E275" s="122" t="str">
        <f>IFERROR(VLOOKUP(C275,PC!A$1:K$436,2,FALSE),"")</f>
        <v/>
      </c>
      <c r="F275" s="199" t="str">
        <f>IFERROR(VLOOKUP(C275,PC!A$1:K$436,7,FALSE)&amp;" "&amp;VLOOKUP(C275,PC!A$1:K$436,6,FALSE),"")</f>
        <v/>
      </c>
      <c r="G275" s="122"/>
      <c r="H275" s="1" t="str">
        <f t="shared" si="4"/>
        <v>10.51.91.111</v>
      </c>
    </row>
    <row r="276" spans="2:8" x14ac:dyDescent="0.25">
      <c r="B276" s="120">
        <v>112</v>
      </c>
      <c r="C276" s="35" t="s">
        <v>310</v>
      </c>
      <c r="D276" s="121" t="str">
        <f>IFERROR(VLOOKUP(C276,'정보화기기 명부'!A$2:B$138,2,FALSE),"")</f>
        <v/>
      </c>
      <c r="E276" s="122" t="str">
        <f>IFERROR(VLOOKUP(C276,PC!A$1:K$436,2,FALSE),"")</f>
        <v/>
      </c>
      <c r="F276" s="199" t="str">
        <f>IFERROR(VLOOKUP(C276,PC!A$1:K$436,7,FALSE)&amp;" "&amp;VLOOKUP(C276,PC!A$1:K$436,6,FALSE),"")</f>
        <v/>
      </c>
      <c r="G276" s="122"/>
      <c r="H276" s="1" t="str">
        <f t="shared" si="4"/>
        <v>10.51.91.112</v>
      </c>
    </row>
    <row r="277" spans="2:8" x14ac:dyDescent="0.25">
      <c r="B277" s="120">
        <v>113</v>
      </c>
      <c r="C277" s="35" t="s">
        <v>310</v>
      </c>
      <c r="D277" s="121" t="str">
        <f>IFERROR(VLOOKUP(C277,'정보화기기 명부'!A$2:B$138,2,FALSE),"")</f>
        <v/>
      </c>
      <c r="E277" s="122" t="str">
        <f>IFERROR(VLOOKUP(C277,PC!A$1:K$436,2,FALSE),"")</f>
        <v/>
      </c>
      <c r="F277" s="199" t="str">
        <f>IFERROR(VLOOKUP(C277,PC!A$1:K$436,7,FALSE)&amp;" "&amp;VLOOKUP(C277,PC!A$1:K$436,6,FALSE),"")</f>
        <v/>
      </c>
      <c r="G277" s="122"/>
      <c r="H277" s="1" t="str">
        <f t="shared" si="4"/>
        <v>10.51.91.113</v>
      </c>
    </row>
    <row r="278" spans="2:8" x14ac:dyDescent="0.25">
      <c r="B278" s="120">
        <v>114</v>
      </c>
      <c r="C278" s="35" t="s">
        <v>310</v>
      </c>
      <c r="D278" s="121" t="str">
        <f>IFERROR(VLOOKUP(C278,'정보화기기 명부'!A$2:B$138,2,FALSE),"")</f>
        <v/>
      </c>
      <c r="E278" s="122" t="str">
        <f>IFERROR(VLOOKUP(C278,PC!A$1:K$436,2,FALSE),"")</f>
        <v/>
      </c>
      <c r="F278" s="199" t="str">
        <f>IFERROR(VLOOKUP(C278,PC!A$1:K$436,7,FALSE)&amp;" "&amp;VLOOKUP(C278,PC!A$1:K$436,6,FALSE),"")</f>
        <v/>
      </c>
      <c r="G278" s="122"/>
      <c r="H278" s="1" t="str">
        <f t="shared" si="4"/>
        <v>10.51.91.114</v>
      </c>
    </row>
    <row r="279" spans="2:8" x14ac:dyDescent="0.25">
      <c r="B279" s="120">
        <v>115</v>
      </c>
      <c r="C279" s="35" t="s">
        <v>310</v>
      </c>
      <c r="D279" s="121" t="str">
        <f>IFERROR(VLOOKUP(C279,'정보화기기 명부'!A$2:B$138,2,FALSE),"")</f>
        <v/>
      </c>
      <c r="E279" s="122" t="str">
        <f>IFERROR(VLOOKUP(C279,PC!A$1:K$436,2,FALSE),"")</f>
        <v/>
      </c>
      <c r="F279" s="199" t="str">
        <f>IFERROR(VLOOKUP(C279,PC!A$1:K$436,7,FALSE)&amp;" "&amp;VLOOKUP(C279,PC!A$1:K$436,6,FALSE),"")</f>
        <v/>
      </c>
      <c r="G279" s="122"/>
      <c r="H279" s="1" t="str">
        <f t="shared" si="4"/>
        <v>10.51.91.115</v>
      </c>
    </row>
    <row r="280" spans="2:8" x14ac:dyDescent="0.25">
      <c r="B280" s="120">
        <v>116</v>
      </c>
      <c r="C280" s="35" t="s">
        <v>310</v>
      </c>
      <c r="D280" s="121" t="str">
        <f>IFERROR(VLOOKUP(C280,'정보화기기 명부'!A$2:B$138,2,FALSE),"")</f>
        <v/>
      </c>
      <c r="E280" s="122" t="str">
        <f>IFERROR(VLOOKUP(C280,PC!A$1:K$436,2,FALSE),"")</f>
        <v/>
      </c>
      <c r="F280" s="199" t="str">
        <f>IFERROR(VLOOKUP(C280,PC!A$1:K$436,7,FALSE)&amp;" "&amp;VLOOKUP(C280,PC!A$1:K$436,6,FALSE),"")</f>
        <v/>
      </c>
      <c r="G280" s="122"/>
      <c r="H280" s="1" t="str">
        <f t="shared" si="4"/>
        <v>10.51.91.116</v>
      </c>
    </row>
    <row r="281" spans="2:8" x14ac:dyDescent="0.25">
      <c r="B281" s="120">
        <v>117</v>
      </c>
      <c r="C281" s="35" t="s">
        <v>310</v>
      </c>
      <c r="D281" s="121" t="str">
        <f>IFERROR(VLOOKUP(C281,'정보화기기 명부'!A$2:B$138,2,FALSE),"")</f>
        <v/>
      </c>
      <c r="E281" s="122" t="str">
        <f>IFERROR(VLOOKUP(C281,PC!A$1:K$436,2,FALSE),"")</f>
        <v/>
      </c>
      <c r="F281" s="199" t="str">
        <f>IFERROR(VLOOKUP(C281,PC!A$1:K$436,7,FALSE)&amp;" "&amp;VLOOKUP(C281,PC!A$1:K$436,6,FALSE),"")</f>
        <v/>
      </c>
      <c r="G281" s="122"/>
      <c r="H281" s="1" t="str">
        <f t="shared" si="4"/>
        <v>10.51.91.117</v>
      </c>
    </row>
    <row r="282" spans="2:8" x14ac:dyDescent="0.25">
      <c r="B282" s="120">
        <v>118</v>
      </c>
      <c r="C282" s="35" t="s">
        <v>310</v>
      </c>
      <c r="D282" s="121" t="str">
        <f>IFERROR(VLOOKUP(C282,'정보화기기 명부'!A$2:B$138,2,FALSE),"")</f>
        <v/>
      </c>
      <c r="E282" s="122" t="str">
        <f>IFERROR(VLOOKUP(C282,PC!A$1:K$436,2,FALSE),"")</f>
        <v/>
      </c>
      <c r="F282" s="199" t="str">
        <f>IFERROR(VLOOKUP(C282,PC!A$1:K$436,7,FALSE)&amp;" "&amp;VLOOKUP(C282,PC!A$1:K$436,6,FALSE),"")</f>
        <v/>
      </c>
      <c r="G282" s="122"/>
      <c r="H282" s="1" t="str">
        <f t="shared" si="4"/>
        <v>10.51.91.118</v>
      </c>
    </row>
    <row r="283" spans="2:8" x14ac:dyDescent="0.25">
      <c r="B283" s="120">
        <v>119</v>
      </c>
      <c r="C283" s="35" t="s">
        <v>310</v>
      </c>
      <c r="D283" s="121" t="str">
        <f>IFERROR(VLOOKUP(C283,'정보화기기 명부'!A$2:B$138,2,FALSE),"")</f>
        <v/>
      </c>
      <c r="E283" s="122" t="str">
        <f>IFERROR(VLOOKUP(C283,PC!A$1:K$436,2,FALSE),"")</f>
        <v/>
      </c>
      <c r="F283" s="199" t="str">
        <f>IFERROR(VLOOKUP(C283,PC!A$1:K$436,7,FALSE)&amp;" "&amp;VLOOKUP(C283,PC!A$1:K$436,6,FALSE),"")</f>
        <v/>
      </c>
      <c r="G283" s="122"/>
      <c r="H283" s="1" t="str">
        <f t="shared" si="4"/>
        <v>10.51.91.119</v>
      </c>
    </row>
    <row r="284" spans="2:8" x14ac:dyDescent="0.25">
      <c r="B284" s="120">
        <v>120</v>
      </c>
      <c r="C284" s="35" t="s">
        <v>310</v>
      </c>
      <c r="D284" s="121" t="str">
        <f>IFERROR(VLOOKUP(C284,'정보화기기 명부'!A$2:B$138,2,FALSE),"")</f>
        <v/>
      </c>
      <c r="E284" s="122" t="str">
        <f>IFERROR(VLOOKUP(C284,PC!A$1:K$436,2,FALSE),"")</f>
        <v/>
      </c>
      <c r="F284" s="199" t="str">
        <f>IFERROR(VLOOKUP(C284,PC!A$1:K$436,7,FALSE)&amp;" "&amp;VLOOKUP(C284,PC!A$1:K$436,6,FALSE),"")</f>
        <v/>
      </c>
      <c r="G284" s="122"/>
      <c r="H284" s="1" t="str">
        <f t="shared" si="4"/>
        <v>10.51.91.120</v>
      </c>
    </row>
    <row r="285" spans="2:8" x14ac:dyDescent="0.25">
      <c r="B285" s="120">
        <v>121</v>
      </c>
      <c r="C285" s="35" t="s">
        <v>310</v>
      </c>
      <c r="D285" s="121" t="str">
        <f>IFERROR(VLOOKUP(C285,'정보화기기 명부'!A$2:B$138,2,FALSE),"")</f>
        <v/>
      </c>
      <c r="E285" s="122" t="str">
        <f>IFERROR(VLOOKUP(C285,PC!A$1:K$436,2,FALSE),"")</f>
        <v/>
      </c>
      <c r="F285" s="199" t="str">
        <f>IFERROR(VLOOKUP(C285,PC!A$1:K$436,7,FALSE)&amp;" "&amp;VLOOKUP(C285,PC!A$1:K$436,6,FALSE),"")</f>
        <v/>
      </c>
      <c r="G285" s="122"/>
      <c r="H285" s="1" t="str">
        <f t="shared" si="4"/>
        <v>10.51.91.121</v>
      </c>
    </row>
    <row r="286" spans="2:8" x14ac:dyDescent="0.25">
      <c r="B286" s="120">
        <v>122</v>
      </c>
      <c r="C286" s="35" t="s">
        <v>310</v>
      </c>
      <c r="D286" s="121" t="str">
        <f>IFERROR(VLOOKUP(C286,'정보화기기 명부'!A$2:B$138,2,FALSE),"")</f>
        <v/>
      </c>
      <c r="E286" s="122" t="str">
        <f>IFERROR(VLOOKUP(C286,PC!A$1:K$436,2,FALSE),"")</f>
        <v/>
      </c>
      <c r="F286" s="199" t="str">
        <f>IFERROR(VLOOKUP(C286,PC!A$1:K$436,7,FALSE)&amp;" "&amp;VLOOKUP(C286,PC!A$1:K$436,6,FALSE),"")</f>
        <v/>
      </c>
      <c r="G286" s="122"/>
      <c r="H286" s="1" t="str">
        <f t="shared" si="4"/>
        <v>10.51.91.122</v>
      </c>
    </row>
    <row r="287" spans="2:8" x14ac:dyDescent="0.25">
      <c r="B287" s="120">
        <v>123</v>
      </c>
      <c r="C287" s="35" t="s">
        <v>310</v>
      </c>
      <c r="D287" s="121" t="str">
        <f>IFERROR(VLOOKUP(C287,'정보화기기 명부'!A$2:B$138,2,FALSE),"")</f>
        <v/>
      </c>
      <c r="E287" s="122" t="str">
        <f>IFERROR(VLOOKUP(C287,PC!A$1:K$436,2,FALSE),"")</f>
        <v/>
      </c>
      <c r="F287" s="199" t="str">
        <f>IFERROR(VLOOKUP(C287,PC!A$1:K$436,7,FALSE)&amp;" "&amp;VLOOKUP(C287,PC!A$1:K$436,6,FALSE),"")</f>
        <v/>
      </c>
      <c r="G287" s="122"/>
      <c r="H287" s="1" t="str">
        <f t="shared" si="4"/>
        <v>10.51.91.123</v>
      </c>
    </row>
    <row r="288" spans="2:8" x14ac:dyDescent="0.25">
      <c r="B288" s="120">
        <v>124</v>
      </c>
      <c r="C288" s="35" t="s">
        <v>310</v>
      </c>
      <c r="D288" s="121" t="str">
        <f>IFERROR(VLOOKUP(C288,'정보화기기 명부'!A$2:B$138,2,FALSE),"")</f>
        <v/>
      </c>
      <c r="E288" s="122" t="str">
        <f>IFERROR(VLOOKUP(C288,PC!A$1:K$436,2,FALSE),"")</f>
        <v/>
      </c>
      <c r="F288" s="199" t="str">
        <f>IFERROR(VLOOKUP(C288,PC!A$1:K$436,7,FALSE)&amp;" "&amp;VLOOKUP(C288,PC!A$1:K$436,6,FALSE),"")</f>
        <v/>
      </c>
      <c r="G288" s="122"/>
      <c r="H288" s="1" t="str">
        <f t="shared" si="4"/>
        <v>10.51.91.124</v>
      </c>
    </row>
    <row r="289" spans="2:8" x14ac:dyDescent="0.25">
      <c r="B289" s="120">
        <v>125</v>
      </c>
      <c r="C289" s="35" t="s">
        <v>310</v>
      </c>
      <c r="D289" s="121" t="str">
        <f>IFERROR(VLOOKUP(C289,'정보화기기 명부'!A$2:B$138,2,FALSE),"")</f>
        <v/>
      </c>
      <c r="E289" s="122" t="str">
        <f>IFERROR(VLOOKUP(C289,PC!A$1:K$436,2,FALSE),"")</f>
        <v/>
      </c>
      <c r="F289" s="199" t="str">
        <f>IFERROR(VLOOKUP(C289,PC!A$1:K$436,7,FALSE)&amp;" "&amp;VLOOKUP(C289,PC!A$1:K$436,6,FALSE),"")</f>
        <v/>
      </c>
      <c r="G289" s="122"/>
      <c r="H289" s="1" t="str">
        <f t="shared" si="4"/>
        <v>10.51.91.125</v>
      </c>
    </row>
    <row r="290" spans="2:8" x14ac:dyDescent="0.25">
      <c r="B290" s="120">
        <v>126</v>
      </c>
      <c r="C290" s="35" t="s">
        <v>310</v>
      </c>
      <c r="D290" s="121" t="str">
        <f>IFERROR(VLOOKUP(C290,'정보화기기 명부'!A$2:B$138,2,FALSE),"")</f>
        <v/>
      </c>
      <c r="E290" s="122" t="str">
        <f>IFERROR(VLOOKUP(C290,PC!A$1:K$436,2,FALSE),"")</f>
        <v/>
      </c>
      <c r="F290" s="199" t="str">
        <f>IFERROR(VLOOKUP(C290,PC!A$1:K$436,7,FALSE)&amp;" "&amp;VLOOKUP(C290,PC!A$1:K$436,6,FALSE),"")</f>
        <v/>
      </c>
      <c r="G290" s="122"/>
      <c r="H290" s="1" t="str">
        <f t="shared" si="4"/>
        <v>10.51.91.126</v>
      </c>
    </row>
    <row r="291" spans="2:8" x14ac:dyDescent="0.25">
      <c r="B291" s="120">
        <v>127</v>
      </c>
      <c r="C291" s="35" t="s">
        <v>310</v>
      </c>
      <c r="D291" s="121" t="str">
        <f>IFERROR(VLOOKUP(C291,'정보화기기 명부'!A$2:B$138,2,FALSE),"")</f>
        <v/>
      </c>
      <c r="E291" s="122" t="str">
        <f>IFERROR(VLOOKUP(C291,PC!A$1:K$436,2,FALSE),"")</f>
        <v/>
      </c>
      <c r="F291" s="199" t="str">
        <f>IFERROR(VLOOKUP(C291,PC!A$1:K$436,7,FALSE)&amp;" "&amp;VLOOKUP(C291,PC!A$1:K$436,6,FALSE),"")</f>
        <v/>
      </c>
      <c r="G291" s="122"/>
      <c r="H291" s="1" t="str">
        <f t="shared" si="4"/>
        <v>10.51.91.127</v>
      </c>
    </row>
    <row r="292" spans="2:8" x14ac:dyDescent="0.25">
      <c r="B292" s="120">
        <v>128</v>
      </c>
      <c r="C292" s="35" t="s">
        <v>310</v>
      </c>
      <c r="D292" s="121" t="str">
        <f>IFERROR(VLOOKUP(C292,'정보화기기 명부'!A$2:B$138,2,FALSE),"")</f>
        <v/>
      </c>
      <c r="E292" s="122" t="str">
        <f>IFERROR(VLOOKUP(C292,PC!A$1:K$436,2,FALSE),"")</f>
        <v/>
      </c>
      <c r="F292" s="199" t="str">
        <f>IFERROR(VLOOKUP(C292,PC!A$1:K$436,7,FALSE)&amp;" "&amp;VLOOKUP(C292,PC!A$1:K$436,6,FALSE),"")</f>
        <v/>
      </c>
      <c r="G292" s="122"/>
      <c r="H292" s="1" t="str">
        <f t="shared" si="4"/>
        <v>10.51.91.128</v>
      </c>
    </row>
    <row r="293" spans="2:8" x14ac:dyDescent="0.25">
      <c r="B293" s="120">
        <v>129</v>
      </c>
      <c r="C293" s="35" t="s">
        <v>310</v>
      </c>
      <c r="D293" s="121" t="str">
        <f>IFERROR(VLOOKUP(C293,'정보화기기 명부'!A$2:B$138,2,FALSE),"")</f>
        <v/>
      </c>
      <c r="E293" s="122" t="str">
        <f>IFERROR(VLOOKUP(C293,PC!A$1:K$436,2,FALSE),"")</f>
        <v/>
      </c>
      <c r="F293" s="199" t="str">
        <f>IFERROR(VLOOKUP(C293,PC!A$1:K$436,7,FALSE)&amp;" "&amp;VLOOKUP(C293,PC!A$1:K$436,6,FALSE),"")</f>
        <v/>
      </c>
      <c r="G293" s="122"/>
      <c r="H293" s="1" t="str">
        <f t="shared" si="4"/>
        <v>10.51.91.129</v>
      </c>
    </row>
    <row r="294" spans="2:8" x14ac:dyDescent="0.25">
      <c r="B294" s="120">
        <v>130</v>
      </c>
      <c r="C294" s="35" t="s">
        <v>310</v>
      </c>
      <c r="D294" s="121" t="str">
        <f>IFERROR(VLOOKUP(C294,'정보화기기 명부'!A$2:B$138,2,FALSE),"")</f>
        <v/>
      </c>
      <c r="E294" s="122" t="str">
        <f>IFERROR(VLOOKUP(C294,PC!A$1:K$436,2,FALSE),"")</f>
        <v/>
      </c>
      <c r="F294" s="199" t="str">
        <f>IFERROR(VLOOKUP(C294,PC!A$1:K$436,7,FALSE)&amp;" "&amp;VLOOKUP(C294,PC!A$1:K$436,6,FALSE),"")</f>
        <v/>
      </c>
      <c r="G294" s="122"/>
      <c r="H294" s="1" t="str">
        <f t="shared" si="4"/>
        <v>10.51.91.130</v>
      </c>
    </row>
    <row r="295" spans="2:8" x14ac:dyDescent="0.25">
      <c r="B295" s="120">
        <v>131</v>
      </c>
      <c r="C295" s="35" t="s">
        <v>310</v>
      </c>
      <c r="D295" s="121" t="str">
        <f>IFERROR(VLOOKUP(C295,'정보화기기 명부'!A$2:B$138,2,FALSE),"")</f>
        <v/>
      </c>
      <c r="E295" s="122" t="str">
        <f>IFERROR(VLOOKUP(C295,PC!A$1:K$436,2,FALSE),"")</f>
        <v/>
      </c>
      <c r="F295" s="199" t="str">
        <f>IFERROR(VLOOKUP(C295,PC!A$1:K$436,7,FALSE)&amp;" "&amp;VLOOKUP(C295,PC!A$1:K$436,6,FALSE),"")</f>
        <v/>
      </c>
      <c r="G295" s="122"/>
      <c r="H295" s="1" t="str">
        <f t="shared" si="4"/>
        <v>10.51.91.131</v>
      </c>
    </row>
    <row r="296" spans="2:8" x14ac:dyDescent="0.25">
      <c r="B296" s="120">
        <v>132</v>
      </c>
      <c r="C296" s="35" t="s">
        <v>310</v>
      </c>
      <c r="D296" s="121" t="str">
        <f>IFERROR(VLOOKUP(C296,'정보화기기 명부'!A$2:B$138,2,FALSE),"")</f>
        <v/>
      </c>
      <c r="E296" s="122" t="str">
        <f>IFERROR(VLOOKUP(C296,PC!A$1:K$436,2,FALSE),"")</f>
        <v/>
      </c>
      <c r="F296" s="199" t="str">
        <f>IFERROR(VLOOKUP(C296,PC!A$1:K$436,7,FALSE)&amp;" "&amp;VLOOKUP(C296,PC!A$1:K$436,6,FALSE),"")</f>
        <v/>
      </c>
      <c r="G296" s="122"/>
      <c r="H296" s="1" t="str">
        <f t="shared" si="4"/>
        <v>10.51.91.132</v>
      </c>
    </row>
    <row r="297" spans="2:8" x14ac:dyDescent="0.25">
      <c r="B297" s="120">
        <v>133</v>
      </c>
      <c r="C297" s="35" t="s">
        <v>310</v>
      </c>
      <c r="D297" s="121" t="str">
        <f>IFERROR(VLOOKUP(C297,'정보화기기 명부'!A$2:B$138,2,FALSE),"")</f>
        <v/>
      </c>
      <c r="E297" s="122" t="str">
        <f>IFERROR(VLOOKUP(C297,PC!A$1:K$436,2,FALSE),"")</f>
        <v/>
      </c>
      <c r="F297" s="199" t="str">
        <f>IFERROR(VLOOKUP(C297,PC!A$1:K$436,7,FALSE)&amp;" "&amp;VLOOKUP(C297,PC!A$1:K$436,6,FALSE),"")</f>
        <v/>
      </c>
      <c r="G297" s="122"/>
      <c r="H297" s="1" t="str">
        <f t="shared" si="4"/>
        <v>10.51.91.133</v>
      </c>
    </row>
    <row r="298" spans="2:8" x14ac:dyDescent="0.25">
      <c r="B298" s="120">
        <v>134</v>
      </c>
      <c r="C298" s="35" t="s">
        <v>310</v>
      </c>
      <c r="D298" s="121" t="str">
        <f>IFERROR(VLOOKUP(C298,'정보화기기 명부'!A$2:B$138,2,FALSE),"")</f>
        <v/>
      </c>
      <c r="E298" s="122" t="str">
        <f>IFERROR(VLOOKUP(C298,PC!A$1:K$436,2,FALSE),"")</f>
        <v/>
      </c>
      <c r="F298" s="199" t="str">
        <f>IFERROR(VLOOKUP(C298,PC!A$1:K$436,7,FALSE)&amp;" "&amp;VLOOKUP(C298,PC!A$1:K$436,6,FALSE),"")</f>
        <v/>
      </c>
      <c r="G298" s="122"/>
      <c r="H298" s="1" t="str">
        <f t="shared" si="4"/>
        <v>10.51.91.134</v>
      </c>
    </row>
    <row r="299" spans="2:8" x14ac:dyDescent="0.25">
      <c r="B299" s="120">
        <v>135</v>
      </c>
      <c r="C299" s="35" t="s">
        <v>310</v>
      </c>
      <c r="D299" s="121" t="str">
        <f>IFERROR(VLOOKUP(C299,'정보화기기 명부'!A$2:B$138,2,FALSE),"")</f>
        <v/>
      </c>
      <c r="E299" s="122" t="str">
        <f>IFERROR(VLOOKUP(C299,PC!A$1:K$436,2,FALSE),"")</f>
        <v/>
      </c>
      <c r="F299" s="199" t="str">
        <f>IFERROR(VLOOKUP(C299,PC!A$1:K$436,7,FALSE)&amp;" "&amp;VLOOKUP(C299,PC!A$1:K$436,6,FALSE),"")</f>
        <v/>
      </c>
      <c r="G299" s="122"/>
      <c r="H299" s="1" t="str">
        <f t="shared" si="4"/>
        <v>10.51.91.135</v>
      </c>
    </row>
    <row r="300" spans="2:8" x14ac:dyDescent="0.25">
      <c r="B300" s="120">
        <v>136</v>
      </c>
      <c r="C300" s="35" t="s">
        <v>310</v>
      </c>
      <c r="D300" s="121" t="str">
        <f>IFERROR(VLOOKUP(C300,'정보화기기 명부'!A$2:B$138,2,FALSE),"")</f>
        <v/>
      </c>
      <c r="E300" s="122" t="str">
        <f>IFERROR(VLOOKUP(C300,PC!A$1:K$436,2,FALSE),"")</f>
        <v/>
      </c>
      <c r="F300" s="199" t="str">
        <f>IFERROR(VLOOKUP(C300,PC!A$1:K$436,7,FALSE)&amp;" "&amp;VLOOKUP(C300,PC!A$1:K$436,6,FALSE),"")</f>
        <v/>
      </c>
      <c r="G300" s="122"/>
      <c r="H300" s="1" t="str">
        <f t="shared" si="4"/>
        <v>10.51.91.136</v>
      </c>
    </row>
    <row r="301" spans="2:8" x14ac:dyDescent="0.25">
      <c r="B301" s="120">
        <v>137</v>
      </c>
      <c r="C301" s="35" t="s">
        <v>51</v>
      </c>
      <c r="D301" s="121" t="str">
        <f>IFERROR(VLOOKUP(C301,'정보화기기 명부'!A$2:B$138,2,FALSE),"")</f>
        <v>특수교육부</v>
      </c>
      <c r="E301" s="122" t="str">
        <f>IFERROR(VLOOKUP(C301,PC!A$1:K$436,2,FALSE),"")</f>
        <v>20180102-0756</v>
      </c>
      <c r="F301" s="199" t="str">
        <f>IFERROR(VLOOKUP(C301,PC!A$1:K$436,7,FALSE)&amp;" "&amp;VLOOKUP(C301,PC!A$1:K$436,6,FALSE),"")</f>
        <v>삼성 NT300E5L-K51G</v>
      </c>
      <c r="G301" s="122"/>
      <c r="H301" s="1" t="str">
        <f t="shared" si="4"/>
        <v>10.51.91.137</v>
      </c>
    </row>
    <row r="302" spans="2:8" x14ac:dyDescent="0.25">
      <c r="B302" s="120">
        <v>138</v>
      </c>
      <c r="C302" s="35" t="s">
        <v>310</v>
      </c>
      <c r="D302" s="121" t="str">
        <f>IFERROR(VLOOKUP(C302,'정보화기기 명부'!A$2:B$138,2,FALSE),"")</f>
        <v/>
      </c>
      <c r="E302" s="122" t="str">
        <f>IFERROR(VLOOKUP(C302,PC!A$1:K$436,2,FALSE),"")</f>
        <v/>
      </c>
      <c r="F302" s="199" t="str">
        <f>IFERROR(VLOOKUP(C302,PC!A$1:K$436,7,FALSE)&amp;" "&amp;VLOOKUP(C302,PC!A$1:K$436,6,FALSE),"")</f>
        <v/>
      </c>
      <c r="G302" s="122"/>
      <c r="H302" s="1" t="str">
        <f t="shared" si="4"/>
        <v>10.51.91.138</v>
      </c>
    </row>
    <row r="303" spans="2:8" x14ac:dyDescent="0.25">
      <c r="B303" s="120">
        <v>139</v>
      </c>
      <c r="C303" s="35" t="s">
        <v>310</v>
      </c>
      <c r="D303" s="121" t="str">
        <f>IFERROR(VLOOKUP(C303,'정보화기기 명부'!A$2:B$138,2,FALSE),"")</f>
        <v/>
      </c>
      <c r="E303" s="122" t="str">
        <f>IFERROR(VLOOKUP(C303,PC!A$1:K$436,2,FALSE),"")</f>
        <v/>
      </c>
      <c r="F303" s="199" t="str">
        <f>IFERROR(VLOOKUP(C303,PC!A$1:K$436,7,FALSE)&amp;" "&amp;VLOOKUP(C303,PC!A$1:K$436,6,FALSE),"")</f>
        <v/>
      </c>
      <c r="G303" s="122"/>
      <c r="H303" s="1" t="str">
        <f t="shared" ref="H303:H364" si="5">$A$174&amp;B303</f>
        <v>10.51.91.139</v>
      </c>
    </row>
    <row r="304" spans="2:8" x14ac:dyDescent="0.25">
      <c r="B304" s="120">
        <v>140</v>
      </c>
      <c r="C304" s="35" t="s">
        <v>310</v>
      </c>
      <c r="D304" s="121" t="str">
        <f>IFERROR(VLOOKUP(C304,'정보화기기 명부'!A$2:B$138,2,FALSE),"")</f>
        <v/>
      </c>
      <c r="E304" s="122" t="str">
        <f>IFERROR(VLOOKUP(C304,PC!A$1:K$436,2,FALSE),"")</f>
        <v/>
      </c>
      <c r="F304" s="199" t="str">
        <f>IFERROR(VLOOKUP(C304,PC!A$1:K$436,7,FALSE)&amp;" "&amp;VLOOKUP(C304,PC!A$1:K$436,6,FALSE),"")</f>
        <v/>
      </c>
      <c r="G304" s="122"/>
      <c r="H304" s="1" t="str">
        <f t="shared" si="5"/>
        <v>10.51.91.140</v>
      </c>
    </row>
    <row r="305" spans="2:8" x14ac:dyDescent="0.25">
      <c r="B305" s="120">
        <v>141</v>
      </c>
      <c r="C305" s="35" t="s">
        <v>310</v>
      </c>
      <c r="D305" s="121" t="str">
        <f>IFERROR(VLOOKUP(C305,'정보화기기 명부'!A$2:B$138,2,FALSE),"")</f>
        <v/>
      </c>
      <c r="E305" s="122" t="str">
        <f>IFERROR(VLOOKUP(C305,PC!A$1:K$436,2,FALSE),"")</f>
        <v/>
      </c>
      <c r="F305" s="199" t="str">
        <f>IFERROR(VLOOKUP(C305,PC!A$1:K$436,7,FALSE)&amp;" "&amp;VLOOKUP(C305,PC!A$1:K$436,6,FALSE),"")</f>
        <v/>
      </c>
      <c r="G305" s="122"/>
      <c r="H305" s="1" t="str">
        <f t="shared" si="5"/>
        <v>10.51.91.141</v>
      </c>
    </row>
    <row r="306" spans="2:8" x14ac:dyDescent="0.25">
      <c r="B306" s="1">
        <v>142</v>
      </c>
      <c r="C306" s="35" t="s">
        <v>310</v>
      </c>
      <c r="D306" s="121" t="str">
        <f>IFERROR(VLOOKUP(C306,'정보화기기 명부'!A$2:B$138,2,FALSE),"")</f>
        <v/>
      </c>
      <c r="E306" s="122" t="str">
        <f>IFERROR(VLOOKUP(C306,PC!A$1:K$436,2,FALSE),"")</f>
        <v/>
      </c>
      <c r="F306" s="199" t="str">
        <f>IFERROR(VLOOKUP(C306,PC!A$1:K$436,7,FALSE)&amp;" "&amp;VLOOKUP(C306,PC!A$1:K$436,6,FALSE),"")</f>
        <v/>
      </c>
      <c r="G306" s="122"/>
      <c r="H306" s="1" t="str">
        <f t="shared" si="5"/>
        <v>10.51.91.142</v>
      </c>
    </row>
    <row r="307" spans="2:8" x14ac:dyDescent="0.25">
      <c r="B307" s="1">
        <v>143</v>
      </c>
      <c r="C307" s="121" t="s">
        <v>310</v>
      </c>
      <c r="D307" s="121" t="str">
        <f>IFERROR(VLOOKUP(C307,'정보화기기 명부'!A$2:B$138,2,FALSE),"")</f>
        <v/>
      </c>
      <c r="E307" s="122" t="str">
        <f>IFERROR(VLOOKUP(C307,PC!A$1:K$436,2,FALSE),"")</f>
        <v/>
      </c>
      <c r="F307" s="199" t="str">
        <f>IFERROR(VLOOKUP(C307,PC!A$1:K$436,7,FALSE)&amp;" "&amp;VLOOKUP(C307,PC!A$1:K$436,6,FALSE),"")</f>
        <v/>
      </c>
      <c r="G307" s="122"/>
      <c r="H307" s="1" t="str">
        <f t="shared" si="5"/>
        <v>10.51.91.143</v>
      </c>
    </row>
    <row r="308" spans="2:8" x14ac:dyDescent="0.25">
      <c r="B308" s="30">
        <v>144</v>
      </c>
      <c r="C308" s="113"/>
      <c r="D308" s="113"/>
      <c r="E308" s="113"/>
      <c r="F308" s="306"/>
      <c r="G308" s="2"/>
      <c r="H308" s="1" t="str">
        <f t="shared" si="5"/>
        <v>10.51.91.144</v>
      </c>
    </row>
    <row r="309" spans="2:8" x14ac:dyDescent="0.25">
      <c r="B309" s="30">
        <v>145</v>
      </c>
      <c r="C309" s="113"/>
      <c r="D309" s="113"/>
      <c r="E309" s="113"/>
      <c r="F309" s="306"/>
      <c r="G309" s="2"/>
      <c r="H309" s="1" t="str">
        <f t="shared" si="5"/>
        <v>10.51.91.145</v>
      </c>
    </row>
    <row r="310" spans="2:8" x14ac:dyDescent="0.25">
      <c r="B310" s="30">
        <v>146</v>
      </c>
      <c r="C310" s="113"/>
      <c r="D310" s="113"/>
      <c r="E310" s="113"/>
      <c r="F310" s="306"/>
      <c r="G310" s="2"/>
      <c r="H310" s="1" t="str">
        <f t="shared" si="5"/>
        <v>10.51.91.146</v>
      </c>
    </row>
    <row r="311" spans="2:8" x14ac:dyDescent="0.25">
      <c r="B311" s="30">
        <v>147</v>
      </c>
      <c r="C311" s="113"/>
      <c r="D311" s="113"/>
      <c r="E311" s="113"/>
      <c r="F311" s="306"/>
      <c r="G311" s="2"/>
      <c r="H311" s="1" t="str">
        <f t="shared" si="5"/>
        <v>10.51.91.147</v>
      </c>
    </row>
    <row r="312" spans="2:8" x14ac:dyDescent="0.25">
      <c r="B312" s="30">
        <v>148</v>
      </c>
      <c r="C312" s="113"/>
      <c r="D312" s="113"/>
      <c r="E312" s="113"/>
      <c r="F312" s="306"/>
      <c r="G312" s="2"/>
      <c r="H312" s="1" t="str">
        <f t="shared" si="5"/>
        <v>10.51.91.148</v>
      </c>
    </row>
    <row r="313" spans="2:8" x14ac:dyDescent="0.25">
      <c r="B313" s="30">
        <v>149</v>
      </c>
      <c r="C313" s="113"/>
      <c r="D313" s="113"/>
      <c r="E313" s="113"/>
      <c r="F313" s="306"/>
      <c r="G313" s="2"/>
      <c r="H313" s="1" t="str">
        <f t="shared" si="5"/>
        <v>10.51.91.149</v>
      </c>
    </row>
    <row r="314" spans="2:8" x14ac:dyDescent="0.25">
      <c r="B314" s="30">
        <v>150</v>
      </c>
      <c r="C314" s="113"/>
      <c r="D314" s="113"/>
      <c r="E314" s="113"/>
      <c r="F314" s="306"/>
      <c r="G314" s="2"/>
      <c r="H314" s="1" t="str">
        <f t="shared" si="5"/>
        <v>10.51.91.150</v>
      </c>
    </row>
    <row r="315" spans="2:8" x14ac:dyDescent="0.25">
      <c r="B315" s="30">
        <v>151</v>
      </c>
      <c r="C315" s="113"/>
      <c r="D315" s="113"/>
      <c r="E315" s="113"/>
      <c r="F315" s="306"/>
      <c r="G315" s="2"/>
      <c r="H315" s="1" t="str">
        <f t="shared" si="5"/>
        <v>10.51.91.151</v>
      </c>
    </row>
    <row r="316" spans="2:8" x14ac:dyDescent="0.25">
      <c r="B316" s="30">
        <v>152</v>
      </c>
      <c r="C316" s="113"/>
      <c r="D316" s="113"/>
      <c r="E316" s="113"/>
      <c r="F316" s="306"/>
      <c r="G316" s="2"/>
      <c r="H316" s="1" t="str">
        <f t="shared" si="5"/>
        <v>10.51.91.152</v>
      </c>
    </row>
    <row r="317" spans="2:8" x14ac:dyDescent="0.25">
      <c r="B317" s="30">
        <v>153</v>
      </c>
      <c r="C317" s="113"/>
      <c r="D317" s="113"/>
      <c r="E317" s="113"/>
      <c r="F317" s="306"/>
      <c r="G317" s="2"/>
      <c r="H317" s="1" t="str">
        <f t="shared" si="5"/>
        <v>10.51.91.153</v>
      </c>
    </row>
    <row r="318" spans="2:8" x14ac:dyDescent="0.25">
      <c r="B318" s="30">
        <v>154</v>
      </c>
      <c r="C318" s="113"/>
      <c r="D318" s="113"/>
      <c r="E318" s="113"/>
      <c r="F318" s="306"/>
      <c r="G318" s="2"/>
      <c r="H318" s="1" t="str">
        <f t="shared" si="5"/>
        <v>10.51.91.154</v>
      </c>
    </row>
    <row r="319" spans="2:8" x14ac:dyDescent="0.25">
      <c r="B319" s="30">
        <v>155</v>
      </c>
      <c r="C319" s="113"/>
      <c r="D319" s="113"/>
      <c r="E319" s="113"/>
      <c r="F319" s="306"/>
      <c r="G319" s="2"/>
      <c r="H319" s="1" t="str">
        <f t="shared" si="5"/>
        <v>10.51.91.155</v>
      </c>
    </row>
    <row r="320" spans="2:8" x14ac:dyDescent="0.25">
      <c r="B320" s="30">
        <v>156</v>
      </c>
      <c r="C320" s="113"/>
      <c r="D320" s="113"/>
      <c r="E320" s="113"/>
      <c r="F320" s="306"/>
      <c r="G320" s="2"/>
      <c r="H320" s="1" t="str">
        <f t="shared" si="5"/>
        <v>10.51.91.156</v>
      </c>
    </row>
    <row r="321" spans="2:8" x14ac:dyDescent="0.25">
      <c r="B321" s="30">
        <v>157</v>
      </c>
      <c r="C321" s="113"/>
      <c r="D321" s="113"/>
      <c r="E321" s="113"/>
      <c r="F321" s="306"/>
      <c r="G321" s="2"/>
      <c r="H321" s="1" t="str">
        <f t="shared" si="5"/>
        <v>10.51.91.157</v>
      </c>
    </row>
    <row r="322" spans="2:8" x14ac:dyDescent="0.25">
      <c r="B322" s="30">
        <v>158</v>
      </c>
      <c r="C322" s="113"/>
      <c r="D322" s="113"/>
      <c r="E322" s="113"/>
      <c r="F322" s="306"/>
      <c r="G322" s="2"/>
      <c r="H322" s="1" t="str">
        <f t="shared" si="5"/>
        <v>10.51.91.158</v>
      </c>
    </row>
    <row r="323" spans="2:8" x14ac:dyDescent="0.25">
      <c r="B323" s="30">
        <v>159</v>
      </c>
      <c r="C323" s="113"/>
      <c r="D323" s="113"/>
      <c r="E323" s="113"/>
      <c r="F323" s="306"/>
      <c r="G323" s="2"/>
      <c r="H323" s="1" t="str">
        <f t="shared" si="5"/>
        <v>10.51.91.159</v>
      </c>
    </row>
    <row r="324" spans="2:8" x14ac:dyDescent="0.25">
      <c r="B324" s="30">
        <v>160</v>
      </c>
      <c r="C324" s="113"/>
      <c r="D324" s="113"/>
      <c r="E324" s="113"/>
      <c r="F324" s="306"/>
      <c r="G324" s="2"/>
      <c r="H324" s="1" t="str">
        <f t="shared" si="5"/>
        <v>10.51.91.160</v>
      </c>
    </row>
    <row r="325" spans="2:8" x14ac:dyDescent="0.25">
      <c r="B325" s="30">
        <v>161</v>
      </c>
      <c r="C325" s="113"/>
      <c r="D325" s="113"/>
      <c r="E325" s="113"/>
      <c r="F325" s="306"/>
      <c r="G325" s="2"/>
      <c r="H325" s="1" t="str">
        <f t="shared" si="5"/>
        <v>10.51.91.161</v>
      </c>
    </row>
    <row r="326" spans="2:8" x14ac:dyDescent="0.25">
      <c r="B326" s="30">
        <v>162</v>
      </c>
      <c r="C326" s="113"/>
      <c r="D326" s="113"/>
      <c r="E326" s="113"/>
      <c r="F326" s="306"/>
      <c r="G326" s="2"/>
      <c r="H326" s="1" t="str">
        <f t="shared" si="5"/>
        <v>10.51.91.162</v>
      </c>
    </row>
    <row r="327" spans="2:8" x14ac:dyDescent="0.25">
      <c r="B327" s="30">
        <v>163</v>
      </c>
      <c r="C327" s="113"/>
      <c r="D327" s="113"/>
      <c r="E327" s="113"/>
      <c r="F327" s="306"/>
      <c r="G327" s="2"/>
      <c r="H327" s="1" t="str">
        <f t="shared" si="5"/>
        <v>10.51.91.163</v>
      </c>
    </row>
    <row r="328" spans="2:8" x14ac:dyDescent="0.25">
      <c r="B328" s="30">
        <v>164</v>
      </c>
      <c r="C328" s="113"/>
      <c r="D328" s="113"/>
      <c r="E328" s="113"/>
      <c r="F328" s="306"/>
      <c r="G328" s="2"/>
      <c r="H328" s="1" t="str">
        <f t="shared" si="5"/>
        <v>10.51.91.164</v>
      </c>
    </row>
    <row r="329" spans="2:8" x14ac:dyDescent="0.25">
      <c r="B329" s="30">
        <v>165</v>
      </c>
      <c r="C329" s="113"/>
      <c r="D329" s="113"/>
      <c r="E329" s="113"/>
      <c r="F329" s="306"/>
      <c r="G329" s="2"/>
      <c r="H329" s="1" t="str">
        <f t="shared" si="5"/>
        <v>10.51.91.165</v>
      </c>
    </row>
    <row r="330" spans="2:8" x14ac:dyDescent="0.25">
      <c r="B330" s="30">
        <v>166</v>
      </c>
      <c r="C330" s="113"/>
      <c r="D330" s="113"/>
      <c r="E330" s="113"/>
      <c r="F330" s="306"/>
      <c r="G330" s="2"/>
      <c r="H330" s="1" t="str">
        <f t="shared" si="5"/>
        <v>10.51.91.166</v>
      </c>
    </row>
    <row r="331" spans="2:8" x14ac:dyDescent="0.25">
      <c r="B331" s="30">
        <v>167</v>
      </c>
      <c r="C331" s="113"/>
      <c r="D331" s="113"/>
      <c r="E331" s="113"/>
      <c r="F331" s="306"/>
      <c r="G331" s="2"/>
      <c r="H331" s="1" t="str">
        <f t="shared" si="5"/>
        <v>10.51.91.167</v>
      </c>
    </row>
    <row r="332" spans="2:8" x14ac:dyDescent="0.25">
      <c r="B332" s="30">
        <v>168</v>
      </c>
      <c r="C332" s="113"/>
      <c r="D332" s="113"/>
      <c r="E332" s="113"/>
      <c r="F332" s="306"/>
      <c r="G332" s="2"/>
      <c r="H332" s="1" t="str">
        <f t="shared" si="5"/>
        <v>10.51.91.168</v>
      </c>
    </row>
    <row r="333" spans="2:8" x14ac:dyDescent="0.25">
      <c r="B333" s="30">
        <v>169</v>
      </c>
      <c r="C333" s="113"/>
      <c r="D333" s="113"/>
      <c r="E333" s="113"/>
      <c r="F333" s="306"/>
      <c r="G333" s="2"/>
      <c r="H333" s="1" t="str">
        <f t="shared" si="5"/>
        <v>10.51.91.169</v>
      </c>
    </row>
    <row r="334" spans="2:8" x14ac:dyDescent="0.25">
      <c r="B334" s="30">
        <v>170</v>
      </c>
      <c r="C334" s="113"/>
      <c r="D334" s="113"/>
      <c r="E334" s="113"/>
      <c r="F334" s="306"/>
      <c r="G334" s="2"/>
      <c r="H334" s="1" t="str">
        <f t="shared" si="5"/>
        <v>10.51.91.170</v>
      </c>
    </row>
    <row r="335" spans="2:8" x14ac:dyDescent="0.25">
      <c r="B335" s="30">
        <v>171</v>
      </c>
      <c r="C335" s="113"/>
      <c r="D335" s="113"/>
      <c r="E335" s="113"/>
      <c r="F335" s="306"/>
      <c r="G335" s="2"/>
      <c r="H335" s="1" t="str">
        <f t="shared" si="5"/>
        <v>10.51.91.171</v>
      </c>
    </row>
    <row r="336" spans="2:8" x14ac:dyDescent="0.25">
      <c r="B336" s="30">
        <v>172</v>
      </c>
      <c r="C336" s="113"/>
      <c r="D336" s="113"/>
      <c r="E336" s="113"/>
      <c r="F336" s="306"/>
      <c r="G336" s="2"/>
      <c r="H336" s="1" t="str">
        <f t="shared" si="5"/>
        <v>10.51.91.172</v>
      </c>
    </row>
    <row r="337" spans="2:8" x14ac:dyDescent="0.25">
      <c r="B337" s="30">
        <v>173</v>
      </c>
      <c r="C337" s="113"/>
      <c r="D337" s="113"/>
      <c r="E337" s="113"/>
      <c r="F337" s="306"/>
      <c r="G337" s="2"/>
      <c r="H337" s="1" t="str">
        <f t="shared" si="5"/>
        <v>10.51.91.173</v>
      </c>
    </row>
    <row r="338" spans="2:8" x14ac:dyDescent="0.25">
      <c r="B338" s="30">
        <v>174</v>
      </c>
      <c r="C338" s="113"/>
      <c r="D338" s="113"/>
      <c r="E338" s="113"/>
      <c r="F338" s="306"/>
      <c r="G338" s="2"/>
      <c r="H338" s="1" t="str">
        <f t="shared" si="5"/>
        <v>10.51.91.174</v>
      </c>
    </row>
    <row r="339" spans="2:8" x14ac:dyDescent="0.25">
      <c r="B339" s="30">
        <v>175</v>
      </c>
      <c r="C339" s="113"/>
      <c r="D339" s="113"/>
      <c r="E339" s="113"/>
      <c r="F339" s="306"/>
      <c r="G339" s="2"/>
      <c r="H339" s="1" t="str">
        <f t="shared" si="5"/>
        <v>10.51.91.175</v>
      </c>
    </row>
    <row r="340" spans="2:8" x14ac:dyDescent="0.25">
      <c r="B340" s="30">
        <v>176</v>
      </c>
      <c r="C340" s="113"/>
      <c r="D340" s="113"/>
      <c r="E340" s="113"/>
      <c r="F340" s="306"/>
      <c r="G340" s="2"/>
      <c r="H340" s="1" t="str">
        <f t="shared" si="5"/>
        <v>10.51.91.176</v>
      </c>
    </row>
    <row r="341" spans="2:8" x14ac:dyDescent="0.25">
      <c r="B341" s="30">
        <v>177</v>
      </c>
      <c r="C341" s="113"/>
      <c r="D341" s="113"/>
      <c r="E341" s="113"/>
      <c r="F341" s="306"/>
      <c r="G341" s="2"/>
      <c r="H341" s="1" t="str">
        <f t="shared" si="5"/>
        <v>10.51.91.177</v>
      </c>
    </row>
    <row r="342" spans="2:8" x14ac:dyDescent="0.25">
      <c r="B342" s="30">
        <v>178</v>
      </c>
      <c r="C342" s="113"/>
      <c r="D342" s="113"/>
      <c r="E342" s="113"/>
      <c r="F342" s="306"/>
      <c r="G342" s="2"/>
      <c r="H342" s="1" t="str">
        <f t="shared" si="5"/>
        <v>10.51.91.178</v>
      </c>
    </row>
    <row r="343" spans="2:8" x14ac:dyDescent="0.25">
      <c r="B343" s="30">
        <v>179</v>
      </c>
      <c r="C343" s="113"/>
      <c r="D343" s="113"/>
      <c r="E343" s="113"/>
      <c r="F343" s="306"/>
      <c r="G343" s="2"/>
      <c r="H343" s="1" t="str">
        <f t="shared" si="5"/>
        <v>10.51.91.179</v>
      </c>
    </row>
    <row r="344" spans="2:8" x14ac:dyDescent="0.25">
      <c r="B344" s="30">
        <v>180</v>
      </c>
      <c r="C344" s="113"/>
      <c r="D344" s="113"/>
      <c r="E344" s="113"/>
      <c r="F344" s="306"/>
      <c r="G344" s="2"/>
      <c r="H344" s="1" t="str">
        <f t="shared" si="5"/>
        <v>10.51.91.180</v>
      </c>
    </row>
    <row r="345" spans="2:8" x14ac:dyDescent="0.25">
      <c r="B345" s="30">
        <v>181</v>
      </c>
      <c r="C345" s="113"/>
      <c r="D345" s="113"/>
      <c r="E345" s="113"/>
      <c r="F345" s="306"/>
      <c r="G345" s="2"/>
      <c r="H345" s="1" t="str">
        <f t="shared" si="5"/>
        <v>10.51.91.181</v>
      </c>
    </row>
    <row r="346" spans="2:8" x14ac:dyDescent="0.25">
      <c r="B346" s="30">
        <v>182</v>
      </c>
      <c r="C346" s="113"/>
      <c r="D346" s="113"/>
      <c r="E346" s="113"/>
      <c r="F346" s="306"/>
      <c r="G346" s="2"/>
      <c r="H346" s="1" t="str">
        <f t="shared" si="5"/>
        <v>10.51.91.182</v>
      </c>
    </row>
    <row r="347" spans="2:8" x14ac:dyDescent="0.25">
      <c r="B347" s="30">
        <v>183</v>
      </c>
      <c r="C347" s="113"/>
      <c r="D347" s="113"/>
      <c r="E347" s="113"/>
      <c r="F347" s="306"/>
      <c r="G347" s="2"/>
      <c r="H347" s="1" t="str">
        <f t="shared" si="5"/>
        <v>10.51.91.183</v>
      </c>
    </row>
    <row r="348" spans="2:8" x14ac:dyDescent="0.25">
      <c r="B348" s="30">
        <v>184</v>
      </c>
      <c r="C348" s="113"/>
      <c r="D348" s="113"/>
      <c r="E348" s="113"/>
      <c r="F348" s="306"/>
      <c r="G348" s="2"/>
      <c r="H348" s="1" t="str">
        <f t="shared" si="5"/>
        <v>10.51.91.184</v>
      </c>
    </row>
    <row r="349" spans="2:8" x14ac:dyDescent="0.25">
      <c r="B349" s="30">
        <v>185</v>
      </c>
      <c r="C349" s="113"/>
      <c r="D349" s="113"/>
      <c r="E349" s="113"/>
      <c r="F349" s="306"/>
      <c r="G349" s="2"/>
      <c r="H349" s="1" t="str">
        <f t="shared" si="5"/>
        <v>10.51.91.185</v>
      </c>
    </row>
    <row r="350" spans="2:8" x14ac:dyDescent="0.25">
      <c r="B350" s="30">
        <v>186</v>
      </c>
      <c r="C350" s="113"/>
      <c r="D350" s="113"/>
      <c r="E350" s="113"/>
      <c r="F350" s="306"/>
      <c r="G350" s="2"/>
      <c r="H350" s="1" t="str">
        <f t="shared" si="5"/>
        <v>10.51.91.186</v>
      </c>
    </row>
    <row r="351" spans="2:8" x14ac:dyDescent="0.25">
      <c r="B351" s="30">
        <v>187</v>
      </c>
      <c r="C351" s="113"/>
      <c r="D351" s="113"/>
      <c r="E351" s="113"/>
      <c r="F351" s="306"/>
      <c r="G351" s="2"/>
      <c r="H351" s="1" t="str">
        <f t="shared" si="5"/>
        <v>10.51.91.187</v>
      </c>
    </row>
    <row r="352" spans="2:8" x14ac:dyDescent="0.25">
      <c r="B352" s="30">
        <v>188</v>
      </c>
      <c r="C352" s="113"/>
      <c r="D352" s="113"/>
      <c r="E352" s="113"/>
      <c r="F352" s="306"/>
      <c r="G352" s="2"/>
      <c r="H352" s="1" t="str">
        <f t="shared" si="5"/>
        <v>10.51.91.188</v>
      </c>
    </row>
    <row r="353" spans="2:8" x14ac:dyDescent="0.25">
      <c r="B353" s="30">
        <v>189</v>
      </c>
      <c r="C353" s="113"/>
      <c r="D353" s="113"/>
      <c r="E353" s="113"/>
      <c r="F353" s="306"/>
      <c r="G353" s="2"/>
      <c r="H353" s="1" t="str">
        <f t="shared" si="5"/>
        <v>10.51.91.189</v>
      </c>
    </row>
    <row r="354" spans="2:8" x14ac:dyDescent="0.25">
      <c r="B354" s="30">
        <v>190</v>
      </c>
      <c r="C354" s="113"/>
      <c r="D354" s="113"/>
      <c r="E354" s="113"/>
      <c r="F354" s="306"/>
      <c r="G354" s="2"/>
      <c r="H354" s="1" t="str">
        <f t="shared" si="5"/>
        <v>10.51.91.190</v>
      </c>
    </row>
    <row r="355" spans="2:8" x14ac:dyDescent="0.25">
      <c r="B355" s="30">
        <v>191</v>
      </c>
      <c r="C355" s="113"/>
      <c r="D355" s="113"/>
      <c r="E355" s="113"/>
      <c r="F355" s="306"/>
      <c r="G355" s="2"/>
      <c r="H355" s="1" t="str">
        <f t="shared" si="5"/>
        <v>10.51.91.191</v>
      </c>
    </row>
    <row r="356" spans="2:8" x14ac:dyDescent="0.25">
      <c r="B356" s="30">
        <v>192</v>
      </c>
      <c r="C356" s="113"/>
      <c r="D356" s="113"/>
      <c r="E356" s="113"/>
      <c r="F356" s="306"/>
      <c r="G356" s="2"/>
      <c r="H356" s="1" t="str">
        <f t="shared" si="5"/>
        <v>10.51.91.192</v>
      </c>
    </row>
    <row r="357" spans="2:8" x14ac:dyDescent="0.25">
      <c r="B357" s="30">
        <v>193</v>
      </c>
      <c r="C357" s="113"/>
      <c r="D357" s="113"/>
      <c r="E357" s="113"/>
      <c r="F357" s="306"/>
      <c r="G357" s="2"/>
      <c r="H357" s="1" t="str">
        <f t="shared" si="5"/>
        <v>10.51.91.193</v>
      </c>
    </row>
    <row r="358" spans="2:8" x14ac:dyDescent="0.25">
      <c r="B358" s="30">
        <v>194</v>
      </c>
      <c r="C358" s="113"/>
      <c r="D358" s="113"/>
      <c r="E358" s="113"/>
      <c r="F358" s="306"/>
      <c r="G358" s="2"/>
      <c r="H358" s="1" t="str">
        <f t="shared" si="5"/>
        <v>10.51.91.194</v>
      </c>
    </row>
    <row r="359" spans="2:8" x14ac:dyDescent="0.25">
      <c r="B359" s="30">
        <v>195</v>
      </c>
      <c r="C359" s="113"/>
      <c r="D359" s="113"/>
      <c r="E359" s="113"/>
      <c r="F359" s="306"/>
      <c r="G359" s="2"/>
      <c r="H359" s="1" t="str">
        <f t="shared" si="5"/>
        <v>10.51.91.195</v>
      </c>
    </row>
    <row r="360" spans="2:8" x14ac:dyDescent="0.25">
      <c r="B360" s="30">
        <v>196</v>
      </c>
      <c r="C360" s="113"/>
      <c r="D360" s="113"/>
      <c r="E360" s="113"/>
      <c r="F360" s="306"/>
      <c r="G360" s="2"/>
      <c r="H360" s="1" t="str">
        <f t="shared" si="5"/>
        <v>10.51.91.196</v>
      </c>
    </row>
    <row r="361" spans="2:8" x14ac:dyDescent="0.25">
      <c r="B361" s="30">
        <v>197</v>
      </c>
      <c r="C361" s="113"/>
      <c r="D361" s="113"/>
      <c r="E361" s="113"/>
      <c r="F361" s="306"/>
      <c r="G361" s="2"/>
      <c r="H361" s="1" t="str">
        <f t="shared" si="5"/>
        <v>10.51.91.197</v>
      </c>
    </row>
    <row r="362" spans="2:8" x14ac:dyDescent="0.25">
      <c r="B362" s="30">
        <v>198</v>
      </c>
      <c r="C362" s="113"/>
      <c r="D362" s="113"/>
      <c r="E362" s="113"/>
      <c r="F362" s="306"/>
      <c r="G362" s="2"/>
      <c r="H362" s="1" t="str">
        <f t="shared" si="5"/>
        <v>10.51.91.198</v>
      </c>
    </row>
    <row r="363" spans="2:8" x14ac:dyDescent="0.25">
      <c r="B363" s="30">
        <v>199</v>
      </c>
      <c r="C363" s="35" t="s">
        <v>1798</v>
      </c>
      <c r="D363" s="113"/>
      <c r="E363" s="113"/>
      <c r="F363" s="306"/>
      <c r="G363" s="2"/>
      <c r="H363" s="1" t="str">
        <f t="shared" si="5"/>
        <v>10.51.91.199</v>
      </c>
    </row>
    <row r="364" spans="2:8" x14ac:dyDescent="0.25">
      <c r="B364" s="30">
        <v>200</v>
      </c>
      <c r="C364" s="113"/>
      <c r="D364" s="113"/>
      <c r="E364" s="113"/>
      <c r="F364" s="306"/>
      <c r="G364" s="2"/>
      <c r="H364" s="1" t="str">
        <f t="shared" si="5"/>
        <v>10.51.91.200</v>
      </c>
    </row>
  </sheetData>
  <mergeCells count="6">
    <mergeCell ref="L50:M50"/>
    <mergeCell ref="A1:B1"/>
    <mergeCell ref="J31:K31"/>
    <mergeCell ref="J47:J48"/>
    <mergeCell ref="K47:K48"/>
    <mergeCell ref="L47:M47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scale="95" orientation="portrait"/>
  <headerFooter>
    <oddHeader>&amp;C&amp;"HY견고딕,Regular"&amp;22IP관리대장(교직원용)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18"/>
  <sheetViews>
    <sheetView zoomScaleNormal="100" zoomScaleSheetLayoutView="100" workbookViewId="0">
      <selection activeCell="H116" sqref="H116"/>
    </sheetView>
  </sheetViews>
  <sheetFormatPr defaultColWidth="8.9140625" defaultRowHeight="13.5" customHeight="1" x14ac:dyDescent="0.25"/>
  <cols>
    <col min="1" max="1" width="7.6640625" style="1" bestFit="1" customWidth="1"/>
    <col min="2" max="2" width="4.4140625" style="11" bestFit="1" customWidth="1"/>
    <col min="3" max="3" width="19.4140625" style="1" bestFit="1" customWidth="1"/>
    <col min="4" max="4" width="36.6640625" style="11" bestFit="1" customWidth="1"/>
    <col min="5" max="5" width="12.9140625" style="11" bestFit="1" customWidth="1"/>
    <col min="6" max="6" width="11.4140625" style="11" bestFit="1" customWidth="1"/>
    <col min="7" max="8" width="17.83203125" style="11" customWidth="1"/>
    <col min="9" max="9" width="14.4140625" style="11" bestFit="1" customWidth="1"/>
    <col min="10" max="16384" width="8.9140625" style="11"/>
  </cols>
  <sheetData>
    <row r="1" spans="1:7" ht="15" customHeight="1" x14ac:dyDescent="0.25">
      <c r="A1" s="48" t="s">
        <v>301</v>
      </c>
      <c r="B1" s="28" t="s">
        <v>121</v>
      </c>
      <c r="C1" s="43" t="s">
        <v>22</v>
      </c>
      <c r="D1" s="28" t="s">
        <v>314</v>
      </c>
      <c r="E1" s="28" t="s">
        <v>1182</v>
      </c>
      <c r="F1" s="49"/>
    </row>
    <row r="2" spans="1:7" ht="15" customHeight="1" x14ac:dyDescent="0.25">
      <c r="A2" s="50" t="s">
        <v>608</v>
      </c>
      <c r="B2" s="39">
        <v>1</v>
      </c>
      <c r="C2" s="39"/>
      <c r="D2" s="39"/>
      <c r="E2" s="39"/>
      <c r="F2" s="79"/>
      <c r="G2" s="11" t="str">
        <f t="shared" ref="G2:G10" si="0">$A$2&amp;B2</f>
        <v>10.54.36.1</v>
      </c>
    </row>
    <row r="3" spans="1:7" ht="15" customHeight="1" x14ac:dyDescent="0.25">
      <c r="A3" s="30"/>
      <c r="B3" s="40">
        <v>2</v>
      </c>
      <c r="C3" s="40"/>
      <c r="D3" s="40"/>
      <c r="E3" s="40"/>
      <c r="F3" s="79"/>
      <c r="G3" s="11" t="str">
        <f t="shared" si="0"/>
        <v>10.54.36.2</v>
      </c>
    </row>
    <row r="4" spans="1:7" ht="15" customHeight="1" x14ac:dyDescent="0.25">
      <c r="A4" s="30"/>
      <c r="B4" s="40">
        <v>3</v>
      </c>
      <c r="C4" s="40"/>
      <c r="D4" s="40"/>
      <c r="E4" s="40"/>
      <c r="F4" s="79"/>
      <c r="G4" s="11" t="str">
        <f t="shared" si="0"/>
        <v>10.54.36.3</v>
      </c>
    </row>
    <row r="5" spans="1:7" ht="15" customHeight="1" x14ac:dyDescent="0.25">
      <c r="A5" s="30"/>
      <c r="B5" s="40">
        <v>4</v>
      </c>
      <c r="C5" s="40"/>
      <c r="D5" s="40"/>
      <c r="E5" s="40"/>
      <c r="F5" s="79"/>
      <c r="G5" s="11" t="str">
        <f t="shared" si="0"/>
        <v>10.54.36.4</v>
      </c>
    </row>
    <row r="6" spans="1:7" ht="15" customHeight="1" x14ac:dyDescent="0.25">
      <c r="A6" s="30"/>
      <c r="B6" s="41">
        <v>5</v>
      </c>
      <c r="C6" s="41"/>
      <c r="D6" s="41"/>
      <c r="E6" s="41"/>
      <c r="F6" s="79"/>
      <c r="G6" s="11" t="str">
        <f t="shared" si="0"/>
        <v>10.54.36.5</v>
      </c>
    </row>
    <row r="7" spans="1:7" ht="15" customHeight="1" x14ac:dyDescent="0.25">
      <c r="A7" s="30"/>
      <c r="B7" s="39">
        <v>6</v>
      </c>
      <c r="C7" s="39"/>
      <c r="D7" s="39"/>
      <c r="E7" s="39"/>
      <c r="F7" s="79"/>
      <c r="G7" s="11" t="str">
        <f t="shared" si="0"/>
        <v>10.54.36.6</v>
      </c>
    </row>
    <row r="8" spans="1:7" ht="15" customHeight="1" x14ac:dyDescent="0.25">
      <c r="A8" s="30"/>
      <c r="B8" s="40">
        <v>7</v>
      </c>
      <c r="C8" s="40"/>
      <c r="D8" s="40"/>
      <c r="E8" s="40"/>
      <c r="F8" s="79"/>
      <c r="G8" s="11" t="str">
        <f t="shared" si="0"/>
        <v>10.54.36.7</v>
      </c>
    </row>
    <row r="9" spans="1:7" ht="15" customHeight="1" x14ac:dyDescent="0.25">
      <c r="A9" s="30"/>
      <c r="B9" s="40">
        <v>8</v>
      </c>
      <c r="C9" s="40"/>
      <c r="D9" s="40"/>
      <c r="E9" s="40"/>
      <c r="F9" s="79"/>
      <c r="G9" s="11" t="str">
        <f t="shared" si="0"/>
        <v>10.54.36.8</v>
      </c>
    </row>
    <row r="10" spans="1:7" ht="15" customHeight="1" x14ac:dyDescent="0.25">
      <c r="A10" s="30"/>
      <c r="B10" s="40">
        <v>9</v>
      </c>
      <c r="C10" s="40"/>
      <c r="D10" s="40"/>
      <c r="E10" s="40"/>
      <c r="F10" s="79"/>
      <c r="G10" s="11" t="str">
        <f t="shared" si="0"/>
        <v>10.54.36.9</v>
      </c>
    </row>
    <row r="11" spans="1:7" ht="15" customHeight="1" x14ac:dyDescent="0.25">
      <c r="A11" s="11"/>
      <c r="B11" s="41">
        <v>10</v>
      </c>
      <c r="C11" s="41" t="s">
        <v>1461</v>
      </c>
      <c r="D11" s="41" t="str">
        <f>IFERROR((VLOOKUP(C11,PC!$A$1:$K$436,7,FALSE)&amp;" "&amp;VLOOKUP(C11,PC!$A$1:$K$436,6,FALSE)),"")</f>
        <v>레드스톤 VITO RMS-565S</v>
      </c>
      <c r="E11" s="41" t="str">
        <f>IFERROR(VLOOKUP(C11,PC!$A$1:$K$436,2,FALSE),"")</f>
        <v>20190927-0798</v>
      </c>
      <c r="F11" s="332" t="s">
        <v>1080</v>
      </c>
      <c r="G11" s="11" t="str">
        <f t="shared" ref="G11:G25" si="1">$A$2&amp;B11</f>
        <v>10.54.36.10</v>
      </c>
    </row>
    <row r="12" spans="1:7" ht="15" customHeight="1" x14ac:dyDescent="0.25">
      <c r="A12" s="51"/>
      <c r="B12" s="39">
        <v>11</v>
      </c>
      <c r="C12" s="39" t="s">
        <v>1412</v>
      </c>
      <c r="D12" s="39" t="str">
        <f>IFERROR((VLOOKUP(C12,PC!$A$1:$K$436,7,FALSE)&amp;" "&amp;VLOOKUP(C12,PC!$A$1:$K$436,6,FALSE)),"")</f>
        <v>성주컴텍 SD100-GCR22S</v>
      </c>
      <c r="E12" s="39" t="str">
        <f>IFERROR(VLOOKUP(C12,PC!$A$1:$K$436,2,FALSE),"")</f>
        <v>20201102-0883</v>
      </c>
      <c r="F12" s="333"/>
      <c r="G12" s="11" t="str">
        <f t="shared" si="1"/>
        <v>10.54.36.11</v>
      </c>
    </row>
    <row r="13" spans="1:7" ht="15" customHeight="1" x14ac:dyDescent="0.25">
      <c r="A13" s="51"/>
      <c r="B13" s="40">
        <v>12</v>
      </c>
      <c r="C13" s="40" t="s">
        <v>1421</v>
      </c>
      <c r="D13" s="40" t="str">
        <f>IFERROR((VLOOKUP(C13,PC!$A$1:$K$436,7,FALSE)&amp;" "&amp;VLOOKUP(C13,PC!$A$1:$K$436,6,FALSE)),"")</f>
        <v>성주컴텍 SD100-GCR22S</v>
      </c>
      <c r="E13" s="40" t="str">
        <f>IFERROR(VLOOKUP(C13,PC!$A$1:$K$436,2,FALSE),"")</f>
        <v>20201102-0882</v>
      </c>
      <c r="F13" s="333"/>
      <c r="G13" s="11" t="str">
        <f t="shared" si="1"/>
        <v>10.54.36.12</v>
      </c>
    </row>
    <row r="14" spans="1:7" ht="15" customHeight="1" x14ac:dyDescent="0.25">
      <c r="A14" s="51"/>
      <c r="B14" s="40">
        <v>13</v>
      </c>
      <c r="C14" s="40" t="s">
        <v>1394</v>
      </c>
      <c r="D14" s="40" t="str">
        <f>IFERROR((VLOOKUP(C14,PC!$A$1:$K$436,7,FALSE)&amp;" "&amp;VLOOKUP(C14,PC!$A$1:$K$436,6,FALSE)),"")</f>
        <v>성주컴텍 SD100-GCR22S</v>
      </c>
      <c r="E14" s="40" t="str">
        <f>IFERROR(VLOOKUP(C14,PC!$A$1:$K$436,2,FALSE),"")</f>
        <v>20201102-0881</v>
      </c>
      <c r="F14" s="333"/>
      <c r="G14" s="11" t="str">
        <f t="shared" si="1"/>
        <v>10.54.36.13</v>
      </c>
    </row>
    <row r="15" spans="1:7" ht="15" customHeight="1" x14ac:dyDescent="0.25">
      <c r="A15" s="51"/>
      <c r="B15" s="40">
        <v>14</v>
      </c>
      <c r="C15" s="40" t="s">
        <v>1419</v>
      </c>
      <c r="D15" s="40" t="str">
        <f>IFERROR((VLOOKUP(C15,PC!$A$1:$K$436,7,FALSE)&amp;" "&amp;VLOOKUP(C15,PC!$A$1:$K$436,6,FALSE)),"")</f>
        <v>성주컴텍 SD100-GCR22S</v>
      </c>
      <c r="E15" s="40" t="str">
        <f>IFERROR(VLOOKUP(C15,PC!$A$1:$K$436,2,FALSE),"")</f>
        <v>20201102-0880</v>
      </c>
      <c r="F15" s="333"/>
      <c r="G15" s="11" t="str">
        <f t="shared" si="1"/>
        <v>10.54.36.14</v>
      </c>
    </row>
    <row r="16" spans="1:7" ht="15" customHeight="1" x14ac:dyDescent="0.25">
      <c r="A16" s="51"/>
      <c r="B16" s="41">
        <v>15</v>
      </c>
      <c r="C16" s="41" t="s">
        <v>1456</v>
      </c>
      <c r="D16" s="41" t="str">
        <f>IFERROR((VLOOKUP(C16,PC!$A$1:$K$436,7,FALSE)&amp;" "&amp;VLOOKUP(C16,PC!$A$1:$K$436,6,FALSE)),"")</f>
        <v>레드스톤 VITO RMS-565S</v>
      </c>
      <c r="E16" s="41" t="str">
        <f>IFERROR(VLOOKUP(C16,PC!$A$1:$K$436,2,FALSE),"")</f>
        <v>20190927-0795</v>
      </c>
      <c r="F16" s="333"/>
      <c r="G16" s="11" t="str">
        <f t="shared" si="1"/>
        <v>10.54.36.15</v>
      </c>
    </row>
    <row r="17" spans="1:7" ht="15" customHeight="1" x14ac:dyDescent="0.25">
      <c r="A17" s="51"/>
      <c r="B17" s="39">
        <v>16</v>
      </c>
      <c r="C17" s="39" t="s">
        <v>1458</v>
      </c>
      <c r="D17" s="39" t="str">
        <f>IFERROR((VLOOKUP(C17,PC!$A$1:$K$436,7,FALSE)&amp;" "&amp;VLOOKUP(C17,PC!$A$1:$K$436,6,FALSE)),"")</f>
        <v>레드스톤 VITO RMS-565S</v>
      </c>
      <c r="E17" s="39" t="str">
        <f>IFERROR(VLOOKUP(C17,PC!$A$1:$K$436,2,FALSE),"")</f>
        <v>20190927-0796</v>
      </c>
      <c r="F17" s="333"/>
      <c r="G17" s="11" t="str">
        <f t="shared" si="1"/>
        <v>10.54.36.16</v>
      </c>
    </row>
    <row r="18" spans="1:7" ht="15" customHeight="1" x14ac:dyDescent="0.25">
      <c r="A18" s="51"/>
      <c r="B18" s="40">
        <v>17</v>
      </c>
      <c r="C18" s="40" t="s">
        <v>1441</v>
      </c>
      <c r="D18" s="40" t="str">
        <f>IFERROR((VLOOKUP(C18,PC!$A$1:$K$436,7,FALSE)&amp;" "&amp;VLOOKUP(C18,PC!$A$1:$K$436,6,FALSE)),"")</f>
        <v>레드스톤 VITO RMS-565S</v>
      </c>
      <c r="E18" s="40" t="str">
        <f>IFERROR(VLOOKUP(C18,PC!$A$1:$K$436,2,FALSE),"")</f>
        <v>20190927-0797</v>
      </c>
      <c r="F18" s="333"/>
      <c r="G18" s="11" t="str">
        <f t="shared" si="1"/>
        <v>10.54.36.17</v>
      </c>
    </row>
    <row r="19" spans="1:7" ht="15" customHeight="1" x14ac:dyDescent="0.25">
      <c r="A19" s="51"/>
      <c r="B19" s="40">
        <v>18</v>
      </c>
      <c r="C19" s="40" t="s">
        <v>1418</v>
      </c>
      <c r="D19" s="40" t="str">
        <f>IFERROR((VLOOKUP(C19,PC!$A$1:$K$436,7,FALSE)&amp;" "&amp;VLOOKUP(C19,PC!$A$1:$K$436,6,FALSE)),"")</f>
        <v>삼보 DG375-GA31-0BPS</v>
      </c>
      <c r="E19" s="40" t="str">
        <f>IFERROR(VLOOKUP(C19,PC!$A$1:$K$436,2,FALSE),"")</f>
        <v>20220117-0896</v>
      </c>
      <c r="F19" s="333"/>
      <c r="G19" s="11" t="str">
        <f t="shared" si="1"/>
        <v>10.54.36.18</v>
      </c>
    </row>
    <row r="20" spans="1:7" ht="15" customHeight="1" x14ac:dyDescent="0.25">
      <c r="A20" s="51"/>
      <c r="B20" s="40">
        <v>19</v>
      </c>
      <c r="C20" s="40" t="s">
        <v>1398</v>
      </c>
      <c r="D20" s="40" t="str">
        <f>IFERROR((VLOOKUP(C20,PC!$A$1:$K$436,7,FALSE)&amp;" "&amp;VLOOKUP(C20,PC!$A$1:$K$436,6,FALSE)),"")</f>
        <v>삼보 DG375-GA31-0BPS</v>
      </c>
      <c r="E20" s="40" t="str">
        <f>IFERROR(VLOOKUP(C20,PC!$A$1:$K$436,2,FALSE),"")</f>
        <v>20220117-0897</v>
      </c>
      <c r="F20" s="333"/>
      <c r="G20" s="11" t="str">
        <f t="shared" si="1"/>
        <v>10.54.36.19</v>
      </c>
    </row>
    <row r="21" spans="1:7" ht="15" customHeight="1" x14ac:dyDescent="0.25">
      <c r="A21" s="51"/>
      <c r="B21" s="41">
        <v>20</v>
      </c>
      <c r="C21" s="41" t="s">
        <v>1397</v>
      </c>
      <c r="D21" s="41" t="str">
        <f>IFERROR((VLOOKUP(C21,PC!$A$1:$K$436,7,FALSE)&amp;" "&amp;VLOOKUP(C21,PC!$A$1:$K$436,6,FALSE)),"")</f>
        <v>삼보 DG375-GA31-0BPS</v>
      </c>
      <c r="E21" s="41" t="str">
        <f>IFERROR(VLOOKUP(C21,PC!$A$1:$K$436,2,FALSE),"")</f>
        <v>20220117-0898</v>
      </c>
      <c r="F21" s="333"/>
      <c r="G21" s="11" t="str">
        <f t="shared" si="1"/>
        <v>10.54.36.20</v>
      </c>
    </row>
    <row r="22" spans="1:7" ht="15" customHeight="1" x14ac:dyDescent="0.25">
      <c r="A22" s="51"/>
      <c r="B22" s="39">
        <v>21</v>
      </c>
      <c r="C22" s="39" t="s">
        <v>1399</v>
      </c>
      <c r="D22" s="39" t="str">
        <f>IFERROR((VLOOKUP(C22,PC!$A$1:$K$436,7,FALSE)&amp;" "&amp;VLOOKUP(C22,PC!$A$1:$K$436,6,FALSE)),"")</f>
        <v>삼보 DG375-GA31-0BPS</v>
      </c>
      <c r="E22" s="39" t="str">
        <f>IFERROR(VLOOKUP(C22,PC!$A$1:$K$436,2,FALSE),"")</f>
        <v>20220117-0899</v>
      </c>
      <c r="F22" s="333"/>
      <c r="G22" s="11" t="str">
        <f t="shared" si="1"/>
        <v>10.54.36.21</v>
      </c>
    </row>
    <row r="23" spans="1:7" ht="15" customHeight="1" x14ac:dyDescent="0.25">
      <c r="A23" s="51"/>
      <c r="B23" s="40">
        <v>22</v>
      </c>
      <c r="C23" s="40" t="s">
        <v>1403</v>
      </c>
      <c r="D23" s="40" t="str">
        <f>IFERROR((VLOOKUP(C23,PC!$A$1:$K$436,7,FALSE)&amp;" "&amp;VLOOKUP(C23,PC!$A$1:$K$436,6,FALSE)),"")</f>
        <v>삼보 DG375-GA31-0BPS</v>
      </c>
      <c r="E23" s="40" t="str">
        <f>IFERROR(VLOOKUP(C23,PC!$A$1:$K$436,2,FALSE),"")</f>
        <v>20220117-0900</v>
      </c>
      <c r="F23" s="334"/>
      <c r="G23" s="11" t="str">
        <f t="shared" si="1"/>
        <v>10.54.36.22</v>
      </c>
    </row>
    <row r="24" spans="1:7" ht="15" customHeight="1" x14ac:dyDescent="0.25">
      <c r="A24" s="51"/>
      <c r="B24" s="40">
        <v>23</v>
      </c>
      <c r="C24" s="40"/>
      <c r="D24" s="40" t="str">
        <f>IFERROR((VLOOKUP(C24,PC!$A$1:$K$436,7,FALSE)&amp;" "&amp;VLOOKUP(C24,PC!$A$1:$K$436,6,FALSE)),"")</f>
        <v/>
      </c>
      <c r="E24" s="40" t="str">
        <f>IFERROR(VLOOKUP(C24,PC!$A$1:$K$436,2,FALSE),"")</f>
        <v/>
      </c>
      <c r="F24" s="141"/>
      <c r="G24" s="11" t="str">
        <f t="shared" si="1"/>
        <v>10.54.36.23</v>
      </c>
    </row>
    <row r="25" spans="1:7" ht="15" customHeight="1" x14ac:dyDescent="0.25">
      <c r="A25" s="51"/>
      <c r="B25" s="40">
        <v>24</v>
      </c>
      <c r="C25" s="40"/>
      <c r="D25" s="40" t="str">
        <f>IFERROR((VLOOKUP(C25,PC!$A$1:$K$436,7,FALSE)&amp;" "&amp;VLOOKUP(C25,PC!$A$1:$K$436,6,FALSE)),"")</f>
        <v/>
      </c>
      <c r="E25" s="40" t="str">
        <f>IFERROR(VLOOKUP(C25,PC!$A$1:$K$436,2,FALSE),"")</f>
        <v/>
      </c>
      <c r="F25" s="79"/>
      <c r="G25" s="11" t="str">
        <f t="shared" si="1"/>
        <v>10.54.36.24</v>
      </c>
    </row>
    <row r="26" spans="1:7" ht="15" customHeight="1" x14ac:dyDescent="0.25">
      <c r="A26" s="51"/>
      <c r="B26" s="41">
        <v>25</v>
      </c>
      <c r="C26" s="41"/>
      <c r="D26" s="41"/>
      <c r="E26" s="41"/>
      <c r="F26" s="79"/>
      <c r="G26" s="11" t="str">
        <f t="shared" ref="G26:G71" si="2">$A$2&amp;B26</f>
        <v>10.54.36.25</v>
      </c>
    </row>
    <row r="27" spans="1:7" ht="15" customHeight="1" x14ac:dyDescent="0.25">
      <c r="A27" s="51"/>
      <c r="B27" s="39">
        <v>26</v>
      </c>
      <c r="C27" s="39"/>
      <c r="D27" s="39"/>
      <c r="E27" s="39"/>
      <c r="F27" s="79"/>
      <c r="G27" s="11" t="str">
        <f t="shared" si="2"/>
        <v>10.54.36.26</v>
      </c>
    </row>
    <row r="28" spans="1:7" ht="15" customHeight="1" x14ac:dyDescent="0.25">
      <c r="A28" s="51"/>
      <c r="B28" s="40">
        <v>27</v>
      </c>
      <c r="C28" s="40"/>
      <c r="D28" s="40"/>
      <c r="E28" s="40"/>
      <c r="F28" s="79"/>
      <c r="G28" s="11" t="str">
        <f t="shared" si="2"/>
        <v>10.54.36.27</v>
      </c>
    </row>
    <row r="29" spans="1:7" ht="15" customHeight="1" x14ac:dyDescent="0.25">
      <c r="A29" s="51"/>
      <c r="B29" s="40">
        <v>28</v>
      </c>
      <c r="C29" s="40"/>
      <c r="D29" s="40"/>
      <c r="E29" s="40"/>
      <c r="F29" s="79"/>
      <c r="G29" s="11" t="str">
        <f t="shared" si="2"/>
        <v>10.54.36.28</v>
      </c>
    </row>
    <row r="30" spans="1:7" ht="15" customHeight="1" x14ac:dyDescent="0.25">
      <c r="A30" s="51"/>
      <c r="B30" s="40">
        <v>29</v>
      </c>
      <c r="C30" s="40"/>
      <c r="D30" s="40"/>
      <c r="E30" s="40"/>
      <c r="F30" s="79"/>
      <c r="G30" s="11" t="str">
        <f t="shared" si="2"/>
        <v>10.54.36.29</v>
      </c>
    </row>
    <row r="31" spans="1:7" ht="15" customHeight="1" x14ac:dyDescent="0.25">
      <c r="A31" s="51"/>
      <c r="B31" s="41">
        <v>30</v>
      </c>
      <c r="C31" s="41"/>
      <c r="D31" s="41"/>
      <c r="E31" s="41"/>
      <c r="F31" s="79"/>
      <c r="G31" s="11" t="str">
        <f t="shared" si="2"/>
        <v>10.54.36.30</v>
      </c>
    </row>
    <row r="32" spans="1:7" ht="15" customHeight="1" x14ac:dyDescent="0.25">
      <c r="A32" s="51"/>
      <c r="B32" s="39">
        <v>31</v>
      </c>
      <c r="C32" s="39"/>
      <c r="D32" s="39"/>
      <c r="E32" s="39"/>
      <c r="F32" s="79"/>
      <c r="G32" s="11" t="str">
        <f t="shared" si="2"/>
        <v>10.54.36.31</v>
      </c>
    </row>
    <row r="33" spans="1:7" ht="15" customHeight="1" x14ac:dyDescent="0.25">
      <c r="A33" s="51"/>
      <c r="B33" s="40">
        <v>32</v>
      </c>
      <c r="C33" s="40"/>
      <c r="D33" s="40"/>
      <c r="E33" s="40"/>
      <c r="F33" s="79"/>
      <c r="G33" s="11" t="str">
        <f t="shared" si="2"/>
        <v>10.54.36.32</v>
      </c>
    </row>
    <row r="34" spans="1:7" ht="15" customHeight="1" x14ac:dyDescent="0.25">
      <c r="A34" s="51"/>
      <c r="B34" s="40">
        <v>33</v>
      </c>
      <c r="C34" s="40"/>
      <c r="D34" s="40"/>
      <c r="E34" s="40"/>
      <c r="F34" s="79"/>
      <c r="G34" s="11" t="str">
        <f t="shared" si="2"/>
        <v>10.54.36.33</v>
      </c>
    </row>
    <row r="35" spans="1:7" ht="15" customHeight="1" x14ac:dyDescent="0.25">
      <c r="A35" s="51"/>
      <c r="B35" s="40">
        <v>34</v>
      </c>
      <c r="C35" s="40"/>
      <c r="D35" s="40"/>
      <c r="E35" s="40"/>
      <c r="F35" s="79"/>
      <c r="G35" s="11" t="str">
        <f t="shared" si="2"/>
        <v>10.54.36.34</v>
      </c>
    </row>
    <row r="36" spans="1:7" ht="15" customHeight="1" x14ac:dyDescent="0.25">
      <c r="A36" s="51"/>
      <c r="B36" s="41">
        <v>35</v>
      </c>
      <c r="C36" s="41"/>
      <c r="D36" s="41"/>
      <c r="E36" s="41"/>
      <c r="F36" s="79"/>
      <c r="G36" s="11" t="str">
        <f t="shared" si="2"/>
        <v>10.54.36.35</v>
      </c>
    </row>
    <row r="37" spans="1:7" ht="15" customHeight="1" x14ac:dyDescent="0.25">
      <c r="A37" s="51"/>
      <c r="B37" s="39">
        <v>36</v>
      </c>
      <c r="C37" s="39"/>
      <c r="D37" s="39"/>
      <c r="E37" s="39"/>
      <c r="F37" s="79"/>
      <c r="G37" s="11" t="str">
        <f t="shared" si="2"/>
        <v>10.54.36.36</v>
      </c>
    </row>
    <row r="38" spans="1:7" ht="15" customHeight="1" x14ac:dyDescent="0.25">
      <c r="A38" s="51"/>
      <c r="B38" s="40">
        <v>37</v>
      </c>
      <c r="C38" s="40"/>
      <c r="D38" s="40"/>
      <c r="E38" s="40"/>
      <c r="F38" s="79"/>
      <c r="G38" s="11" t="str">
        <f t="shared" si="2"/>
        <v>10.54.36.37</v>
      </c>
    </row>
    <row r="39" spans="1:7" ht="15" customHeight="1" x14ac:dyDescent="0.25">
      <c r="A39" s="51"/>
      <c r="B39" s="40">
        <v>38</v>
      </c>
      <c r="C39" s="40"/>
      <c r="D39" s="40"/>
      <c r="E39" s="40"/>
      <c r="F39" s="79"/>
      <c r="G39" s="11" t="str">
        <f t="shared" si="2"/>
        <v>10.54.36.38</v>
      </c>
    </row>
    <row r="40" spans="1:7" ht="15" customHeight="1" x14ac:dyDescent="0.25">
      <c r="A40" s="51"/>
      <c r="B40" s="40">
        <v>39</v>
      </c>
      <c r="C40" s="40"/>
      <c r="D40" s="40"/>
      <c r="E40" s="40"/>
      <c r="F40" s="79"/>
      <c r="G40" s="11" t="str">
        <f t="shared" si="2"/>
        <v>10.54.36.39</v>
      </c>
    </row>
    <row r="41" spans="1:7" ht="15" customHeight="1" x14ac:dyDescent="0.25">
      <c r="A41" s="51"/>
      <c r="B41" s="41">
        <v>40</v>
      </c>
      <c r="C41" s="41"/>
      <c r="D41" s="41"/>
      <c r="E41" s="41"/>
      <c r="F41" s="79"/>
      <c r="G41" s="11" t="str">
        <f t="shared" si="2"/>
        <v>10.54.36.40</v>
      </c>
    </row>
    <row r="42" spans="1:7" ht="15" customHeight="1" x14ac:dyDescent="0.25">
      <c r="A42" s="51"/>
      <c r="B42" s="39">
        <v>41</v>
      </c>
      <c r="C42" s="39"/>
      <c r="D42" s="39"/>
      <c r="E42" s="39"/>
      <c r="F42" s="79"/>
      <c r="G42" s="11" t="str">
        <f t="shared" si="2"/>
        <v>10.54.36.41</v>
      </c>
    </row>
    <row r="43" spans="1:7" ht="15" customHeight="1" x14ac:dyDescent="0.25">
      <c r="A43" s="51"/>
      <c r="B43" s="40">
        <v>42</v>
      </c>
      <c r="C43" s="40"/>
      <c r="D43" s="40"/>
      <c r="E43" s="40"/>
      <c r="F43" s="79"/>
      <c r="G43" s="11" t="str">
        <f t="shared" si="2"/>
        <v>10.54.36.42</v>
      </c>
    </row>
    <row r="44" spans="1:7" ht="15" customHeight="1" x14ac:dyDescent="0.25">
      <c r="A44" s="51"/>
      <c r="B44" s="40">
        <v>43</v>
      </c>
      <c r="C44" s="40"/>
      <c r="D44" s="40"/>
      <c r="E44" s="40"/>
      <c r="F44" s="79"/>
      <c r="G44" s="11" t="str">
        <f t="shared" si="2"/>
        <v>10.54.36.43</v>
      </c>
    </row>
    <row r="45" spans="1:7" ht="15" customHeight="1" x14ac:dyDescent="0.25">
      <c r="A45" s="51"/>
      <c r="B45" s="40">
        <v>44</v>
      </c>
      <c r="C45" s="40"/>
      <c r="D45" s="40"/>
      <c r="E45" s="40"/>
      <c r="F45" s="79"/>
      <c r="G45" s="11" t="str">
        <f t="shared" si="2"/>
        <v>10.54.36.44</v>
      </c>
    </row>
    <row r="46" spans="1:7" ht="15" customHeight="1" x14ac:dyDescent="0.25">
      <c r="A46" s="51"/>
      <c r="B46" s="41">
        <v>45</v>
      </c>
      <c r="C46" s="41"/>
      <c r="D46" s="41"/>
      <c r="E46" s="41"/>
      <c r="F46" s="79"/>
      <c r="G46" s="11" t="str">
        <f t="shared" si="2"/>
        <v>10.54.36.45</v>
      </c>
    </row>
    <row r="47" spans="1:7" ht="15" customHeight="1" x14ac:dyDescent="0.25">
      <c r="A47" s="51"/>
      <c r="B47" s="39">
        <v>46</v>
      </c>
      <c r="C47" s="39"/>
      <c r="D47" s="39"/>
      <c r="E47" s="39"/>
      <c r="F47" s="79"/>
      <c r="G47" s="11" t="str">
        <f t="shared" si="2"/>
        <v>10.54.36.46</v>
      </c>
    </row>
    <row r="48" spans="1:7" ht="15" customHeight="1" x14ac:dyDescent="0.25">
      <c r="A48" s="51"/>
      <c r="B48" s="40">
        <v>47</v>
      </c>
      <c r="C48" s="40"/>
      <c r="D48" s="40"/>
      <c r="E48" s="40"/>
      <c r="F48" s="79"/>
      <c r="G48" s="11" t="str">
        <f t="shared" si="2"/>
        <v>10.54.36.47</v>
      </c>
    </row>
    <row r="49" spans="1:8" ht="15" customHeight="1" x14ac:dyDescent="0.25">
      <c r="A49" s="51"/>
      <c r="B49" s="40">
        <v>48</v>
      </c>
      <c r="C49" s="40"/>
      <c r="D49" s="40"/>
      <c r="E49" s="40"/>
      <c r="F49" s="79"/>
      <c r="G49" s="11" t="str">
        <f t="shared" si="2"/>
        <v>10.54.36.48</v>
      </c>
    </row>
    <row r="50" spans="1:8" ht="15" customHeight="1" x14ac:dyDescent="0.25">
      <c r="A50" s="51"/>
      <c r="B50" s="40">
        <v>49</v>
      </c>
      <c r="C50" s="40"/>
      <c r="D50" s="40"/>
      <c r="E50" s="40"/>
      <c r="F50" s="79"/>
      <c r="G50" s="11" t="str">
        <f t="shared" si="2"/>
        <v>10.54.36.49</v>
      </c>
    </row>
    <row r="51" spans="1:8" ht="15" customHeight="1" x14ac:dyDescent="0.25">
      <c r="A51" s="51"/>
      <c r="B51" s="41">
        <v>50</v>
      </c>
      <c r="C51" s="41"/>
      <c r="D51" s="41"/>
      <c r="E51" s="41"/>
      <c r="F51" s="79"/>
      <c r="G51" s="11" t="str">
        <f t="shared" si="2"/>
        <v>10.54.36.50</v>
      </c>
    </row>
    <row r="52" spans="1:8" ht="15" customHeight="1" x14ac:dyDescent="0.25">
      <c r="A52" s="51"/>
      <c r="B52" s="39">
        <v>51</v>
      </c>
      <c r="C52" s="39" t="s">
        <v>921</v>
      </c>
      <c r="D52" s="39" t="str">
        <f>IFERROR((VLOOKUP(C52,PC!$A$1:$K$436,7,FALSE)&amp;" "&amp;VLOOKUP(C52,PC!$A$1:$K$436,6,FALSE)),"")</f>
        <v>레드스톤 VITO RMS-565S</v>
      </c>
      <c r="E52" s="39" t="str">
        <f>IFERROR(VLOOKUP(C52,PC!$A$1:$K$436,2,FALSE),"")</f>
        <v>20190927-0790</v>
      </c>
      <c r="F52" s="332" t="s">
        <v>312</v>
      </c>
      <c r="G52" s="11" t="str">
        <f t="shared" si="2"/>
        <v>10.54.36.51</v>
      </c>
      <c r="H52" s="11" t="s">
        <v>869</v>
      </c>
    </row>
    <row r="53" spans="1:8" ht="15" customHeight="1" x14ac:dyDescent="0.25">
      <c r="A53" s="51"/>
      <c r="B53" s="40">
        <v>52</v>
      </c>
      <c r="C53" s="40" t="s">
        <v>1203</v>
      </c>
      <c r="D53" s="40" t="str">
        <f>IFERROR((VLOOKUP(C53,PC!$A$1:$K$436,7,FALSE)&amp;" "&amp;VLOOKUP(C53,PC!$A$1:$K$436,6,FALSE)),"")</f>
        <v>레드스톤 VITO RMS-565S</v>
      </c>
      <c r="E53" s="40" t="str">
        <f>IFERROR(VLOOKUP(C53,PC!$A$1:$K$436,2,FALSE),"")</f>
        <v>20190927-0791</v>
      </c>
      <c r="F53" s="333"/>
      <c r="G53" s="11" t="str">
        <f t="shared" si="2"/>
        <v>10.54.36.52</v>
      </c>
      <c r="H53" s="11" t="s">
        <v>869</v>
      </c>
    </row>
    <row r="54" spans="1:8" ht="15" customHeight="1" x14ac:dyDescent="0.25">
      <c r="A54" s="51"/>
      <c r="B54" s="40">
        <v>53</v>
      </c>
      <c r="C54" s="40" t="s">
        <v>994</v>
      </c>
      <c r="D54" s="40" t="str">
        <f>IFERROR((VLOOKUP(C54,PC!$A$1:$K$436,7,FALSE)&amp;" "&amp;VLOOKUP(C54,PC!$A$1:$K$436,6,FALSE)),"")</f>
        <v>주연테크 JY-네이션스IA45K</v>
      </c>
      <c r="E54" s="40" t="str">
        <f>IFERROR(VLOOKUP(C54,PC!$A$1:$K$436,2,FALSE),"")</f>
        <v>20150825-0768</v>
      </c>
      <c r="F54" s="333"/>
      <c r="G54" s="11" t="str">
        <f t="shared" si="2"/>
        <v>10.54.36.53</v>
      </c>
      <c r="H54" s="11" t="s">
        <v>869</v>
      </c>
    </row>
    <row r="55" spans="1:8" ht="15" customHeight="1" x14ac:dyDescent="0.25">
      <c r="A55" s="51"/>
      <c r="B55" s="40">
        <v>54</v>
      </c>
      <c r="C55" s="40" t="s">
        <v>992</v>
      </c>
      <c r="D55" s="40" t="str">
        <f>IFERROR((VLOOKUP(C55,PC!$A$1:$K$436,7,FALSE)&amp;" "&amp;VLOOKUP(C55,PC!$A$1:$K$436,6,FALSE)),"")</f>
        <v>주연테크 JY-네이션스IA45K</v>
      </c>
      <c r="E55" s="40" t="str">
        <f>IFERROR(VLOOKUP(C55,PC!$A$1:$K$436,2,FALSE),"")</f>
        <v>20150825-0769</v>
      </c>
      <c r="F55" s="334"/>
      <c r="G55" s="11" t="str">
        <f t="shared" si="2"/>
        <v>10.54.36.54</v>
      </c>
      <c r="H55" s="11" t="s">
        <v>869</v>
      </c>
    </row>
    <row r="56" spans="1:8" ht="15" customHeight="1" x14ac:dyDescent="0.25">
      <c r="A56" s="51"/>
      <c r="B56" s="41">
        <v>55</v>
      </c>
      <c r="C56" s="41"/>
      <c r="D56" s="41" t="str">
        <f>IFERROR((VLOOKUP(C56,PC!$A$1:$K$436,7,FALSE)&amp;" "&amp;VLOOKUP(C56,PC!$A$1:$K$436,6,FALSE)),"")</f>
        <v/>
      </c>
      <c r="E56" s="41" t="str">
        <f>IFERROR(VLOOKUP(C56,PC!$A$1:$K$436,2,FALSE),"")</f>
        <v/>
      </c>
      <c r="F56" s="204"/>
      <c r="G56" s="11" t="str">
        <f t="shared" si="2"/>
        <v>10.54.36.55</v>
      </c>
    </row>
    <row r="57" spans="1:8" ht="15" customHeight="1" x14ac:dyDescent="0.25">
      <c r="A57" s="51"/>
      <c r="B57" s="39">
        <v>56</v>
      </c>
      <c r="C57" s="39"/>
      <c r="D57" s="39"/>
      <c r="E57" s="39"/>
      <c r="F57" s="204"/>
      <c r="G57" s="11" t="str">
        <f t="shared" si="2"/>
        <v>10.54.36.56</v>
      </c>
    </row>
    <row r="58" spans="1:8" ht="15" customHeight="1" x14ac:dyDescent="0.25">
      <c r="A58" s="51"/>
      <c r="B58" s="40">
        <v>57</v>
      </c>
      <c r="C58" s="40"/>
      <c r="D58" s="40"/>
      <c r="E58" s="40"/>
      <c r="F58" s="204"/>
      <c r="G58" s="11" t="str">
        <f t="shared" si="2"/>
        <v>10.54.36.57</v>
      </c>
    </row>
    <row r="59" spans="1:8" ht="15" customHeight="1" x14ac:dyDescent="0.25">
      <c r="A59" s="51"/>
      <c r="B59" s="40">
        <v>58</v>
      </c>
      <c r="C59" s="40"/>
      <c r="D59" s="40"/>
      <c r="E59" s="40"/>
      <c r="F59" s="204"/>
      <c r="G59" s="11" t="str">
        <f t="shared" si="2"/>
        <v>10.54.36.58</v>
      </c>
    </row>
    <row r="60" spans="1:8" ht="15" customHeight="1" x14ac:dyDescent="0.25">
      <c r="A60" s="51"/>
      <c r="B60" s="40">
        <v>59</v>
      </c>
      <c r="C60" s="40"/>
      <c r="D60" s="40"/>
      <c r="E60" s="40"/>
      <c r="F60" s="204"/>
      <c r="G60" s="11" t="str">
        <f t="shared" si="2"/>
        <v>10.54.36.59</v>
      </c>
    </row>
    <row r="61" spans="1:8" ht="15" customHeight="1" x14ac:dyDescent="0.25">
      <c r="A61" s="51"/>
      <c r="B61" s="41">
        <v>60</v>
      </c>
      <c r="C61" s="41"/>
      <c r="D61" s="41"/>
      <c r="E61" s="41"/>
      <c r="F61" s="204"/>
      <c r="G61" s="11" t="str">
        <f t="shared" si="2"/>
        <v>10.54.36.60</v>
      </c>
    </row>
    <row r="62" spans="1:8" ht="15" customHeight="1" x14ac:dyDescent="0.25">
      <c r="A62" s="51"/>
      <c r="B62" s="39">
        <v>61</v>
      </c>
      <c r="C62" s="39"/>
      <c r="D62" s="39"/>
      <c r="E62" s="39"/>
      <c r="F62" s="204"/>
      <c r="G62" s="11" t="str">
        <f t="shared" si="2"/>
        <v>10.54.36.61</v>
      </c>
    </row>
    <row r="63" spans="1:8" ht="15" customHeight="1" x14ac:dyDescent="0.25">
      <c r="A63" s="51"/>
      <c r="B63" s="40">
        <v>62</v>
      </c>
      <c r="C63" s="40"/>
      <c r="D63" s="40"/>
      <c r="E63" s="40"/>
      <c r="F63" s="204"/>
      <c r="G63" s="11" t="str">
        <f t="shared" si="2"/>
        <v>10.54.36.62</v>
      </c>
    </row>
    <row r="64" spans="1:8" ht="15" customHeight="1" x14ac:dyDescent="0.25">
      <c r="A64" s="51"/>
      <c r="B64" s="40">
        <v>63</v>
      </c>
      <c r="C64" s="40"/>
      <c r="D64" s="40"/>
      <c r="E64" s="40"/>
      <c r="F64" s="204"/>
      <c r="G64" s="11" t="str">
        <f t="shared" si="2"/>
        <v>10.54.36.63</v>
      </c>
    </row>
    <row r="65" spans="1:7" ht="15" customHeight="1" x14ac:dyDescent="0.25">
      <c r="A65" s="51"/>
      <c r="B65" s="40">
        <v>64</v>
      </c>
      <c r="C65" s="40"/>
      <c r="D65" s="40"/>
      <c r="E65" s="40"/>
      <c r="F65" s="204"/>
      <c r="G65" s="11" t="str">
        <f t="shared" si="2"/>
        <v>10.54.36.64</v>
      </c>
    </row>
    <row r="66" spans="1:7" ht="15" customHeight="1" x14ac:dyDescent="0.25">
      <c r="A66" s="51"/>
      <c r="B66" s="41">
        <v>65</v>
      </c>
      <c r="C66" s="41"/>
      <c r="D66" s="41"/>
      <c r="E66" s="41"/>
      <c r="F66" s="204"/>
      <c r="G66" s="11" t="str">
        <f t="shared" si="2"/>
        <v>10.54.36.65</v>
      </c>
    </row>
    <row r="67" spans="1:7" ht="15" customHeight="1" x14ac:dyDescent="0.25">
      <c r="A67" s="51"/>
      <c r="B67" s="39">
        <v>66</v>
      </c>
      <c r="C67" s="39"/>
      <c r="D67" s="39"/>
      <c r="E67" s="39"/>
      <c r="F67" s="204"/>
      <c r="G67" s="11" t="str">
        <f t="shared" si="2"/>
        <v>10.54.36.66</v>
      </c>
    </row>
    <row r="68" spans="1:7" ht="15" customHeight="1" x14ac:dyDescent="0.25">
      <c r="A68" s="51"/>
      <c r="B68" s="40">
        <v>67</v>
      </c>
      <c r="C68" s="40"/>
      <c r="D68" s="40"/>
      <c r="E68" s="40"/>
      <c r="F68" s="204"/>
      <c r="G68" s="11" t="str">
        <f t="shared" si="2"/>
        <v>10.54.36.67</v>
      </c>
    </row>
    <row r="69" spans="1:7" ht="15" customHeight="1" x14ac:dyDescent="0.25">
      <c r="A69" s="51"/>
      <c r="B69" s="40">
        <v>68</v>
      </c>
      <c r="C69" s="40"/>
      <c r="D69" s="40"/>
      <c r="E69" s="40"/>
      <c r="F69" s="204"/>
      <c r="G69" s="11" t="str">
        <f t="shared" si="2"/>
        <v>10.54.36.68</v>
      </c>
    </row>
    <row r="70" spans="1:7" ht="15" customHeight="1" x14ac:dyDescent="0.25">
      <c r="A70" s="51"/>
      <c r="B70" s="40">
        <v>69</v>
      </c>
      <c r="C70" s="40"/>
      <c r="D70" s="40"/>
      <c r="E70" s="40"/>
      <c r="F70" s="204"/>
      <c r="G70" s="11" t="str">
        <f t="shared" si="2"/>
        <v>10.54.36.69</v>
      </c>
    </row>
    <row r="71" spans="1:7" ht="15" customHeight="1" x14ac:dyDescent="0.25">
      <c r="A71" s="51"/>
      <c r="B71" s="41">
        <v>70</v>
      </c>
      <c r="C71" s="41"/>
      <c r="D71" s="41"/>
      <c r="E71" s="41"/>
      <c r="F71" s="204"/>
      <c r="G71" s="11" t="str">
        <f t="shared" si="2"/>
        <v>10.54.36.70</v>
      </c>
    </row>
    <row r="72" spans="1:7" ht="15" customHeight="1" x14ac:dyDescent="0.25">
      <c r="A72" s="51"/>
      <c r="B72" s="39">
        <v>71</v>
      </c>
      <c r="C72" s="39" t="s">
        <v>1434</v>
      </c>
      <c r="D72" s="39" t="str">
        <f>IFERROR((VLOOKUP(C72,PC!$A$1:$K$436,7,FALSE)&amp;" "&amp;VLOOKUP(C72,PC!$A$1:$K$436,6,FALSE)),"")</f>
        <v>레드스톤 VITO RMS-565S</v>
      </c>
      <c r="E72" s="39" t="str">
        <f>IFERROR(VLOOKUP(C72,PC!$A$1:$K$436,2,FALSE),"")</f>
        <v>20190927-0799</v>
      </c>
      <c r="F72" s="332" t="s">
        <v>317</v>
      </c>
      <c r="G72" s="11" t="str">
        <f t="shared" ref="G72:G77" si="3">$A$2&amp;B72</f>
        <v>10.54.36.71</v>
      </c>
    </row>
    <row r="73" spans="1:7" ht="15" customHeight="1" x14ac:dyDescent="0.25">
      <c r="A73" s="51"/>
      <c r="B73" s="40">
        <v>72</v>
      </c>
      <c r="C73" s="40" t="s">
        <v>1453</v>
      </c>
      <c r="D73" s="40" t="str">
        <f>IFERROR((VLOOKUP(C73,PC!$A$1:$K$436,7,FALSE)&amp;" "&amp;VLOOKUP(C73,PC!$A$1:$K$436,6,FALSE)),"")</f>
        <v>레드스톤 VITO RMS-565S</v>
      </c>
      <c r="E73" s="40" t="str">
        <f>IFERROR(VLOOKUP(C73,PC!$A$1:$K$436,2,FALSE),"")</f>
        <v>20190927-0800</v>
      </c>
      <c r="F73" s="333"/>
      <c r="G73" s="11" t="str">
        <f t="shared" si="3"/>
        <v>10.54.36.72</v>
      </c>
    </row>
    <row r="74" spans="1:7" ht="15" customHeight="1" x14ac:dyDescent="0.25">
      <c r="A74" s="51"/>
      <c r="B74" s="40">
        <v>73</v>
      </c>
      <c r="C74" s="40" t="s">
        <v>1444</v>
      </c>
      <c r="D74" s="40" t="str">
        <f>IFERROR((VLOOKUP(C74,PC!$A$1:$K$436,7,FALSE)&amp;" "&amp;VLOOKUP(C74,PC!$A$1:$K$436,6,FALSE)),"")</f>
        <v>레드스톤 VITO RMS-565S</v>
      </c>
      <c r="E74" s="40" t="str">
        <f>IFERROR(VLOOKUP(C74,PC!$A$1:$K$436,2,FALSE),"")</f>
        <v>20190927-0792</v>
      </c>
      <c r="F74" s="333"/>
      <c r="G74" s="11" t="str">
        <f t="shared" si="3"/>
        <v>10.54.36.73</v>
      </c>
    </row>
    <row r="75" spans="1:7" ht="15" customHeight="1" x14ac:dyDescent="0.25">
      <c r="A75" s="51"/>
      <c r="B75" s="40">
        <v>74</v>
      </c>
      <c r="C75" s="40" t="s">
        <v>1448</v>
      </c>
      <c r="D75" s="40" t="str">
        <f>IFERROR((VLOOKUP(C75,PC!$A$1:$K$436,7,FALSE)&amp;" "&amp;VLOOKUP(C75,PC!$A$1:$K$436,6,FALSE)),"")</f>
        <v>레드스톤 VITO RMS-565S</v>
      </c>
      <c r="E75" s="40" t="str">
        <f>IFERROR(VLOOKUP(C75,PC!$A$1:$K$436,2,FALSE),"")</f>
        <v>20190927-0793</v>
      </c>
      <c r="F75" s="333"/>
      <c r="G75" s="11" t="str">
        <f t="shared" si="3"/>
        <v>10.54.36.74</v>
      </c>
    </row>
    <row r="76" spans="1:7" ht="15" customHeight="1" x14ac:dyDescent="0.25">
      <c r="A76" s="51"/>
      <c r="B76" s="41">
        <v>75</v>
      </c>
      <c r="C76" s="41" t="s">
        <v>1451</v>
      </c>
      <c r="D76" s="41" t="str">
        <f>IFERROR((VLOOKUP(C76,PC!$A$1:$K$436,7,FALSE)&amp;" "&amp;VLOOKUP(C76,PC!$A$1:$K$436,6,FALSE)),"")</f>
        <v>레드스톤 VITO RMS-565S</v>
      </c>
      <c r="E76" s="41" t="str">
        <f>IFERROR(VLOOKUP(C76,PC!$A$1:$K$436,2,FALSE),"")</f>
        <v>20190927-0794</v>
      </c>
      <c r="F76" s="334"/>
      <c r="G76" s="11" t="str">
        <f t="shared" si="3"/>
        <v>10.54.36.75</v>
      </c>
    </row>
    <row r="77" spans="1:7" ht="15" customHeight="1" x14ac:dyDescent="0.25">
      <c r="A77" s="51"/>
      <c r="B77" s="39">
        <v>76</v>
      </c>
      <c r="C77" s="39"/>
      <c r="D77" s="39" t="str">
        <f>IFERROR((VLOOKUP(C77,PC!$A$1:$K$436,7,FALSE)&amp;" "&amp;VLOOKUP(C77,PC!$A$1:$K$436,6,FALSE)),"")</f>
        <v/>
      </c>
      <c r="E77" s="39" t="str">
        <f>IFERROR(VLOOKUP(C77,PC!$A$1:$K$436,2,FALSE),"")</f>
        <v/>
      </c>
      <c r="F77" s="204"/>
      <c r="G77" s="11" t="str">
        <f t="shared" si="3"/>
        <v>10.54.36.76</v>
      </c>
    </row>
    <row r="78" spans="1:7" ht="15" customHeight="1" x14ac:dyDescent="0.25">
      <c r="A78" s="30"/>
      <c r="B78" s="40">
        <v>77</v>
      </c>
      <c r="C78" s="40"/>
      <c r="D78" s="40"/>
      <c r="E78" s="40"/>
      <c r="F78" s="204"/>
      <c r="G78" s="11" t="str">
        <f t="shared" ref="G78:G81" si="4">$A$2&amp;B78</f>
        <v>10.54.36.77</v>
      </c>
    </row>
    <row r="79" spans="1:7" ht="15" customHeight="1" x14ac:dyDescent="0.25">
      <c r="A79" s="30"/>
      <c r="B79" s="40">
        <v>78</v>
      </c>
      <c r="C79" s="40"/>
      <c r="D79" s="40"/>
      <c r="E79" s="40"/>
      <c r="F79" s="204"/>
      <c r="G79" s="11" t="str">
        <f t="shared" si="4"/>
        <v>10.54.36.78</v>
      </c>
    </row>
    <row r="80" spans="1:7" ht="15" customHeight="1" x14ac:dyDescent="0.25">
      <c r="A80" s="30"/>
      <c r="B80" s="40">
        <v>79</v>
      </c>
      <c r="C80" s="40"/>
      <c r="D80" s="40"/>
      <c r="E80" s="40"/>
      <c r="F80" s="204"/>
      <c r="G80" s="11" t="str">
        <f t="shared" si="4"/>
        <v>10.54.36.79</v>
      </c>
    </row>
    <row r="81" spans="1:7" ht="15" customHeight="1" x14ac:dyDescent="0.25">
      <c r="A81" s="30"/>
      <c r="B81" s="41">
        <v>80</v>
      </c>
      <c r="C81" s="41"/>
      <c r="D81" s="41"/>
      <c r="E81" s="41"/>
      <c r="F81" s="204"/>
      <c r="G81" s="11" t="str">
        <f t="shared" si="4"/>
        <v>10.54.36.80</v>
      </c>
    </row>
    <row r="82" spans="1:7" ht="15" customHeight="1" x14ac:dyDescent="0.25">
      <c r="A82" s="30"/>
      <c r="B82" s="42">
        <v>100</v>
      </c>
      <c r="C82" s="43" t="s">
        <v>920</v>
      </c>
      <c r="D82" s="43" t="str">
        <f>IFERROR((VLOOKUP(C82,PC!$A$1:$K$436,7,FALSE)&amp;" "&amp;VLOOKUP(C82,PC!$A$1:$K$436,6,FALSE)),"")</f>
        <v>삼성 NT370E5J-K06G</v>
      </c>
      <c r="E82" s="43" t="str">
        <f>IFERROR(VLOOKUP(C82,PC!$A$1:$K$436,2,FALSE),"")</f>
        <v>20160323-0695</v>
      </c>
      <c r="F82" s="44" t="s">
        <v>1084</v>
      </c>
      <c r="G82" s="11" t="str">
        <f>$A$2&amp;B82</f>
        <v>10.54.36.100</v>
      </c>
    </row>
    <row r="83" spans="1:7" ht="15" customHeight="1" x14ac:dyDescent="0.25">
      <c r="A83" s="30"/>
      <c r="B83" s="39">
        <v>101</v>
      </c>
      <c r="C83" s="39"/>
      <c r="D83" s="39"/>
      <c r="E83" s="39"/>
      <c r="F83" s="149"/>
      <c r="G83" s="11" t="str">
        <f>$A$2&amp;B83</f>
        <v>10.54.36.101</v>
      </c>
    </row>
    <row r="84" spans="1:7" ht="15" customHeight="1" x14ac:dyDescent="0.25">
      <c r="A84" s="51"/>
      <c r="B84" s="40">
        <v>102</v>
      </c>
      <c r="C84" s="40" t="s">
        <v>1195</v>
      </c>
      <c r="D84" s="40" t="str">
        <f>IFERROR((VLOOKUP(C84,PC!$A$1:$K$436,7,FALSE)&amp;" "&amp;VLOOKUP(C84,PC!$A$1:$K$436,6,FALSE)),"")</f>
        <v>조립품 조립품</v>
      </c>
      <c r="E84" s="40" t="str">
        <f>IFERROR(VLOOKUP(C84,PC!$A$1:$K$436,2,FALSE),"")</f>
        <v>20200925-0854</v>
      </c>
      <c r="F84" s="335" t="s">
        <v>335</v>
      </c>
      <c r="G84" s="11" t="str">
        <f>$A$2&amp;B84</f>
        <v>10.54.36.102</v>
      </c>
    </row>
    <row r="85" spans="1:7" ht="15" customHeight="1" x14ac:dyDescent="0.25">
      <c r="A85" s="30"/>
      <c r="B85" s="40">
        <v>103</v>
      </c>
      <c r="C85" s="40" t="s">
        <v>916</v>
      </c>
      <c r="D85" s="40" t="str">
        <f>IFERROR((VLOOKUP(C85,PC!$A$1:$K$436,7,FALSE)&amp;" "&amp;VLOOKUP(C85,PC!$A$1:$K$436,6,FALSE)),"")</f>
        <v>주연테크 JY-환타스틱IA49P</v>
      </c>
      <c r="E85" s="40" t="str">
        <f>IFERROR(VLOOKUP(C85,PC!$A$1:$K$436,2,FALSE),"")</f>
        <v>20161107-0763</v>
      </c>
      <c r="F85" s="334"/>
      <c r="G85" s="11" t="str">
        <f>$A$2&amp;B85</f>
        <v>10.54.36.103</v>
      </c>
    </row>
    <row r="86" spans="1:7" ht="15" customHeight="1" x14ac:dyDescent="0.25">
      <c r="A86" s="51"/>
      <c r="B86" s="40">
        <v>104</v>
      </c>
      <c r="C86" s="40"/>
      <c r="D86" s="40"/>
      <c r="E86" s="40"/>
      <c r="F86" s="149"/>
      <c r="G86" s="11" t="str">
        <f t="shared" ref="G86:G122" si="5">$A$2&amp;B86</f>
        <v>10.54.36.104</v>
      </c>
    </row>
    <row r="87" spans="1:7" ht="15" customHeight="1" x14ac:dyDescent="0.25">
      <c r="A87" s="51"/>
      <c r="B87" s="41">
        <v>105</v>
      </c>
      <c r="C87" s="41"/>
      <c r="D87" s="41"/>
      <c r="E87" s="41"/>
      <c r="F87" s="149"/>
      <c r="G87" s="11" t="str">
        <f t="shared" si="5"/>
        <v>10.54.36.105</v>
      </c>
    </row>
    <row r="88" spans="1:7" ht="15" customHeight="1" x14ac:dyDescent="0.25">
      <c r="A88" s="51"/>
      <c r="B88" s="39">
        <v>106</v>
      </c>
      <c r="C88" s="39"/>
      <c r="D88" s="39"/>
      <c r="E88" s="39"/>
      <c r="F88" s="149"/>
      <c r="G88" s="11" t="str">
        <f t="shared" si="5"/>
        <v>10.54.36.106</v>
      </c>
    </row>
    <row r="89" spans="1:7" ht="15" customHeight="1" x14ac:dyDescent="0.25">
      <c r="A89" s="51"/>
      <c r="B89" s="40">
        <v>107</v>
      </c>
      <c r="C89" s="40"/>
      <c r="D89" s="40"/>
      <c r="E89" s="40"/>
      <c r="F89" s="149"/>
      <c r="G89" s="11" t="str">
        <f t="shared" si="5"/>
        <v>10.54.36.107</v>
      </c>
    </row>
    <row r="90" spans="1:7" ht="15" customHeight="1" x14ac:dyDescent="0.25">
      <c r="A90" s="51"/>
      <c r="B90" s="40">
        <v>108</v>
      </c>
      <c r="C90" s="40"/>
      <c r="D90" s="40"/>
      <c r="E90" s="40"/>
      <c r="F90" s="149"/>
      <c r="G90" s="11" t="str">
        <f t="shared" si="5"/>
        <v>10.54.36.108</v>
      </c>
    </row>
    <row r="91" spans="1:7" ht="15" customHeight="1" x14ac:dyDescent="0.25">
      <c r="A91" s="51"/>
      <c r="B91" s="40">
        <v>109</v>
      </c>
      <c r="C91" s="40"/>
      <c r="D91" s="40"/>
      <c r="E91" s="40"/>
      <c r="F91" s="149"/>
      <c r="G91" s="11" t="str">
        <f t="shared" si="5"/>
        <v>10.54.36.109</v>
      </c>
    </row>
    <row r="92" spans="1:7" ht="15" customHeight="1" x14ac:dyDescent="0.25">
      <c r="A92" s="51"/>
      <c r="B92" s="96">
        <v>110</v>
      </c>
      <c r="C92" s="96"/>
      <c r="D92" s="96"/>
      <c r="E92" s="96"/>
      <c r="F92" s="149"/>
      <c r="G92" s="11" t="str">
        <f t="shared" si="5"/>
        <v>10.54.36.110</v>
      </c>
    </row>
    <row r="93" spans="1:7" ht="16.25" customHeight="1" x14ac:dyDescent="0.25">
      <c r="A93" s="51"/>
      <c r="B93" s="96">
        <v>111</v>
      </c>
      <c r="C93" s="96"/>
      <c r="D93" s="96"/>
      <c r="E93" s="96"/>
      <c r="F93" s="149"/>
      <c r="G93" s="11" t="str">
        <f t="shared" si="5"/>
        <v>10.54.36.111</v>
      </c>
    </row>
    <row r="94" spans="1:7" ht="16.25" customHeight="1" x14ac:dyDescent="0.25">
      <c r="A94" s="51"/>
      <c r="B94" s="96">
        <v>112</v>
      </c>
      <c r="C94" s="96"/>
      <c r="D94" s="96"/>
      <c r="E94" s="96"/>
      <c r="F94" s="149"/>
      <c r="G94" s="11" t="str">
        <f t="shared" si="5"/>
        <v>10.54.36.112</v>
      </c>
    </row>
    <row r="95" spans="1:7" ht="16.25" customHeight="1" x14ac:dyDescent="0.25">
      <c r="A95" s="51"/>
      <c r="B95" s="96">
        <v>113</v>
      </c>
      <c r="C95" s="96"/>
      <c r="D95" s="96"/>
      <c r="E95" s="96"/>
      <c r="F95" s="149"/>
      <c r="G95" s="11" t="str">
        <f t="shared" si="5"/>
        <v>10.54.36.113</v>
      </c>
    </row>
    <row r="96" spans="1:7" ht="16.25" customHeight="1" x14ac:dyDescent="0.25">
      <c r="A96" s="51"/>
      <c r="B96" s="96">
        <v>114</v>
      </c>
      <c r="C96" s="96"/>
      <c r="D96" s="96"/>
      <c r="E96" s="96"/>
      <c r="F96" s="149"/>
      <c r="G96" s="11" t="str">
        <f t="shared" si="5"/>
        <v>10.54.36.114</v>
      </c>
    </row>
    <row r="97" spans="1:7" ht="16.25" customHeight="1" x14ac:dyDescent="0.25">
      <c r="A97" s="51"/>
      <c r="B97" s="96">
        <v>115</v>
      </c>
      <c r="C97" s="96"/>
      <c r="D97" s="96"/>
      <c r="E97" s="96"/>
      <c r="F97" s="149"/>
      <c r="G97" s="11" t="str">
        <f t="shared" si="5"/>
        <v>10.54.36.115</v>
      </c>
    </row>
    <row r="98" spans="1:7" ht="16.25" customHeight="1" x14ac:dyDescent="0.25">
      <c r="A98" s="51"/>
      <c r="B98" s="96">
        <v>116</v>
      </c>
      <c r="C98" s="96"/>
      <c r="D98" s="96"/>
      <c r="E98" s="96"/>
      <c r="F98" s="149"/>
      <c r="G98" s="11" t="str">
        <f t="shared" si="5"/>
        <v>10.54.36.116</v>
      </c>
    </row>
    <row r="99" spans="1:7" ht="16.25" customHeight="1" x14ac:dyDescent="0.25">
      <c r="A99" s="51"/>
      <c r="B99" s="96">
        <v>117</v>
      </c>
      <c r="C99" s="96"/>
      <c r="D99" s="96"/>
      <c r="E99" s="96"/>
      <c r="F99" s="149"/>
      <c r="G99" s="11" t="str">
        <f>$A$2&amp;B99</f>
        <v>10.54.36.117</v>
      </c>
    </row>
    <row r="100" spans="1:7" ht="16.25" customHeight="1" x14ac:dyDescent="0.25">
      <c r="A100" s="51"/>
      <c r="B100" s="96">
        <v>118</v>
      </c>
      <c r="C100" s="96"/>
      <c r="D100" s="96"/>
      <c r="E100" s="96"/>
      <c r="F100" s="149"/>
      <c r="G100" s="11" t="str">
        <f t="shared" si="5"/>
        <v>10.54.36.118</v>
      </c>
    </row>
    <row r="101" spans="1:7" ht="16.25" customHeight="1" x14ac:dyDescent="0.25">
      <c r="A101" s="51"/>
      <c r="B101" s="96">
        <v>119</v>
      </c>
      <c r="C101" s="96"/>
      <c r="D101" s="96"/>
      <c r="E101" s="96"/>
      <c r="F101" s="149"/>
      <c r="G101" s="11" t="str">
        <f t="shared" si="5"/>
        <v>10.54.36.119</v>
      </c>
    </row>
    <row r="102" spans="1:7" ht="16.25" customHeight="1" x14ac:dyDescent="0.25">
      <c r="A102" s="51"/>
      <c r="B102" s="96">
        <v>120</v>
      </c>
      <c r="C102" s="96"/>
      <c r="D102" s="96"/>
      <c r="E102" s="96"/>
      <c r="F102" s="149"/>
      <c r="G102" s="11" t="str">
        <f t="shared" si="5"/>
        <v>10.54.36.120</v>
      </c>
    </row>
    <row r="103" spans="1:7" ht="16.25" customHeight="1" x14ac:dyDescent="0.25">
      <c r="A103" s="51"/>
      <c r="B103" s="96">
        <v>121</v>
      </c>
      <c r="C103" s="96"/>
      <c r="D103" s="96"/>
      <c r="E103" s="96"/>
      <c r="F103" s="149"/>
      <c r="G103" s="11" t="str">
        <f t="shared" si="5"/>
        <v>10.54.36.121</v>
      </c>
    </row>
    <row r="104" spans="1:7" ht="16.25" customHeight="1" x14ac:dyDescent="0.25">
      <c r="A104" s="51"/>
      <c r="B104" s="96">
        <v>122</v>
      </c>
      <c r="C104" s="96"/>
      <c r="D104" s="96"/>
      <c r="E104" s="96"/>
      <c r="F104" s="149"/>
      <c r="G104" s="11" t="str">
        <f t="shared" si="5"/>
        <v>10.54.36.122</v>
      </c>
    </row>
    <row r="105" spans="1:7" ht="16.25" customHeight="1" x14ac:dyDescent="0.25">
      <c r="A105" s="51"/>
      <c r="B105" s="96">
        <v>123</v>
      </c>
      <c r="C105" s="96"/>
      <c r="D105" s="96"/>
      <c r="E105" s="96"/>
      <c r="F105" s="149"/>
      <c r="G105" s="11" t="str">
        <f t="shared" si="5"/>
        <v>10.54.36.123</v>
      </c>
    </row>
    <row r="106" spans="1:7" ht="16.25" customHeight="1" x14ac:dyDescent="0.25">
      <c r="A106" s="51"/>
      <c r="B106" s="96">
        <v>124</v>
      </c>
      <c r="C106" s="96"/>
      <c r="D106" s="96"/>
      <c r="E106" s="96"/>
      <c r="F106" s="149"/>
      <c r="G106" s="11" t="str">
        <f t="shared" si="5"/>
        <v>10.54.36.124</v>
      </c>
    </row>
    <row r="107" spans="1:7" ht="16.25" customHeight="1" x14ac:dyDescent="0.25">
      <c r="A107" s="51"/>
      <c r="B107" s="96">
        <v>125</v>
      </c>
      <c r="C107" s="96"/>
      <c r="D107" s="96"/>
      <c r="E107" s="96"/>
      <c r="F107" s="149"/>
      <c r="G107" s="11" t="str">
        <f>$A$2&amp;B107</f>
        <v>10.54.36.125</v>
      </c>
    </row>
    <row r="108" spans="1:7" ht="16.25" customHeight="1" x14ac:dyDescent="0.25">
      <c r="A108" s="51"/>
      <c r="B108" s="96">
        <v>126</v>
      </c>
      <c r="C108" s="96"/>
      <c r="D108" s="96"/>
      <c r="E108" s="96"/>
      <c r="F108" s="149"/>
      <c r="G108" s="11" t="str">
        <f t="shared" si="5"/>
        <v>10.54.36.126</v>
      </c>
    </row>
    <row r="109" spans="1:7" ht="16.25" customHeight="1" x14ac:dyDescent="0.25">
      <c r="A109" s="51"/>
      <c r="B109" s="96">
        <v>127</v>
      </c>
      <c r="C109" s="96"/>
      <c r="D109" s="96"/>
      <c r="E109" s="96"/>
      <c r="F109" s="149"/>
      <c r="G109" s="11" t="str">
        <f t="shared" si="5"/>
        <v>10.54.36.127</v>
      </c>
    </row>
    <row r="110" spans="1:7" ht="15" customHeight="1" x14ac:dyDescent="0.25">
      <c r="A110" s="51"/>
      <c r="B110" s="96">
        <v>128</v>
      </c>
      <c r="C110" s="96"/>
      <c r="D110" s="96"/>
      <c r="E110" s="96"/>
      <c r="F110" s="149"/>
      <c r="G110" s="11" t="str">
        <f t="shared" si="5"/>
        <v>10.54.36.128</v>
      </c>
    </row>
    <row r="111" spans="1:7" ht="15" customHeight="1" x14ac:dyDescent="0.25">
      <c r="A111" s="51"/>
      <c r="B111" s="96">
        <v>129</v>
      </c>
      <c r="C111" s="96"/>
      <c r="D111" s="96"/>
      <c r="E111" s="96"/>
      <c r="F111" s="149"/>
      <c r="G111" s="11" t="str">
        <f t="shared" si="5"/>
        <v>10.54.36.129</v>
      </c>
    </row>
    <row r="112" spans="1:7" ht="15" customHeight="1" x14ac:dyDescent="0.25">
      <c r="A112" s="51"/>
      <c r="B112" s="96">
        <v>130</v>
      </c>
      <c r="C112" s="96"/>
      <c r="D112" s="96"/>
      <c r="E112" s="96"/>
      <c r="F112" s="149"/>
      <c r="G112" s="11" t="str">
        <f t="shared" si="5"/>
        <v>10.54.36.130</v>
      </c>
    </row>
    <row r="113" spans="1:8" ht="15" customHeight="1" x14ac:dyDescent="0.25">
      <c r="A113" s="51"/>
      <c r="B113" s="96">
        <v>131</v>
      </c>
      <c r="C113" s="96"/>
      <c r="D113" s="96"/>
      <c r="E113" s="96"/>
      <c r="F113" s="149"/>
      <c r="G113" s="11" t="str">
        <f t="shared" si="5"/>
        <v>10.54.36.131</v>
      </c>
    </row>
    <row r="114" spans="1:8" ht="15" customHeight="1" x14ac:dyDescent="0.25">
      <c r="A114" s="51"/>
      <c r="B114" s="96">
        <v>132</v>
      </c>
      <c r="C114" s="96"/>
      <c r="D114" s="96"/>
      <c r="E114" s="96"/>
      <c r="F114" s="149"/>
      <c r="G114" s="11" t="str">
        <f t="shared" si="5"/>
        <v>10.54.36.132</v>
      </c>
    </row>
    <row r="115" spans="1:8" ht="15" customHeight="1" x14ac:dyDescent="0.25">
      <c r="A115" s="51"/>
      <c r="B115" s="96">
        <v>133</v>
      </c>
      <c r="C115" s="302" t="s">
        <v>399</v>
      </c>
      <c r="D115" s="303"/>
      <c r="E115" s="303"/>
      <c r="F115" s="304" t="s">
        <v>137</v>
      </c>
      <c r="G115" s="305" t="str">
        <f t="shared" si="5"/>
        <v>10.54.36.133</v>
      </c>
      <c r="H115" s="11" t="s">
        <v>1799</v>
      </c>
    </row>
    <row r="116" spans="1:8" ht="15" customHeight="1" x14ac:dyDescent="0.25">
      <c r="A116" s="51"/>
      <c r="B116" s="96">
        <v>134</v>
      </c>
      <c r="C116" s="96"/>
      <c r="D116" s="96"/>
      <c r="E116" s="96"/>
      <c r="F116" s="149"/>
      <c r="G116" s="11" t="str">
        <f>$A$2&amp;B116</f>
        <v>10.54.36.134</v>
      </c>
    </row>
    <row r="117" spans="1:8" ht="15" customHeight="1" x14ac:dyDescent="0.25">
      <c r="A117" s="51"/>
      <c r="B117" s="96">
        <v>135</v>
      </c>
      <c r="C117" s="96"/>
      <c r="D117" s="96"/>
      <c r="E117" s="96"/>
      <c r="F117" s="149"/>
      <c r="G117" s="11" t="str">
        <f t="shared" si="5"/>
        <v>10.54.36.135</v>
      </c>
    </row>
    <row r="118" spans="1:8" ht="15" customHeight="1" x14ac:dyDescent="0.25">
      <c r="A118" s="51"/>
      <c r="B118" s="96">
        <v>136</v>
      </c>
      <c r="C118" s="302" t="s">
        <v>399</v>
      </c>
      <c r="D118" s="303"/>
      <c r="E118" s="303"/>
      <c r="F118" s="304" t="s">
        <v>137</v>
      </c>
      <c r="G118" s="305" t="str">
        <f t="shared" si="5"/>
        <v>10.54.36.136</v>
      </c>
      <c r="H118" s="11" t="s">
        <v>1799</v>
      </c>
    </row>
    <row r="119" spans="1:8" ht="15" customHeight="1" x14ac:dyDescent="0.25">
      <c r="A119" s="51"/>
      <c r="B119" s="96">
        <v>137</v>
      </c>
      <c r="D119" s="96"/>
      <c r="E119" s="96"/>
      <c r="F119" s="149"/>
      <c r="G119" s="11" t="str">
        <f t="shared" si="5"/>
        <v>10.54.36.137</v>
      </c>
    </row>
    <row r="120" spans="1:8" ht="15" customHeight="1" x14ac:dyDescent="0.25">
      <c r="A120" s="51"/>
      <c r="B120" s="96">
        <v>138</v>
      </c>
      <c r="C120" s="96"/>
      <c r="D120" s="96"/>
      <c r="E120" s="96"/>
      <c r="F120" s="149"/>
      <c r="G120" s="11" t="str">
        <f t="shared" si="5"/>
        <v>10.54.36.138</v>
      </c>
    </row>
    <row r="121" spans="1:8" ht="15" customHeight="1" x14ac:dyDescent="0.25">
      <c r="A121" s="51"/>
      <c r="B121" s="96">
        <v>139</v>
      </c>
      <c r="C121" s="96"/>
      <c r="D121" s="96"/>
      <c r="E121" s="96"/>
      <c r="F121" s="149"/>
      <c r="G121" s="11" t="str">
        <f>$A$2&amp;B121</f>
        <v>10.54.36.139</v>
      </c>
    </row>
    <row r="122" spans="1:8" ht="15" customHeight="1" x14ac:dyDescent="0.25">
      <c r="A122" s="51"/>
      <c r="B122" s="96">
        <v>140</v>
      </c>
      <c r="C122" s="41"/>
      <c r="D122" s="41"/>
      <c r="E122" s="41"/>
      <c r="F122" s="149"/>
      <c r="G122" s="11" t="str">
        <f t="shared" si="5"/>
        <v>10.54.36.140</v>
      </c>
    </row>
    <row r="123" spans="1:8" ht="15" customHeight="1" x14ac:dyDescent="0.25">
      <c r="A123" s="52" t="s">
        <v>617</v>
      </c>
      <c r="B123" s="39">
        <v>100</v>
      </c>
      <c r="C123" s="39" t="s">
        <v>1028</v>
      </c>
      <c r="D123" s="39" t="str">
        <f>IFERROR((VLOOKUP(C123,PC!$A$1:$K$436,7,FALSE)&amp;" "&amp;VLOOKUP(C123,PC!$A$1:$K$436,6,FALSE)),"")</f>
        <v>엘지 B55PQ.AS5G20D</v>
      </c>
      <c r="E123" s="39" t="str">
        <f>IFERROR(VLOOKUP(C123,PC!$A$1:$K$436,2,FALSE),"")</f>
        <v>20120113-0568</v>
      </c>
      <c r="F123" s="335" t="s">
        <v>846</v>
      </c>
      <c r="G123" s="11" t="str">
        <f t="shared" ref="G123:G164" si="6">$A$123&amp;B123</f>
        <v>10.54.37.100</v>
      </c>
    </row>
    <row r="124" spans="1:8" ht="15" customHeight="1" x14ac:dyDescent="0.25">
      <c r="A124" s="51"/>
      <c r="B124" s="40">
        <v>101</v>
      </c>
      <c r="C124" s="40" t="s">
        <v>1443</v>
      </c>
      <c r="D124" s="40" t="str">
        <f>IFERROR((VLOOKUP(C124,PC!$A$1:$K$436,7,FALSE)&amp;" "&amp;VLOOKUP(C124,PC!$A$1:$K$436,6,FALSE)),"")</f>
        <v>다나와컴퓨터 MHAA-AD-E7SAC</v>
      </c>
      <c r="E124" s="40" t="str">
        <f>IFERROR(VLOOKUP(C124,PC!$A$1:$K$436,2,FALSE),"")</f>
        <v>20200717-0817</v>
      </c>
      <c r="F124" s="333"/>
      <c r="G124" s="11" t="str">
        <f t="shared" si="6"/>
        <v>10.54.37.101</v>
      </c>
    </row>
    <row r="125" spans="1:8" ht="15" customHeight="1" x14ac:dyDescent="0.25">
      <c r="A125" s="51"/>
      <c r="B125" s="40">
        <v>102</v>
      </c>
      <c r="C125" s="40" t="s">
        <v>1446</v>
      </c>
      <c r="D125" s="40" t="str">
        <f>IFERROR((VLOOKUP(C125,PC!$A$1:$K$436,7,FALSE)&amp;" "&amp;VLOOKUP(C125,PC!$A$1:$K$436,6,FALSE)),"")</f>
        <v>다나와컴퓨터 MHAA-AD-E7SAC</v>
      </c>
      <c r="E125" s="40" t="str">
        <f>IFERROR(VLOOKUP(C125,PC!$A$1:$K$436,2,FALSE),"")</f>
        <v>20200717-0818</v>
      </c>
      <c r="F125" s="333"/>
      <c r="G125" s="11" t="str">
        <f t="shared" si="6"/>
        <v>10.54.37.102</v>
      </c>
    </row>
    <row r="126" spans="1:8" ht="15" customHeight="1" x14ac:dyDescent="0.25">
      <c r="A126" s="51"/>
      <c r="B126" s="40">
        <v>103</v>
      </c>
      <c r="C126" s="40" t="s">
        <v>1450</v>
      </c>
      <c r="D126" s="40" t="str">
        <f>IFERROR((VLOOKUP(C126,PC!$A$1:$K$436,7,FALSE)&amp;" "&amp;VLOOKUP(C126,PC!$A$1:$K$436,6,FALSE)),"")</f>
        <v>다나와컴퓨터 MHAA-AD-E7SAC</v>
      </c>
      <c r="E126" s="40" t="str">
        <f>IFERROR(VLOOKUP(C126,PC!$A$1:$K$436,2,FALSE),"")</f>
        <v>20200717-0819</v>
      </c>
      <c r="F126" s="333"/>
      <c r="G126" s="11" t="str">
        <f t="shared" si="6"/>
        <v>10.54.37.103</v>
      </c>
    </row>
    <row r="127" spans="1:8" ht="15" customHeight="1" x14ac:dyDescent="0.25">
      <c r="A127" s="51"/>
      <c r="B127" s="41">
        <v>104</v>
      </c>
      <c r="C127" s="41" t="s">
        <v>1428</v>
      </c>
      <c r="D127" s="41" t="str">
        <f>IFERROR((VLOOKUP(C127,PC!$A$1:$K$436,7,FALSE)&amp;" "&amp;VLOOKUP(C127,PC!$A$1:$K$436,6,FALSE)),"")</f>
        <v>다나와컴퓨터 MHAA-AD-E7SAC</v>
      </c>
      <c r="E127" s="41" t="str">
        <f>IFERROR(VLOOKUP(C127,PC!$A$1:$K$436,2,FALSE),"")</f>
        <v>20200717-0820</v>
      </c>
      <c r="F127" s="333"/>
      <c r="G127" s="11" t="str">
        <f t="shared" si="6"/>
        <v>10.54.37.104</v>
      </c>
    </row>
    <row r="128" spans="1:8" ht="15" customHeight="1" x14ac:dyDescent="0.25">
      <c r="A128" s="51"/>
      <c r="B128" s="39">
        <v>105</v>
      </c>
      <c r="C128" s="39" t="s">
        <v>1439</v>
      </c>
      <c r="D128" s="39" t="str">
        <f>IFERROR((VLOOKUP(C128,PC!$A$1:$K$436,7,FALSE)&amp;" "&amp;VLOOKUP(C128,PC!$A$1:$K$436,6,FALSE)),"")</f>
        <v>다나와컴퓨터 MHAA-AD-E7SAC</v>
      </c>
      <c r="E128" s="39" t="str">
        <f>IFERROR(VLOOKUP(C128,PC!$A$1:$K$436,2,FALSE),"")</f>
        <v>20200717-0821</v>
      </c>
      <c r="F128" s="333"/>
      <c r="G128" s="11" t="str">
        <f t="shared" si="6"/>
        <v>10.54.37.105</v>
      </c>
    </row>
    <row r="129" spans="1:7" ht="15" customHeight="1" x14ac:dyDescent="0.25">
      <c r="A129" s="51"/>
      <c r="B129" s="40">
        <v>106</v>
      </c>
      <c r="C129" s="40" t="s">
        <v>1445</v>
      </c>
      <c r="D129" s="40" t="str">
        <f>IFERROR((VLOOKUP(C129,PC!$A$1:$K$436,7,FALSE)&amp;" "&amp;VLOOKUP(C129,PC!$A$1:$K$436,6,FALSE)),"")</f>
        <v>다나와컴퓨터 MHAA-AD-E7SAC</v>
      </c>
      <c r="E129" s="40" t="str">
        <f>IFERROR(VLOOKUP(C129,PC!$A$1:$K$436,2,FALSE),"")</f>
        <v>20200717-0822</v>
      </c>
      <c r="F129" s="333"/>
      <c r="G129" s="11" t="str">
        <f t="shared" si="6"/>
        <v>10.54.37.106</v>
      </c>
    </row>
    <row r="130" spans="1:7" ht="15" customHeight="1" x14ac:dyDescent="0.25">
      <c r="A130" s="51"/>
      <c r="B130" s="40">
        <v>107</v>
      </c>
      <c r="C130" s="40" t="s">
        <v>1431</v>
      </c>
      <c r="D130" s="40" t="str">
        <f>IFERROR((VLOOKUP(C130,PC!$A$1:$K$436,7,FALSE)&amp;" "&amp;VLOOKUP(C130,PC!$A$1:$K$436,6,FALSE)),"")</f>
        <v>다나와컴퓨터 MHAA-AD-E7SAC</v>
      </c>
      <c r="E130" s="40" t="str">
        <f>IFERROR(VLOOKUP(C130,PC!$A$1:$K$436,2,FALSE),"")</f>
        <v>20200717-0823</v>
      </c>
      <c r="F130" s="333"/>
      <c r="G130" s="11" t="str">
        <f t="shared" si="6"/>
        <v>10.54.37.107</v>
      </c>
    </row>
    <row r="131" spans="1:7" ht="15" customHeight="1" x14ac:dyDescent="0.25">
      <c r="A131" s="51"/>
      <c r="B131" s="40">
        <v>108</v>
      </c>
      <c r="C131" s="40" t="s">
        <v>1423</v>
      </c>
      <c r="D131" s="40" t="str">
        <f>IFERROR((VLOOKUP(C131,PC!$A$1:$K$436,7,FALSE)&amp;" "&amp;VLOOKUP(C131,PC!$A$1:$K$436,6,FALSE)),"")</f>
        <v>다나와컴퓨터 MHAA-AD-E7SAC</v>
      </c>
      <c r="E131" s="40" t="str">
        <f>IFERROR(VLOOKUP(C131,PC!$A$1:$K$436,2,FALSE),"")</f>
        <v>20200717-0824</v>
      </c>
      <c r="F131" s="333"/>
      <c r="G131" s="11" t="str">
        <f t="shared" si="6"/>
        <v>10.54.37.108</v>
      </c>
    </row>
    <row r="132" spans="1:7" ht="15" customHeight="1" x14ac:dyDescent="0.25">
      <c r="A132" s="51"/>
      <c r="B132" s="41">
        <v>109</v>
      </c>
      <c r="C132" s="41" t="s">
        <v>1435</v>
      </c>
      <c r="D132" s="41" t="str">
        <f>IFERROR((VLOOKUP(C132,PC!$A$1:$K$436,7,FALSE)&amp;" "&amp;VLOOKUP(C132,PC!$A$1:$K$436,6,FALSE)),"")</f>
        <v>다나와컴퓨터 MHAA-AD-E7SAC</v>
      </c>
      <c r="E132" s="41" t="str">
        <f>IFERROR(VLOOKUP(C132,PC!$A$1:$K$436,2,FALSE),"")</f>
        <v>20200717-0825</v>
      </c>
      <c r="F132" s="333"/>
      <c r="G132" s="11" t="str">
        <f t="shared" si="6"/>
        <v>10.54.37.109</v>
      </c>
    </row>
    <row r="133" spans="1:7" ht="15" customHeight="1" x14ac:dyDescent="0.25">
      <c r="A133" s="51"/>
      <c r="B133" s="39">
        <v>110</v>
      </c>
      <c r="C133" s="39" t="s">
        <v>1406</v>
      </c>
      <c r="D133" s="39" t="str">
        <f>IFERROR((VLOOKUP(C133,PC!$A$1:$K$436,7,FALSE)&amp;" "&amp;VLOOKUP(C133,PC!$A$1:$K$436,6,FALSE)),"")</f>
        <v>다나와컴퓨터 MHAA-AD-E7SAC</v>
      </c>
      <c r="E133" s="39" t="str">
        <f>IFERROR(VLOOKUP(C133,PC!$A$1:$K$436,2,FALSE),"")</f>
        <v>20200717-0826</v>
      </c>
      <c r="F133" s="333"/>
      <c r="G133" s="11" t="str">
        <f t="shared" si="6"/>
        <v>10.54.37.110</v>
      </c>
    </row>
    <row r="134" spans="1:7" ht="15" customHeight="1" x14ac:dyDescent="0.25">
      <c r="A134" s="51"/>
      <c r="B134" s="40">
        <v>111</v>
      </c>
      <c r="C134" s="40" t="s">
        <v>1427</v>
      </c>
      <c r="D134" s="40" t="str">
        <f>IFERROR((VLOOKUP(C134,PC!$A$1:$K$436,7,FALSE)&amp;" "&amp;VLOOKUP(C134,PC!$A$1:$K$436,6,FALSE)),"")</f>
        <v>다나와컴퓨터 MHAA-AD-E7SAC</v>
      </c>
      <c r="E134" s="40" t="str">
        <f>IFERROR(VLOOKUP(C134,PC!$A$1:$K$436,2,FALSE),"")</f>
        <v>20200717-0827</v>
      </c>
      <c r="F134" s="333"/>
      <c r="G134" s="11" t="str">
        <f t="shared" si="6"/>
        <v>10.54.37.111</v>
      </c>
    </row>
    <row r="135" spans="1:7" ht="15" customHeight="1" x14ac:dyDescent="0.25">
      <c r="A135" s="51"/>
      <c r="B135" s="40">
        <v>112</v>
      </c>
      <c r="C135" s="40" t="s">
        <v>1417</v>
      </c>
      <c r="D135" s="40" t="str">
        <f>IFERROR((VLOOKUP(C135,PC!$A$1:$K$436,7,FALSE)&amp;" "&amp;VLOOKUP(C135,PC!$A$1:$K$436,6,FALSE)),"")</f>
        <v>다나와컴퓨터 MHAA-AD-E7SAC</v>
      </c>
      <c r="E135" s="40" t="str">
        <f>IFERROR(VLOOKUP(C135,PC!$A$1:$K$436,2,FALSE),"")</f>
        <v>20200717-0828</v>
      </c>
      <c r="F135" s="333"/>
      <c r="G135" s="11" t="str">
        <f t="shared" si="6"/>
        <v>10.54.37.112</v>
      </c>
    </row>
    <row r="136" spans="1:7" ht="15" customHeight="1" x14ac:dyDescent="0.25">
      <c r="A136" s="51"/>
      <c r="B136" s="40">
        <v>113</v>
      </c>
      <c r="C136" s="40" t="s">
        <v>1436</v>
      </c>
      <c r="D136" s="40" t="str">
        <f>IFERROR((VLOOKUP(C136,PC!$A$1:$K$436,7,FALSE)&amp;" "&amp;VLOOKUP(C136,PC!$A$1:$K$436,6,FALSE)),"")</f>
        <v>다나와컴퓨터 MHAA-AD-E7SAC</v>
      </c>
      <c r="E136" s="40" t="str">
        <f>IFERROR(VLOOKUP(C136,PC!$A$1:$K$436,2,FALSE),"")</f>
        <v>20200717-0829</v>
      </c>
      <c r="F136" s="333"/>
      <c r="G136" s="11" t="str">
        <f t="shared" si="6"/>
        <v>10.54.37.113</v>
      </c>
    </row>
    <row r="137" spans="1:7" ht="15" customHeight="1" x14ac:dyDescent="0.25">
      <c r="A137" s="51"/>
      <c r="B137" s="41">
        <v>114</v>
      </c>
      <c r="C137" s="41" t="s">
        <v>1432</v>
      </c>
      <c r="D137" s="41" t="str">
        <f>IFERROR((VLOOKUP(C137,PC!$A$1:$K$436,7,FALSE)&amp;" "&amp;VLOOKUP(C137,PC!$A$1:$K$436,6,FALSE)),"")</f>
        <v>다나와컴퓨터 MHAA-AD-E7SAC</v>
      </c>
      <c r="E137" s="41" t="str">
        <f>IFERROR(VLOOKUP(C137,PC!$A$1:$K$436,2,FALSE),"")</f>
        <v>20200717-0830</v>
      </c>
      <c r="F137" s="333"/>
      <c r="G137" s="11" t="str">
        <f t="shared" si="6"/>
        <v>10.54.37.114</v>
      </c>
    </row>
    <row r="138" spans="1:7" ht="15" customHeight="1" x14ac:dyDescent="0.25">
      <c r="A138" s="51"/>
      <c r="B138" s="39">
        <v>115</v>
      </c>
      <c r="C138" s="39" t="s">
        <v>1422</v>
      </c>
      <c r="D138" s="39" t="str">
        <f>IFERROR((VLOOKUP(C138,PC!$A$1:$K$436,7,FALSE)&amp;" "&amp;VLOOKUP(C138,PC!$A$1:$K$436,6,FALSE)),"")</f>
        <v>다나와컴퓨터 MHAA-AD-E7SAC</v>
      </c>
      <c r="E138" s="39" t="str">
        <f>IFERROR(VLOOKUP(C138,PC!$A$1:$K$436,2,FALSE),"")</f>
        <v>20200717-0831</v>
      </c>
      <c r="F138" s="333"/>
      <c r="G138" s="11" t="str">
        <f t="shared" si="6"/>
        <v>10.54.37.115</v>
      </c>
    </row>
    <row r="139" spans="1:7" ht="15" customHeight="1" x14ac:dyDescent="0.25">
      <c r="A139" s="51"/>
      <c r="B139" s="40">
        <v>116</v>
      </c>
      <c r="C139" s="40" t="s">
        <v>1420</v>
      </c>
      <c r="D139" s="40" t="str">
        <f>IFERROR((VLOOKUP(C139,PC!$A$1:$K$436,7,FALSE)&amp;" "&amp;VLOOKUP(C139,PC!$A$1:$K$436,6,FALSE)),"")</f>
        <v>다나와컴퓨터 MHAA-AD-E7SAC</v>
      </c>
      <c r="E139" s="40" t="str">
        <f>IFERROR(VLOOKUP(C139,PC!$A$1:$K$436,2,FALSE),"")</f>
        <v>20200717-0832</v>
      </c>
      <c r="F139" s="333"/>
      <c r="G139" s="11" t="str">
        <f t="shared" si="6"/>
        <v>10.54.37.116</v>
      </c>
    </row>
    <row r="140" spans="1:7" ht="15" customHeight="1" x14ac:dyDescent="0.25">
      <c r="A140" s="51"/>
      <c r="B140" s="40">
        <v>117</v>
      </c>
      <c r="C140" s="40" t="s">
        <v>1437</v>
      </c>
      <c r="D140" s="40" t="str">
        <f>IFERROR((VLOOKUP(C140,PC!$A$1:$K$436,7,FALSE)&amp;" "&amp;VLOOKUP(C140,PC!$A$1:$K$436,6,FALSE)),"")</f>
        <v>다나와컴퓨터 MHAA-AD-E7SAC</v>
      </c>
      <c r="E140" s="40" t="str">
        <f>IFERROR(VLOOKUP(C140,PC!$A$1:$K$436,2,FALSE),"")</f>
        <v>20200717-0833</v>
      </c>
      <c r="F140" s="333"/>
      <c r="G140" s="11" t="str">
        <f t="shared" si="6"/>
        <v>10.54.37.117</v>
      </c>
    </row>
    <row r="141" spans="1:7" ht="15" customHeight="1" x14ac:dyDescent="0.25">
      <c r="A141" s="51"/>
      <c r="B141" s="40">
        <v>118</v>
      </c>
      <c r="C141" s="40" t="s">
        <v>1415</v>
      </c>
      <c r="D141" s="40" t="str">
        <f>IFERROR((VLOOKUP(C141,PC!$A$1:$K$436,7,FALSE)&amp;" "&amp;VLOOKUP(C141,PC!$A$1:$K$436,6,FALSE)),"")</f>
        <v>다나와컴퓨터 MHAA-AD-E7SAC</v>
      </c>
      <c r="E141" s="40" t="str">
        <f>IFERROR(VLOOKUP(C141,PC!$A$1:$K$436,2,FALSE),"")</f>
        <v>20200717-0834</v>
      </c>
      <c r="F141" s="333"/>
      <c r="G141" s="11" t="str">
        <f t="shared" si="6"/>
        <v>10.54.37.118</v>
      </c>
    </row>
    <row r="142" spans="1:7" ht="15" customHeight="1" x14ac:dyDescent="0.25">
      <c r="A142" s="51"/>
      <c r="B142" s="41">
        <v>119</v>
      </c>
      <c r="C142" s="41" t="s">
        <v>1414</v>
      </c>
      <c r="D142" s="41" t="str">
        <f>IFERROR((VLOOKUP(C142,PC!$A$1:$K$436,7,FALSE)&amp;" "&amp;VLOOKUP(C142,PC!$A$1:$K$436,6,FALSE)),"")</f>
        <v>다나와컴퓨터 MHAA-AD-E7SAC</v>
      </c>
      <c r="E142" s="41" t="str">
        <f>IFERROR(VLOOKUP(C142,PC!$A$1:$K$436,2,FALSE),"")</f>
        <v>20200717-0835</v>
      </c>
      <c r="F142" s="333"/>
      <c r="G142" s="11" t="str">
        <f t="shared" si="6"/>
        <v>10.54.37.119</v>
      </c>
    </row>
    <row r="143" spans="1:7" ht="15" customHeight="1" x14ac:dyDescent="0.25">
      <c r="A143" s="51"/>
      <c r="B143" s="39">
        <v>120</v>
      </c>
      <c r="C143" s="39" t="s">
        <v>1425</v>
      </c>
      <c r="D143" s="39" t="str">
        <f>IFERROR((VLOOKUP(C143,PC!$A$1:$K$436,7,FALSE)&amp;" "&amp;VLOOKUP(C143,PC!$A$1:$K$436,6,FALSE)),"")</f>
        <v>다나와컴퓨터 MHAA-AD-E7SAC</v>
      </c>
      <c r="E143" s="39" t="str">
        <f>IFERROR(VLOOKUP(C143,PC!$A$1:$K$436,2,FALSE),"")</f>
        <v>20200717-0836</v>
      </c>
      <c r="F143" s="333"/>
      <c r="G143" s="11" t="str">
        <f t="shared" si="6"/>
        <v>10.54.37.120</v>
      </c>
    </row>
    <row r="144" spans="1:7" ht="15" customHeight="1" x14ac:dyDescent="0.25">
      <c r="A144" s="51"/>
      <c r="B144" s="40">
        <v>121</v>
      </c>
      <c r="C144" s="40" t="s">
        <v>1433</v>
      </c>
      <c r="D144" s="40" t="str">
        <f>IFERROR((VLOOKUP(C144,PC!$A$1:$K$436,7,FALSE)&amp;" "&amp;VLOOKUP(C144,PC!$A$1:$K$436,6,FALSE)),"")</f>
        <v>다나와컴퓨터 MHAA-AD-E7SAC</v>
      </c>
      <c r="E144" s="40" t="str">
        <f>IFERROR(VLOOKUP(C144,PC!$A$1:$K$436,2,FALSE),"")</f>
        <v>20200717-0837</v>
      </c>
      <c r="F144" s="333"/>
      <c r="G144" s="11" t="str">
        <f t="shared" si="6"/>
        <v>10.54.37.121</v>
      </c>
    </row>
    <row r="145" spans="1:7" ht="15" customHeight="1" x14ac:dyDescent="0.25">
      <c r="A145" s="51"/>
      <c r="B145" s="40">
        <v>122</v>
      </c>
      <c r="C145" s="40" t="s">
        <v>1410</v>
      </c>
      <c r="D145" s="40" t="str">
        <f>IFERROR((VLOOKUP(C145,PC!$A$1:$K$436,7,FALSE)&amp;" "&amp;VLOOKUP(C145,PC!$A$1:$K$436,6,FALSE)),"")</f>
        <v>다나와컴퓨터 MHAA-AD-E7SAC</v>
      </c>
      <c r="E145" s="40" t="str">
        <f>IFERROR(VLOOKUP(C145,PC!$A$1:$K$436,2,FALSE),"")</f>
        <v>20200717-0838</v>
      </c>
      <c r="F145" s="333"/>
      <c r="G145" s="11" t="str">
        <f t="shared" si="6"/>
        <v>10.54.37.122</v>
      </c>
    </row>
    <row r="146" spans="1:7" ht="15" customHeight="1" x14ac:dyDescent="0.25">
      <c r="A146" s="51"/>
      <c r="B146" s="40">
        <v>123</v>
      </c>
      <c r="C146" s="40" t="s">
        <v>1409</v>
      </c>
      <c r="D146" s="40" t="str">
        <f>IFERROR((VLOOKUP(C146,PC!$A$1:$K$436,7,FALSE)&amp;" "&amp;VLOOKUP(C146,PC!$A$1:$K$436,6,FALSE)),"")</f>
        <v>다나와컴퓨터 MHAA-AD-E7SAC</v>
      </c>
      <c r="E146" s="40" t="str">
        <f>IFERROR(VLOOKUP(C146,PC!$A$1:$K$436,2,FALSE),"")</f>
        <v>20200717-0839</v>
      </c>
      <c r="F146" s="333"/>
      <c r="G146" s="11" t="str">
        <f t="shared" si="6"/>
        <v>10.54.37.123</v>
      </c>
    </row>
    <row r="147" spans="1:7" ht="15" customHeight="1" x14ac:dyDescent="0.25">
      <c r="A147" s="51"/>
      <c r="B147" s="41">
        <v>124</v>
      </c>
      <c r="C147" s="41" t="s">
        <v>1405</v>
      </c>
      <c r="D147" s="41" t="str">
        <f>IFERROR((VLOOKUP(C147,PC!$A$1:$K$436,7,FALSE)&amp;" "&amp;VLOOKUP(C147,PC!$A$1:$K$436,6,FALSE)),"")</f>
        <v>다나와컴퓨터 MHAA-AD-E7SAC</v>
      </c>
      <c r="E147" s="41" t="str">
        <f>IFERROR(VLOOKUP(C147,PC!$A$1:$K$436,2,FALSE),"")</f>
        <v>20200717-0840</v>
      </c>
      <c r="F147" s="333"/>
      <c r="G147" s="11" t="str">
        <f t="shared" si="6"/>
        <v>10.54.37.124</v>
      </c>
    </row>
    <row r="148" spans="1:7" ht="15" customHeight="1" x14ac:dyDescent="0.25">
      <c r="A148" s="51"/>
      <c r="B148" s="39">
        <v>125</v>
      </c>
      <c r="C148" s="39" t="s">
        <v>1407</v>
      </c>
      <c r="D148" s="39" t="str">
        <f>IFERROR((VLOOKUP(C148,PC!$A$1:$K$436,7,FALSE)&amp;" "&amp;VLOOKUP(C148,PC!$A$1:$K$436,6,FALSE)),"")</f>
        <v>다나와컴퓨터 MHAA-AD-E7SAC</v>
      </c>
      <c r="E148" s="39" t="str">
        <f>IFERROR(VLOOKUP(C148,PC!$A$1:$K$436,2,FALSE),"")</f>
        <v>20200717-0841</v>
      </c>
      <c r="F148" s="333"/>
      <c r="G148" s="11" t="str">
        <f t="shared" si="6"/>
        <v>10.54.37.125</v>
      </c>
    </row>
    <row r="149" spans="1:7" ht="15" customHeight="1" x14ac:dyDescent="0.25">
      <c r="A149" s="51"/>
      <c r="B149" s="40">
        <v>126</v>
      </c>
      <c r="C149" s="40" t="s">
        <v>1411</v>
      </c>
      <c r="D149" s="40" t="str">
        <f>IFERROR((VLOOKUP(C149,PC!$A$1:$K$436,7,FALSE)&amp;" "&amp;VLOOKUP(C149,PC!$A$1:$K$436,6,FALSE)),"")</f>
        <v>다나와컴퓨터 MHAA-AD-E7SAC</v>
      </c>
      <c r="E149" s="40" t="str">
        <f>IFERROR(VLOOKUP(C149,PC!$A$1:$K$436,2,FALSE),"")</f>
        <v>20200717-0842</v>
      </c>
      <c r="F149" s="333"/>
      <c r="G149" s="11" t="str">
        <f t="shared" si="6"/>
        <v>10.54.37.126</v>
      </c>
    </row>
    <row r="150" spans="1:7" ht="15" customHeight="1" x14ac:dyDescent="0.25">
      <c r="A150" s="51"/>
      <c r="B150" s="40">
        <v>127</v>
      </c>
      <c r="C150" s="40" t="s">
        <v>1424</v>
      </c>
      <c r="D150" s="40" t="str">
        <f>IFERROR((VLOOKUP(C150,PC!$A$1:$K$436,7,FALSE)&amp;" "&amp;VLOOKUP(C150,PC!$A$1:$K$436,6,FALSE)),"")</f>
        <v>다나와컴퓨터 MHAA-AD-E7SAC</v>
      </c>
      <c r="E150" s="40" t="str">
        <f>IFERROR(VLOOKUP(C150,PC!$A$1:$K$436,2,FALSE),"")</f>
        <v>20200717-0843</v>
      </c>
      <c r="F150" s="333"/>
      <c r="G150" s="11" t="str">
        <f t="shared" si="6"/>
        <v>10.54.37.127</v>
      </c>
    </row>
    <row r="151" spans="1:7" ht="15" customHeight="1" x14ac:dyDescent="0.25">
      <c r="A151" s="51"/>
      <c r="B151" s="40">
        <v>128</v>
      </c>
      <c r="C151" s="40" t="s">
        <v>1413</v>
      </c>
      <c r="D151" s="40" t="str">
        <f>IFERROR((VLOOKUP(C151,PC!$A$1:$K$436,7,FALSE)&amp;" "&amp;VLOOKUP(C151,PC!$A$1:$K$436,6,FALSE)),"")</f>
        <v>다나와컴퓨터 MHAA-AD-E7SAC</v>
      </c>
      <c r="E151" s="40" t="str">
        <f>IFERROR(VLOOKUP(C151,PC!$A$1:$K$436,2,FALSE),"")</f>
        <v>20200717-0844</v>
      </c>
      <c r="F151" s="333"/>
      <c r="G151" s="11" t="str">
        <f t="shared" si="6"/>
        <v>10.54.37.128</v>
      </c>
    </row>
    <row r="152" spans="1:7" ht="15" customHeight="1" x14ac:dyDescent="0.25">
      <c r="A152" s="51"/>
      <c r="B152" s="41">
        <v>129</v>
      </c>
      <c r="C152" s="41" t="s">
        <v>1404</v>
      </c>
      <c r="D152" s="41" t="str">
        <f>IFERROR((VLOOKUP(C152,PC!$A$1:$K$436,7,FALSE)&amp;" "&amp;VLOOKUP(C152,PC!$A$1:$K$436,6,FALSE)),"")</f>
        <v>다나와컴퓨터 MHAA-AD-E7SAC</v>
      </c>
      <c r="E152" s="41" t="str">
        <f>IFERROR(VLOOKUP(C152,PC!$A$1:$K$436,2,FALSE),"")</f>
        <v>20200717-0845</v>
      </c>
      <c r="F152" s="334"/>
      <c r="G152" s="11" t="str">
        <f t="shared" si="6"/>
        <v>10.54.37.129</v>
      </c>
    </row>
    <row r="153" spans="1:7" ht="15" customHeight="1" x14ac:dyDescent="0.25">
      <c r="A153" s="51"/>
      <c r="B153" s="148">
        <v>130</v>
      </c>
      <c r="C153" s="40" t="s">
        <v>1408</v>
      </c>
      <c r="D153" s="41" t="str">
        <f>IFERROR((VLOOKUP(C153,PC!$A$1:$K$436,7,FALSE)&amp;" "&amp;VLOOKUP(C153,PC!$A$1:$K$436,6,FALSE)),"")</f>
        <v>다나와컴퓨터 MHAA-AD-E7SAC</v>
      </c>
      <c r="E153" s="41" t="str">
        <f>IFERROR(VLOOKUP(C153,PC!$A$1:$K$436,2,FALSE),"")</f>
        <v>20200717-0846</v>
      </c>
      <c r="F153" s="149"/>
      <c r="G153" s="11" t="str">
        <f t="shared" si="6"/>
        <v>10.54.37.130</v>
      </c>
    </row>
    <row r="154" spans="1:7" ht="15" customHeight="1" x14ac:dyDescent="0.25">
      <c r="A154" s="51"/>
      <c r="B154" s="148">
        <v>131</v>
      </c>
      <c r="C154" s="41" t="s">
        <v>1396</v>
      </c>
      <c r="D154" s="41" t="str">
        <f>IFERROR((VLOOKUP(C154,PC!$A$1:$K$436,7,FALSE)&amp;" "&amp;VLOOKUP(C154,PC!$A$1:$K$436,6,FALSE)),"")</f>
        <v>다나와컴퓨터 MHAA-AD-E7SAC</v>
      </c>
      <c r="E154" s="41" t="str">
        <f>IFERROR(VLOOKUP(C154,PC!$A$1:$K$436,2,FALSE),"")</f>
        <v>20200717-0847</v>
      </c>
      <c r="F154" s="149"/>
      <c r="G154" s="11" t="str">
        <f t="shared" si="6"/>
        <v>10.54.37.131</v>
      </c>
    </row>
    <row r="155" spans="1:7" ht="15" customHeight="1" x14ac:dyDescent="0.25">
      <c r="A155" s="51"/>
      <c r="B155" s="39">
        <v>131</v>
      </c>
      <c r="C155" s="39"/>
      <c r="D155" s="39" t="str">
        <f>IFERROR((VLOOKUP(C155,PC!$A$1:$K$436,7,FALSE)&amp;" "&amp;VLOOKUP(C155,PC!$A$1:$K$436,6,FALSE)),"")</f>
        <v/>
      </c>
      <c r="E155" s="39" t="str">
        <f>IFERROR(VLOOKUP(C155,PC!$A$1:$K$436,2,FALSE),"")</f>
        <v/>
      </c>
      <c r="F155" s="335"/>
      <c r="G155" s="11" t="str">
        <f t="shared" si="6"/>
        <v>10.54.37.131</v>
      </c>
    </row>
    <row r="156" spans="1:7" ht="15" customHeight="1" x14ac:dyDescent="0.25">
      <c r="A156" s="51"/>
      <c r="B156" s="40">
        <v>132</v>
      </c>
      <c r="C156" s="40"/>
      <c r="D156" s="40" t="str">
        <f>IFERROR((VLOOKUP(C156,PC!$A$1:$K$436,7,FALSE)&amp;" "&amp;VLOOKUP(C156,PC!$A$1:$K$436,6,FALSE)),"")</f>
        <v/>
      </c>
      <c r="E156" s="40" t="str">
        <f>IFERROR(VLOOKUP(C156,PC!$A$1:$K$436,2,FALSE),"")</f>
        <v/>
      </c>
      <c r="F156" s="333"/>
      <c r="G156" s="11" t="str">
        <f t="shared" si="6"/>
        <v>10.54.37.132</v>
      </c>
    </row>
    <row r="157" spans="1:7" ht="15" customHeight="1" x14ac:dyDescent="0.25">
      <c r="A157" s="51"/>
      <c r="B157" s="40">
        <v>133</v>
      </c>
      <c r="C157" s="40"/>
      <c r="D157" s="40" t="str">
        <f>IFERROR((VLOOKUP(C157,PC!$A$1:$K$436,7,FALSE)&amp;" "&amp;VLOOKUP(C157,PC!$A$1:$K$436,6,FALSE)),"")</f>
        <v/>
      </c>
      <c r="E157" s="40" t="str">
        <f>IFERROR(VLOOKUP(C157,PC!$A$1:$K$436,2,FALSE),"")</f>
        <v/>
      </c>
      <c r="F157" s="333"/>
      <c r="G157" s="11" t="str">
        <f t="shared" si="6"/>
        <v>10.54.37.133</v>
      </c>
    </row>
    <row r="158" spans="1:7" ht="15" customHeight="1" x14ac:dyDescent="0.25">
      <c r="A158" s="51"/>
      <c r="B158" s="40">
        <v>134</v>
      </c>
      <c r="C158" s="40"/>
      <c r="D158" s="40" t="str">
        <f>IFERROR((VLOOKUP(C158,PC!$A$1:$K$436,7,FALSE)&amp;" "&amp;VLOOKUP(C158,PC!$A$1:$K$436,6,FALSE)),"")</f>
        <v/>
      </c>
      <c r="E158" s="40" t="str">
        <f>IFERROR(VLOOKUP(C158,PC!$A$1:$K$436,2,FALSE),"")</f>
        <v/>
      </c>
      <c r="F158" s="333"/>
      <c r="G158" s="11" t="str">
        <f t="shared" si="6"/>
        <v>10.54.37.134</v>
      </c>
    </row>
    <row r="159" spans="1:7" ht="15" customHeight="1" x14ac:dyDescent="0.25">
      <c r="A159" s="51"/>
      <c r="B159" s="40">
        <v>135</v>
      </c>
      <c r="C159" s="40"/>
      <c r="D159" s="40" t="str">
        <f>IFERROR((VLOOKUP(C159,PC!$A$1:$K$436,7,FALSE)&amp;" "&amp;VLOOKUP(C159,PC!$A$1:$K$436,6,FALSE)),"")</f>
        <v/>
      </c>
      <c r="E159" s="40" t="str">
        <f>IFERROR(VLOOKUP(C159,PC!$A$1:$K$436,2,FALSE),"")</f>
        <v/>
      </c>
      <c r="F159" s="333"/>
      <c r="G159" s="11" t="str">
        <f t="shared" si="6"/>
        <v>10.54.37.135</v>
      </c>
    </row>
    <row r="160" spans="1:7" ht="15" customHeight="1" x14ac:dyDescent="0.25">
      <c r="A160" s="51"/>
      <c r="B160" s="41">
        <v>136</v>
      </c>
      <c r="C160" s="41"/>
      <c r="D160" s="41" t="str">
        <f>IFERROR((VLOOKUP(C160,PC!$A$1:$K$436,7,FALSE)&amp;" "&amp;VLOOKUP(C160,PC!$A$1:$K$436,6,FALSE)),"")</f>
        <v/>
      </c>
      <c r="E160" s="41" t="str">
        <f>IFERROR(VLOOKUP(C160,PC!$A$1:$K$436,2,FALSE),"")</f>
        <v/>
      </c>
      <c r="F160" s="336"/>
      <c r="G160" s="11" t="str">
        <f t="shared" si="6"/>
        <v>10.54.37.136</v>
      </c>
    </row>
    <row r="161" spans="1:7" ht="15" customHeight="1" x14ac:dyDescent="0.25">
      <c r="A161" s="51"/>
      <c r="B161" s="148">
        <v>141</v>
      </c>
      <c r="C161" s="148"/>
      <c r="D161" s="148" t="str">
        <f>IFERROR((VLOOKUP(C161,PC!$A$1:$K$436,7,FALSE)&amp;" "&amp;VLOOKUP(C161,PC!$A$1:$K$436,6,FALSE)),"")</f>
        <v/>
      </c>
      <c r="E161" s="148"/>
      <c r="F161" s="149"/>
      <c r="G161" s="11" t="str">
        <f t="shared" si="6"/>
        <v>10.54.37.141</v>
      </c>
    </row>
    <row r="162" spans="1:7" ht="15" customHeight="1" x14ac:dyDescent="0.25">
      <c r="A162" s="51"/>
      <c r="B162" s="148">
        <v>142</v>
      </c>
      <c r="C162" s="148"/>
      <c r="D162" s="148" t="str">
        <f>IFERROR((VLOOKUP(C162,PC!$A$1:$K$436,7,FALSE)&amp;" "&amp;VLOOKUP(C162,PC!$A$1:$K$436,6,FALSE)),"")</f>
        <v/>
      </c>
      <c r="E162" s="148"/>
      <c r="F162" s="149"/>
      <c r="G162" s="11" t="str">
        <f t="shared" si="6"/>
        <v>10.54.37.142</v>
      </c>
    </row>
    <row r="163" spans="1:7" ht="15" customHeight="1" x14ac:dyDescent="0.25">
      <c r="A163" s="51"/>
      <c r="B163" s="148">
        <v>143</v>
      </c>
      <c r="C163" s="148"/>
      <c r="D163" s="148" t="str">
        <f>IFERROR((VLOOKUP(C163,PC!$A$1:$K$436,7,FALSE)&amp;" "&amp;VLOOKUP(C163,PC!$A$1:$K$436,6,FALSE)),"")</f>
        <v/>
      </c>
      <c r="E163" s="148"/>
      <c r="F163" s="149"/>
      <c r="G163" s="11" t="str">
        <f t="shared" si="6"/>
        <v>10.54.37.143</v>
      </c>
    </row>
    <row r="164" spans="1:7" ht="15" customHeight="1" x14ac:dyDescent="0.25">
      <c r="A164" s="51"/>
      <c r="B164" s="148">
        <v>144</v>
      </c>
      <c r="C164" s="148"/>
      <c r="D164" s="148" t="str">
        <f>IFERROR((VLOOKUP(C164,PC!$A$1:$K$436,7,FALSE)&amp;" "&amp;VLOOKUP(C164,PC!$A$1:$K$436,6,FALSE)),"")</f>
        <v/>
      </c>
      <c r="E164" s="148"/>
      <c r="F164" s="149"/>
      <c r="G164" s="11" t="str">
        <f t="shared" si="6"/>
        <v>10.54.37.144</v>
      </c>
    </row>
    <row r="165" spans="1:7" ht="15" customHeight="1" x14ac:dyDescent="0.25">
      <c r="A165" s="52" t="s">
        <v>603</v>
      </c>
      <c r="B165" s="39">
        <v>100</v>
      </c>
      <c r="C165" s="39" t="s">
        <v>1474</v>
      </c>
      <c r="D165" s="39" t="str">
        <f>IFERROR((VLOOKUP(C165,PC!$A$1:$K$436,7,FALSE)&amp;" "&amp;VLOOKUP(C165,PC!$A$1:$K$436,6,FALSE)),"")</f>
        <v>레드스톤 VITO RMS-565S1</v>
      </c>
      <c r="E165" s="39" t="str">
        <f>IFERROR(VLOOKUP(C165,PC!$A$1:$K$436,2,FALSE),"")</f>
        <v>20161017-0731</v>
      </c>
      <c r="F165" s="332" t="s">
        <v>1081</v>
      </c>
      <c r="G165" s="11" t="str">
        <f>$A$165&amp;B165</f>
        <v>10.54.38.100</v>
      </c>
    </row>
    <row r="166" spans="1:7" ht="15" customHeight="1" x14ac:dyDescent="0.25">
      <c r="A166" s="51"/>
      <c r="B166" s="40">
        <v>101</v>
      </c>
      <c r="C166" s="40" t="s">
        <v>1469</v>
      </c>
      <c r="D166" s="40" t="str">
        <f>IFERROR((VLOOKUP(C166,PC!$A$1:$K$436,7,FALSE)&amp;" "&amp;VLOOKUP(C166,PC!$A$1:$K$436,6,FALSE)),"")</f>
        <v>레드스톤 VITO RMS-565S1</v>
      </c>
      <c r="E166" s="40" t="str">
        <f>IFERROR(VLOOKUP(C166,PC!$A$1:$K$436,2,FALSE),"")</f>
        <v>20161017-0732</v>
      </c>
      <c r="F166" s="333"/>
      <c r="G166" s="11" t="str">
        <f t="shared" ref="G166:G201" si="7">$A$165&amp;B166</f>
        <v>10.54.38.101</v>
      </c>
    </row>
    <row r="167" spans="1:7" ht="15" customHeight="1" x14ac:dyDescent="0.25">
      <c r="A167" s="51"/>
      <c r="B167" s="40">
        <v>102</v>
      </c>
      <c r="C167" s="40" t="s">
        <v>1515</v>
      </c>
      <c r="D167" s="40" t="str">
        <f>IFERROR((VLOOKUP(C167,PC!$A$1:$K$436,7,FALSE)&amp;" "&amp;VLOOKUP(C167,PC!$A$1:$K$436,6,FALSE)),"")</f>
        <v>레드스톤 VITO RMS-565S1</v>
      </c>
      <c r="E167" s="40" t="str">
        <f>IFERROR(VLOOKUP(C167,PC!$A$1:$K$436,2,FALSE),"")</f>
        <v>20161017-0696</v>
      </c>
      <c r="F167" s="333"/>
      <c r="G167" s="11" t="str">
        <f t="shared" si="7"/>
        <v>10.54.38.102</v>
      </c>
    </row>
    <row r="168" spans="1:7" ht="15" customHeight="1" x14ac:dyDescent="0.25">
      <c r="A168" s="51"/>
      <c r="B168" s="40">
        <v>103</v>
      </c>
      <c r="C168" s="40" t="s">
        <v>1488</v>
      </c>
      <c r="D168" s="40" t="str">
        <f>IFERROR((VLOOKUP(C168,PC!$A$1:$K$436,7,FALSE)&amp;" "&amp;VLOOKUP(C168,PC!$A$1:$K$436,6,FALSE)),"")</f>
        <v>레드스톤 VITO RMS-565S1</v>
      </c>
      <c r="E168" s="40" t="str">
        <f>IFERROR(VLOOKUP(C168,PC!$A$1:$K$436,2,FALSE),"")</f>
        <v>20161017-0697</v>
      </c>
      <c r="F168" s="333"/>
      <c r="G168" s="11" t="str">
        <f t="shared" si="7"/>
        <v>10.54.38.103</v>
      </c>
    </row>
    <row r="169" spans="1:7" ht="15" customHeight="1" x14ac:dyDescent="0.25">
      <c r="A169" s="51"/>
      <c r="B169" s="41">
        <v>104</v>
      </c>
      <c r="C169" s="41" t="s">
        <v>1493</v>
      </c>
      <c r="D169" s="41" t="str">
        <f>IFERROR((VLOOKUP(C169,PC!$A$1:$K$436,7,FALSE)&amp;" "&amp;VLOOKUP(C169,PC!$A$1:$K$436,6,FALSE)),"")</f>
        <v>레드스톤 VITO RMS-565S1</v>
      </c>
      <c r="E169" s="41" t="str">
        <f>IFERROR(VLOOKUP(C169,PC!$A$1:$K$436,2,FALSE),"")</f>
        <v>20161017-0698</v>
      </c>
      <c r="F169" s="333"/>
      <c r="G169" s="11" t="str">
        <f t="shared" si="7"/>
        <v>10.54.38.104</v>
      </c>
    </row>
    <row r="170" spans="1:7" ht="15" customHeight="1" x14ac:dyDescent="0.25">
      <c r="A170" s="51"/>
      <c r="B170" s="39">
        <v>105</v>
      </c>
      <c r="C170" s="39" t="s">
        <v>1509</v>
      </c>
      <c r="D170" s="39" t="str">
        <f>IFERROR((VLOOKUP(C170,PC!$A$1:$K$436,7,FALSE)&amp;" "&amp;VLOOKUP(C170,PC!$A$1:$K$436,6,FALSE)),"")</f>
        <v>레드스톤 VITO RMS-565S1</v>
      </c>
      <c r="E170" s="39" t="str">
        <f>IFERROR(VLOOKUP(C170,PC!$A$1:$K$436,2,FALSE),"")</f>
        <v>20161017-0699</v>
      </c>
      <c r="F170" s="333"/>
      <c r="G170" s="11" t="str">
        <f t="shared" si="7"/>
        <v>10.54.38.105</v>
      </c>
    </row>
    <row r="171" spans="1:7" ht="15" customHeight="1" x14ac:dyDescent="0.25">
      <c r="A171" s="51"/>
      <c r="B171" s="40">
        <v>106</v>
      </c>
      <c r="C171" s="40" t="s">
        <v>1495</v>
      </c>
      <c r="D171" s="40" t="str">
        <f>IFERROR((VLOOKUP(C171,PC!$A$1:$K$436,7,FALSE)&amp;" "&amp;VLOOKUP(C171,PC!$A$1:$K$436,6,FALSE)),"")</f>
        <v>레드스톤 VITO RMS-565S1</v>
      </c>
      <c r="E171" s="40" t="str">
        <f>IFERROR(VLOOKUP(C171,PC!$A$1:$K$436,2,FALSE),"")</f>
        <v>20161017-0700</v>
      </c>
      <c r="F171" s="333"/>
      <c r="G171" s="11" t="str">
        <f t="shared" si="7"/>
        <v>10.54.38.106</v>
      </c>
    </row>
    <row r="172" spans="1:7" ht="15" customHeight="1" x14ac:dyDescent="0.25">
      <c r="A172" s="51"/>
      <c r="B172" s="40">
        <v>107</v>
      </c>
      <c r="C172" s="40" t="s">
        <v>1471</v>
      </c>
      <c r="D172" s="40" t="str">
        <f>IFERROR((VLOOKUP(C172,PC!$A$1:$K$436,7,FALSE)&amp;" "&amp;VLOOKUP(C172,PC!$A$1:$K$436,6,FALSE)),"")</f>
        <v>레드스톤 VITO RMS-565S1</v>
      </c>
      <c r="E172" s="40" t="str">
        <f>IFERROR(VLOOKUP(C172,PC!$A$1:$K$436,2,FALSE),"")</f>
        <v>20161017-0701</v>
      </c>
      <c r="F172" s="333"/>
      <c r="G172" s="11" t="str">
        <f t="shared" si="7"/>
        <v>10.54.38.107</v>
      </c>
    </row>
    <row r="173" spans="1:7" ht="15" customHeight="1" x14ac:dyDescent="0.25">
      <c r="A173" s="51"/>
      <c r="B173" s="40">
        <v>108</v>
      </c>
      <c r="C173" s="40" t="s">
        <v>1479</v>
      </c>
      <c r="D173" s="40" t="str">
        <f>IFERROR((VLOOKUP(C173,PC!$A$1:$K$436,7,FALSE)&amp;" "&amp;VLOOKUP(C173,PC!$A$1:$K$436,6,FALSE)),"")</f>
        <v>레드스톤 VITO RMS-565S1</v>
      </c>
      <c r="E173" s="40" t="str">
        <f>IFERROR(VLOOKUP(C173,PC!$A$1:$K$436,2,FALSE),"")</f>
        <v>20161017-0702</v>
      </c>
      <c r="F173" s="333"/>
      <c r="G173" s="11" t="str">
        <f t="shared" si="7"/>
        <v>10.54.38.108</v>
      </c>
    </row>
    <row r="174" spans="1:7" ht="15" customHeight="1" x14ac:dyDescent="0.25">
      <c r="A174" s="51"/>
      <c r="B174" s="41">
        <v>109</v>
      </c>
      <c r="C174" s="41" t="s">
        <v>1500</v>
      </c>
      <c r="D174" s="41" t="str">
        <f>IFERROR((VLOOKUP(C174,PC!$A$1:$K$436,7,FALSE)&amp;" "&amp;VLOOKUP(C174,PC!$A$1:$K$436,6,FALSE)),"")</f>
        <v>레드스톤 VITO RMS-565S1</v>
      </c>
      <c r="E174" s="41" t="str">
        <f>IFERROR(VLOOKUP(C174,PC!$A$1:$K$436,2,FALSE),"")</f>
        <v>20161017-0703</v>
      </c>
      <c r="F174" s="333"/>
      <c r="G174" s="11" t="str">
        <f t="shared" si="7"/>
        <v>10.54.38.109</v>
      </c>
    </row>
    <row r="175" spans="1:7" ht="15" customHeight="1" x14ac:dyDescent="0.25">
      <c r="A175" s="51"/>
      <c r="B175" s="39">
        <v>110</v>
      </c>
      <c r="C175" s="39" t="s">
        <v>1501</v>
      </c>
      <c r="D175" s="39" t="str">
        <f>IFERROR((VLOOKUP(C175,PC!$A$1:$K$436,7,FALSE)&amp;" "&amp;VLOOKUP(C175,PC!$A$1:$K$436,6,FALSE)),"")</f>
        <v>레드스톤 VITO RMS-565S1</v>
      </c>
      <c r="E175" s="39" t="str">
        <f>IFERROR(VLOOKUP(C175,PC!$A$1:$K$436,2,FALSE),"")</f>
        <v>20161017-0704</v>
      </c>
      <c r="F175" s="333"/>
      <c r="G175" s="11" t="str">
        <f t="shared" si="7"/>
        <v>10.54.38.110</v>
      </c>
    </row>
    <row r="176" spans="1:7" ht="15" customHeight="1" x14ac:dyDescent="0.25">
      <c r="A176" s="51"/>
      <c r="B176" s="40">
        <v>111</v>
      </c>
      <c r="C176" s="40" t="s">
        <v>1489</v>
      </c>
      <c r="D176" s="40" t="str">
        <f>IFERROR((VLOOKUP(C176,PC!$A$1:$K$436,7,FALSE)&amp;" "&amp;VLOOKUP(C176,PC!$A$1:$K$436,6,FALSE)),"")</f>
        <v>레드스톤 VITO RMS-565S1</v>
      </c>
      <c r="E176" s="40" t="str">
        <f>IFERROR(VLOOKUP(C176,PC!$A$1:$K$436,2,FALSE),"")</f>
        <v>20161017-0705</v>
      </c>
      <c r="F176" s="333"/>
      <c r="G176" s="11" t="str">
        <f t="shared" si="7"/>
        <v>10.54.38.111</v>
      </c>
    </row>
    <row r="177" spans="1:7" ht="15" customHeight="1" x14ac:dyDescent="0.25">
      <c r="A177" s="51"/>
      <c r="B177" s="40">
        <v>112</v>
      </c>
      <c r="C177" s="40" t="s">
        <v>1494</v>
      </c>
      <c r="D177" s="40" t="str">
        <f>IFERROR((VLOOKUP(C177,PC!$A$1:$K$436,7,FALSE)&amp;" "&amp;VLOOKUP(C177,PC!$A$1:$K$436,6,FALSE)),"")</f>
        <v>레드스톤 VITO RMS-565S1</v>
      </c>
      <c r="E177" s="40" t="str">
        <f>IFERROR(VLOOKUP(C177,PC!$A$1:$K$436,2,FALSE),"")</f>
        <v>20161017-0706</v>
      </c>
      <c r="F177" s="333"/>
      <c r="G177" s="11" t="str">
        <f t="shared" si="7"/>
        <v>10.54.38.112</v>
      </c>
    </row>
    <row r="178" spans="1:7" ht="15" customHeight="1" x14ac:dyDescent="0.25">
      <c r="A178" s="51"/>
      <c r="B178" s="40">
        <v>113</v>
      </c>
      <c r="C178" s="40" t="s">
        <v>1477</v>
      </c>
      <c r="D178" s="40" t="str">
        <f>IFERROR((VLOOKUP(C178,PC!$A$1:$K$436,7,FALSE)&amp;" "&amp;VLOOKUP(C178,PC!$A$1:$K$436,6,FALSE)),"")</f>
        <v>레드스톤 VITO RMS-565S1</v>
      </c>
      <c r="E178" s="40" t="str">
        <f>IFERROR(VLOOKUP(C178,PC!$A$1:$K$436,2,FALSE),"")</f>
        <v>20161017-0707</v>
      </c>
      <c r="F178" s="333"/>
      <c r="G178" s="11" t="str">
        <f t="shared" si="7"/>
        <v>10.54.38.113</v>
      </c>
    </row>
    <row r="179" spans="1:7" ht="15" customHeight="1" x14ac:dyDescent="0.25">
      <c r="A179" s="51"/>
      <c r="B179" s="41">
        <v>114</v>
      </c>
      <c r="C179" s="41" t="s">
        <v>1498</v>
      </c>
      <c r="D179" s="41" t="str">
        <f>IFERROR((VLOOKUP(C179,PC!$A$1:$K$436,7,FALSE)&amp;" "&amp;VLOOKUP(C179,PC!$A$1:$K$436,6,FALSE)),"")</f>
        <v>레드스톤 VITO RMS-565S1</v>
      </c>
      <c r="E179" s="41" t="str">
        <f>IFERROR(VLOOKUP(C179,PC!$A$1:$K$436,2,FALSE),"")</f>
        <v>20161017-0708</v>
      </c>
      <c r="F179" s="333"/>
      <c r="G179" s="11" t="str">
        <f t="shared" si="7"/>
        <v>10.54.38.114</v>
      </c>
    </row>
    <row r="180" spans="1:7" ht="15" customHeight="1" x14ac:dyDescent="0.25">
      <c r="A180" s="51"/>
      <c r="B180" s="39">
        <v>115</v>
      </c>
      <c r="C180" s="39" t="s">
        <v>1481</v>
      </c>
      <c r="D180" s="39" t="str">
        <f>IFERROR((VLOOKUP(C180,PC!$A$1:$K$436,7,FALSE)&amp;" "&amp;VLOOKUP(C180,PC!$A$1:$K$436,6,FALSE)),"")</f>
        <v>레드스톤 VITO RMS-565S1</v>
      </c>
      <c r="E180" s="39" t="str">
        <f>IFERROR(VLOOKUP(C180,PC!$A$1:$K$436,2,FALSE),"")</f>
        <v>20161017-0709</v>
      </c>
      <c r="F180" s="333"/>
      <c r="G180" s="11" t="str">
        <f t="shared" si="7"/>
        <v>10.54.38.115</v>
      </c>
    </row>
    <row r="181" spans="1:7" ht="15" customHeight="1" x14ac:dyDescent="0.25">
      <c r="A181" s="51"/>
      <c r="B181" s="40">
        <v>116</v>
      </c>
      <c r="C181" s="40" t="s">
        <v>1475</v>
      </c>
      <c r="D181" s="40" t="str">
        <f>IFERROR((VLOOKUP(C181,PC!$A$1:$K$436,7,FALSE)&amp;" "&amp;VLOOKUP(C181,PC!$A$1:$K$436,6,FALSE)),"")</f>
        <v>레드스톤 VITO RMS-565S1</v>
      </c>
      <c r="E181" s="40" t="str">
        <f>IFERROR(VLOOKUP(C181,PC!$A$1:$K$436,2,FALSE),"")</f>
        <v>20161017-0710</v>
      </c>
      <c r="F181" s="333"/>
      <c r="G181" s="11" t="str">
        <f t="shared" si="7"/>
        <v>10.54.38.116</v>
      </c>
    </row>
    <row r="182" spans="1:7" ht="15" customHeight="1" x14ac:dyDescent="0.25">
      <c r="A182" s="51"/>
      <c r="B182" s="40">
        <v>117</v>
      </c>
      <c r="C182" s="40" t="s">
        <v>1492</v>
      </c>
      <c r="D182" s="40" t="str">
        <f>IFERROR((VLOOKUP(C182,PC!$A$1:$K$436,7,FALSE)&amp;" "&amp;VLOOKUP(C182,PC!$A$1:$K$436,6,FALSE)),"")</f>
        <v>레드스톤 VITO RMS-565S1</v>
      </c>
      <c r="E182" s="40" t="str">
        <f>IFERROR(VLOOKUP(C182,PC!$A$1:$K$436,2,FALSE),"")</f>
        <v>20161017-0711</v>
      </c>
      <c r="F182" s="333"/>
      <c r="G182" s="11" t="str">
        <f t="shared" si="7"/>
        <v>10.54.38.117</v>
      </c>
    </row>
    <row r="183" spans="1:7" ht="15" customHeight="1" x14ac:dyDescent="0.25">
      <c r="A183" s="51"/>
      <c r="B183" s="40">
        <v>118</v>
      </c>
      <c r="C183" s="40" t="s">
        <v>1476</v>
      </c>
      <c r="D183" s="40" t="str">
        <f>IFERROR((VLOOKUP(C183,PC!$A$1:$K$436,7,FALSE)&amp;" "&amp;VLOOKUP(C183,PC!$A$1:$K$436,6,FALSE)),"")</f>
        <v>레드스톤 VITO RMS-565S1</v>
      </c>
      <c r="E183" s="40" t="str">
        <f>IFERROR(VLOOKUP(C183,PC!$A$1:$K$436,2,FALSE),"")</f>
        <v>20161017-0712</v>
      </c>
      <c r="F183" s="333"/>
      <c r="G183" s="11" t="str">
        <f t="shared" si="7"/>
        <v>10.54.38.118</v>
      </c>
    </row>
    <row r="184" spans="1:7" ht="15" customHeight="1" x14ac:dyDescent="0.25">
      <c r="A184" s="51"/>
      <c r="B184" s="41">
        <v>119</v>
      </c>
      <c r="C184" s="41" t="s">
        <v>1497</v>
      </c>
      <c r="D184" s="41" t="str">
        <f>IFERROR((VLOOKUP(C184,PC!$A$1:$K$436,7,FALSE)&amp;" "&amp;VLOOKUP(C184,PC!$A$1:$K$436,6,FALSE)),"")</f>
        <v>레드스톤 VITO RMS-565S1</v>
      </c>
      <c r="E184" s="41" t="str">
        <f>IFERROR(VLOOKUP(C184,PC!$A$1:$K$436,2,FALSE),"")</f>
        <v>20161017-0713</v>
      </c>
      <c r="F184" s="333"/>
      <c r="G184" s="11" t="str">
        <f t="shared" si="7"/>
        <v>10.54.38.119</v>
      </c>
    </row>
    <row r="185" spans="1:7" ht="15" customHeight="1" x14ac:dyDescent="0.25">
      <c r="A185" s="51"/>
      <c r="B185" s="39">
        <v>120</v>
      </c>
      <c r="C185" s="39" t="s">
        <v>1499</v>
      </c>
      <c r="D185" s="39" t="str">
        <f>IFERROR((VLOOKUP(C185,PC!$A$1:$K$436,7,FALSE)&amp;" "&amp;VLOOKUP(C185,PC!$A$1:$K$436,6,FALSE)),"")</f>
        <v>레드스톤 VITO RMS-565S1</v>
      </c>
      <c r="E185" s="39" t="str">
        <f>IFERROR(VLOOKUP(C185,PC!$A$1:$K$436,2,FALSE),"")</f>
        <v>20161017-0714</v>
      </c>
      <c r="F185" s="333"/>
      <c r="G185" s="11" t="str">
        <f t="shared" si="7"/>
        <v>10.54.38.120</v>
      </c>
    </row>
    <row r="186" spans="1:7" ht="15" customHeight="1" x14ac:dyDescent="0.25">
      <c r="A186" s="51"/>
      <c r="B186" s="40">
        <v>121</v>
      </c>
      <c r="C186" s="40" t="s">
        <v>1491</v>
      </c>
      <c r="D186" s="40" t="str">
        <f>IFERROR((VLOOKUP(C186,PC!$A$1:$K$436,7,FALSE)&amp;" "&amp;VLOOKUP(C186,PC!$A$1:$K$436,6,FALSE)),"")</f>
        <v>레드스톤 VITO RMS-565S1</v>
      </c>
      <c r="E186" s="40" t="str">
        <f>IFERROR(VLOOKUP(C186,PC!$A$1:$K$436,2,FALSE),"")</f>
        <v>20161017-0715</v>
      </c>
      <c r="F186" s="333"/>
      <c r="G186" s="11" t="str">
        <f t="shared" si="7"/>
        <v>10.54.38.121</v>
      </c>
    </row>
    <row r="187" spans="1:7" ht="15" customHeight="1" x14ac:dyDescent="0.25">
      <c r="A187" s="51"/>
      <c r="B187" s="40">
        <v>122</v>
      </c>
      <c r="C187" s="40" t="s">
        <v>1482</v>
      </c>
      <c r="D187" s="40" t="str">
        <f>IFERROR((VLOOKUP(C187,PC!$A$1:$K$436,7,FALSE)&amp;" "&amp;VLOOKUP(C187,PC!$A$1:$K$436,6,FALSE)),"")</f>
        <v>레드스톤 VITO RMS-565S1</v>
      </c>
      <c r="E187" s="40" t="str">
        <f>IFERROR(VLOOKUP(C187,PC!$A$1:$K$436,2,FALSE),"")</f>
        <v>20161017-0716</v>
      </c>
      <c r="F187" s="333"/>
      <c r="G187" s="11" t="str">
        <f t="shared" si="7"/>
        <v>10.54.38.122</v>
      </c>
    </row>
    <row r="188" spans="1:7" ht="15" customHeight="1" x14ac:dyDescent="0.25">
      <c r="A188" s="51"/>
      <c r="B188" s="40">
        <v>123</v>
      </c>
      <c r="C188" s="40" t="s">
        <v>1468</v>
      </c>
      <c r="D188" s="40" t="str">
        <f>IFERROR((VLOOKUP(C188,PC!$A$1:$K$436,7,FALSE)&amp;" "&amp;VLOOKUP(C188,PC!$A$1:$K$436,6,FALSE)),"")</f>
        <v>레드스톤 VITO RMS-565S1</v>
      </c>
      <c r="E188" s="40" t="str">
        <f>IFERROR(VLOOKUP(C188,PC!$A$1:$K$436,2,FALSE),"")</f>
        <v>20161017-0717</v>
      </c>
      <c r="F188" s="333"/>
      <c r="G188" s="11" t="str">
        <f t="shared" si="7"/>
        <v>10.54.38.123</v>
      </c>
    </row>
    <row r="189" spans="1:7" ht="15" customHeight="1" x14ac:dyDescent="0.25">
      <c r="A189" s="51"/>
      <c r="B189" s="41">
        <v>124</v>
      </c>
      <c r="C189" s="41" t="s">
        <v>1454</v>
      </c>
      <c r="D189" s="41" t="str">
        <f>IFERROR((VLOOKUP(C189,PC!$A$1:$K$436,7,FALSE)&amp;" "&amp;VLOOKUP(C189,PC!$A$1:$K$436,6,FALSE)),"")</f>
        <v>레드스톤 VITO RMS-565S1</v>
      </c>
      <c r="E189" s="41" t="str">
        <f>IFERROR(VLOOKUP(C189,PC!$A$1:$K$436,2,FALSE),"")</f>
        <v>20161017-0718</v>
      </c>
      <c r="F189" s="333"/>
      <c r="G189" s="11" t="str">
        <f t="shared" si="7"/>
        <v>10.54.38.124</v>
      </c>
    </row>
    <row r="190" spans="1:7" ht="15" customHeight="1" x14ac:dyDescent="0.25">
      <c r="A190" s="51"/>
      <c r="B190" s="39">
        <v>125</v>
      </c>
      <c r="C190" s="39" t="s">
        <v>1470</v>
      </c>
      <c r="D190" s="39" t="str">
        <f>IFERROR((VLOOKUP(C190,PC!$A$1:$K$436,7,FALSE)&amp;" "&amp;VLOOKUP(C190,PC!$A$1:$K$436,6,FALSE)),"")</f>
        <v>레드스톤 VITO RMS-565S1</v>
      </c>
      <c r="E190" s="39" t="str">
        <f>IFERROR(VLOOKUP(C190,PC!$A$1:$K$436,2,FALSE),"")</f>
        <v>20161017-0719</v>
      </c>
      <c r="F190" s="333"/>
      <c r="G190" s="11" t="str">
        <f t="shared" si="7"/>
        <v>10.54.38.125</v>
      </c>
    </row>
    <row r="191" spans="1:7" ht="15" customHeight="1" x14ac:dyDescent="0.25">
      <c r="A191" s="51"/>
      <c r="B191" s="40">
        <v>126</v>
      </c>
      <c r="C191" s="40" t="s">
        <v>1483</v>
      </c>
      <c r="D191" s="40" t="str">
        <f>IFERROR((VLOOKUP(C191,PC!$A$1:$K$436,7,FALSE)&amp;" "&amp;VLOOKUP(C191,PC!$A$1:$K$436,6,FALSE)),"")</f>
        <v>레드스톤 VITO RMS-565S1</v>
      </c>
      <c r="E191" s="40" t="str">
        <f>IFERROR(VLOOKUP(C191,PC!$A$1:$K$436,2,FALSE),"")</f>
        <v>20161017-0720</v>
      </c>
      <c r="F191" s="333"/>
      <c r="G191" s="11" t="str">
        <f t="shared" si="7"/>
        <v>10.54.38.126</v>
      </c>
    </row>
    <row r="192" spans="1:7" ht="15" customHeight="1" x14ac:dyDescent="0.25">
      <c r="A192" s="51"/>
      <c r="B192" s="40">
        <v>127</v>
      </c>
      <c r="C192" s="40" t="s">
        <v>1485</v>
      </c>
      <c r="D192" s="40" t="str">
        <f>IFERROR((VLOOKUP(C192,PC!$A$1:$K$436,7,FALSE)&amp;" "&amp;VLOOKUP(C192,PC!$A$1:$K$436,6,FALSE)),"")</f>
        <v>레드스톤 VITO RMS-565S1</v>
      </c>
      <c r="E192" s="40" t="str">
        <f>IFERROR(VLOOKUP(C192,PC!$A$1:$K$436,2,FALSE),"")</f>
        <v>20161017-0721</v>
      </c>
      <c r="F192" s="333"/>
      <c r="G192" s="11" t="str">
        <f t="shared" si="7"/>
        <v>10.54.38.127</v>
      </c>
    </row>
    <row r="193" spans="1:12" ht="15" customHeight="1" x14ac:dyDescent="0.25">
      <c r="A193" s="51"/>
      <c r="B193" s="40">
        <v>128</v>
      </c>
      <c r="C193" s="40" t="s">
        <v>1472</v>
      </c>
      <c r="D193" s="40" t="str">
        <f>IFERROR((VLOOKUP(C193,PC!$A$1:$K$436,7,FALSE)&amp;" "&amp;VLOOKUP(C193,PC!$A$1:$K$436,6,FALSE)),"")</f>
        <v>레드스톤 VITO RMS-565S1</v>
      </c>
      <c r="E193" s="40" t="str">
        <f>IFERROR(VLOOKUP(C193,PC!$A$1:$K$436,2,FALSE),"")</f>
        <v>20161017-0722</v>
      </c>
      <c r="F193" s="333"/>
      <c r="G193" s="11" t="str">
        <f t="shared" si="7"/>
        <v>10.54.38.128</v>
      </c>
    </row>
    <row r="194" spans="1:12" ht="15" customHeight="1" x14ac:dyDescent="0.25">
      <c r="A194" s="51"/>
      <c r="B194" s="41">
        <v>129</v>
      </c>
      <c r="C194" s="41" t="s">
        <v>1480</v>
      </c>
      <c r="D194" s="41" t="str">
        <f>IFERROR((VLOOKUP(C194,PC!$A$1:$K$436,7,FALSE)&amp;" "&amp;VLOOKUP(C194,PC!$A$1:$K$436,6,FALSE)),"")</f>
        <v>레드스톤 VITO RMS-565S1</v>
      </c>
      <c r="E194" s="41" t="str">
        <f>IFERROR(VLOOKUP(C194,PC!$A$1:$K$436,2,FALSE),"")</f>
        <v>20161017-0723</v>
      </c>
      <c r="F194" s="333"/>
      <c r="G194" s="11" t="str">
        <f t="shared" si="7"/>
        <v>10.54.38.129</v>
      </c>
    </row>
    <row r="195" spans="1:12" ht="15" customHeight="1" x14ac:dyDescent="0.25">
      <c r="A195" s="51"/>
      <c r="B195" s="39">
        <v>130</v>
      </c>
      <c r="C195" s="39" t="s">
        <v>1457</v>
      </c>
      <c r="D195" s="39" t="str">
        <f>IFERROR((VLOOKUP(C195,PC!$A$1:$K$436,7,FALSE)&amp;" "&amp;VLOOKUP(C195,PC!$A$1:$K$436,6,FALSE)),"")</f>
        <v>레드스톤 VITO RMS-565S1</v>
      </c>
      <c r="E195" s="39" t="str">
        <f>IFERROR(VLOOKUP(C195,PC!$A$1:$K$436,2,FALSE),"")</f>
        <v>20161017-0724</v>
      </c>
      <c r="F195" s="333"/>
      <c r="G195" s="11" t="str">
        <f t="shared" si="7"/>
        <v>10.54.38.130</v>
      </c>
    </row>
    <row r="196" spans="1:12" ht="15" customHeight="1" x14ac:dyDescent="0.25">
      <c r="A196" s="51"/>
      <c r="B196" s="40">
        <v>131</v>
      </c>
      <c r="C196" s="40" t="s">
        <v>1478</v>
      </c>
      <c r="D196" s="40" t="str">
        <f>IFERROR((VLOOKUP(C196,PC!$A$1:$K$436,7,FALSE)&amp;" "&amp;VLOOKUP(C196,PC!$A$1:$K$436,6,FALSE)),"")</f>
        <v>레드스톤 VITO RMS-565S1</v>
      </c>
      <c r="E196" s="40" t="str">
        <f>IFERROR(VLOOKUP(C196,PC!$A$1:$K$436,2,FALSE),"")</f>
        <v>20161017-0725</v>
      </c>
      <c r="F196" s="333"/>
      <c r="G196" s="11" t="str">
        <f t="shared" si="7"/>
        <v>10.54.38.131</v>
      </c>
    </row>
    <row r="197" spans="1:12" ht="15" customHeight="1" x14ac:dyDescent="0.25">
      <c r="A197" s="51"/>
      <c r="B197" s="40">
        <v>132</v>
      </c>
      <c r="C197" s="40" t="s">
        <v>1473</v>
      </c>
      <c r="D197" s="40" t="str">
        <f>IFERROR((VLOOKUP(C197,PC!$A$1:$K$436,7,FALSE)&amp;" "&amp;VLOOKUP(C197,PC!$A$1:$K$436,6,FALSE)),"")</f>
        <v>레드스톤 VITO RMS-565S1</v>
      </c>
      <c r="E197" s="40" t="str">
        <f>IFERROR(VLOOKUP(C197,PC!$A$1:$K$436,2,FALSE),"")</f>
        <v>20161017-0726</v>
      </c>
      <c r="F197" s="333"/>
      <c r="G197" s="11" t="str">
        <f t="shared" si="7"/>
        <v>10.54.38.132</v>
      </c>
    </row>
    <row r="198" spans="1:12" ht="15" customHeight="1" x14ac:dyDescent="0.25">
      <c r="A198" s="51"/>
      <c r="B198" s="40">
        <v>133</v>
      </c>
      <c r="C198" s="40" t="s">
        <v>1465</v>
      </c>
      <c r="D198" s="40" t="str">
        <f>IFERROR((VLOOKUP(C198,PC!$A$1:$K$436,7,FALSE)&amp;" "&amp;VLOOKUP(C198,PC!$A$1:$K$436,6,FALSE)),"")</f>
        <v>레드스톤 VITO RMS-565S1</v>
      </c>
      <c r="E198" s="40" t="str">
        <f>IFERROR(VLOOKUP(C198,PC!$A$1:$K$436,2,FALSE),"")</f>
        <v>20161017-0727</v>
      </c>
      <c r="F198" s="333"/>
      <c r="G198" s="11" t="str">
        <f t="shared" si="7"/>
        <v>10.54.38.133</v>
      </c>
    </row>
    <row r="199" spans="1:12" ht="15" customHeight="1" x14ac:dyDescent="0.25">
      <c r="A199" s="51"/>
      <c r="B199" s="41">
        <v>134</v>
      </c>
      <c r="C199" s="41" t="s">
        <v>1484</v>
      </c>
      <c r="D199" s="41" t="str">
        <f>IFERROR((VLOOKUP(C199,PC!$A$1:$K$436,7,FALSE)&amp;" "&amp;VLOOKUP(C199,PC!$A$1:$K$436,6,FALSE)),"")</f>
        <v>레드스톤 VITO RMS-565S1</v>
      </c>
      <c r="E199" s="41" t="str">
        <f>IFERROR(VLOOKUP(C199,PC!$A$1:$K$436,2,FALSE),"")</f>
        <v>20161017-0728</v>
      </c>
      <c r="F199" s="333"/>
      <c r="G199" s="11" t="str">
        <f t="shared" si="7"/>
        <v>10.54.38.134</v>
      </c>
    </row>
    <row r="200" spans="1:12" ht="15" customHeight="1" x14ac:dyDescent="0.25">
      <c r="A200" s="51"/>
      <c r="B200" s="39">
        <v>135</v>
      </c>
      <c r="C200" s="39" t="s">
        <v>1463</v>
      </c>
      <c r="D200" s="39" t="str">
        <f>IFERROR((VLOOKUP(C200,PC!$A$1:$K$436,7,FALSE)&amp;" "&amp;VLOOKUP(C200,PC!$A$1:$K$436,6,FALSE)),"")</f>
        <v>레드스톤 VITO RMS-565S1</v>
      </c>
      <c r="E200" s="39" t="str">
        <f>IFERROR(VLOOKUP(C200,PC!$A$1:$K$436,2,FALSE),"")</f>
        <v>20161017-0729</v>
      </c>
      <c r="F200" s="333"/>
      <c r="G200" s="11" t="str">
        <f t="shared" si="7"/>
        <v>10.54.38.135</v>
      </c>
    </row>
    <row r="201" spans="1:12" ht="15" customHeight="1" x14ac:dyDescent="0.25">
      <c r="A201" s="51"/>
      <c r="B201" s="96">
        <v>136</v>
      </c>
      <c r="C201" s="96" t="s">
        <v>1459</v>
      </c>
      <c r="D201" s="96" t="str">
        <f>IFERROR((VLOOKUP(C201,PC!$A$1:$K$436,7,FALSE)&amp;" "&amp;VLOOKUP(C201,PC!$A$1:$K$436,6,FALSE)),"")</f>
        <v>레드스톤 VITO RMS-565S1</v>
      </c>
      <c r="E201" s="96" t="str">
        <f>IFERROR(VLOOKUP(C201,PC!$A$1:$K$436,2,FALSE),"")</f>
        <v>20161017-0730</v>
      </c>
      <c r="F201" s="333"/>
      <c r="G201" s="11" t="str">
        <f t="shared" si="7"/>
        <v>10.54.38.136</v>
      </c>
    </row>
    <row r="202" spans="1:12" ht="15" customHeight="1" x14ac:dyDescent="0.25">
      <c r="A202" s="51"/>
      <c r="B202" s="148"/>
      <c r="D202" s="148"/>
      <c r="E202" s="148"/>
      <c r="F202" s="79"/>
    </row>
    <row r="203" spans="1:12" ht="15" customHeight="1" x14ac:dyDescent="0.25">
      <c r="A203" s="51"/>
      <c r="B203" s="148"/>
      <c r="D203" s="148"/>
      <c r="E203" s="148"/>
      <c r="F203" s="79"/>
    </row>
    <row r="204" spans="1:12" ht="15" customHeight="1" x14ac:dyDescent="0.25">
      <c r="A204" s="51"/>
      <c r="B204" s="148"/>
      <c r="D204" s="148"/>
      <c r="E204" s="148"/>
      <c r="F204" s="79"/>
    </row>
    <row r="205" spans="1:12" ht="15" customHeight="1" x14ac:dyDescent="0.25">
      <c r="A205" s="51"/>
      <c r="B205" s="148"/>
      <c r="D205" s="148"/>
      <c r="E205" s="148"/>
      <c r="F205" s="79"/>
    </row>
    <row r="206" spans="1:12" ht="15" customHeight="1" x14ac:dyDescent="0.25">
      <c r="A206" s="97" t="s">
        <v>601</v>
      </c>
      <c r="B206" s="98">
        <v>99</v>
      </c>
      <c r="C206" s="99" t="s">
        <v>1487</v>
      </c>
      <c r="D206" s="98" t="str">
        <f>IFERROR((VLOOKUP(C206,PC!$A$1:$K$436,7,FALSE)&amp;" "&amp;VLOOKUP(C206,PC!$A$1:$K$436,6,FALSE)),"")</f>
        <v>삼성 NT370E5J-K04G</v>
      </c>
      <c r="E206" s="45" t="str">
        <f>IFERROR(VLOOKUP(C206,PC!$A$1:$K$436,2,FALSE),"")</f>
        <v>20160323-0693</v>
      </c>
      <c r="F206" s="337" t="s">
        <v>1087</v>
      </c>
      <c r="G206" s="1"/>
      <c r="H206" s="1" t="s">
        <v>352</v>
      </c>
      <c r="I206" s="1" t="s">
        <v>272</v>
      </c>
      <c r="K206" s="1" t="s">
        <v>352</v>
      </c>
      <c r="L206" s="1" t="s">
        <v>272</v>
      </c>
    </row>
    <row r="207" spans="1:12" ht="15" customHeight="1" x14ac:dyDescent="0.25">
      <c r="A207" s="51"/>
      <c r="B207" s="339">
        <v>100</v>
      </c>
      <c r="C207" s="339" t="s">
        <v>306</v>
      </c>
      <c r="D207" s="46" t="s">
        <v>1105</v>
      </c>
      <c r="E207" s="47"/>
      <c r="F207" s="338"/>
      <c r="G207" s="1"/>
      <c r="H207" s="112" t="s">
        <v>1098</v>
      </c>
      <c r="I207" s="112" t="s">
        <v>1103</v>
      </c>
      <c r="J207" s="1" t="s">
        <v>1126</v>
      </c>
      <c r="K207" s="1" t="s">
        <v>1108</v>
      </c>
      <c r="L207" s="1" t="s">
        <v>620</v>
      </c>
    </row>
    <row r="208" spans="1:12" ht="15" customHeight="1" x14ac:dyDescent="0.25">
      <c r="A208" s="51"/>
      <c r="B208" s="340"/>
      <c r="C208" s="340"/>
      <c r="D208" s="205" t="s">
        <v>634</v>
      </c>
      <c r="E208" s="40" t="s">
        <v>599</v>
      </c>
      <c r="F208" s="338"/>
      <c r="G208" s="9" t="s">
        <v>1455</v>
      </c>
      <c r="H208" s="1" t="s">
        <v>1098</v>
      </c>
      <c r="I208" s="1" t="s">
        <v>635</v>
      </c>
    </row>
    <row r="209" spans="1:9" ht="15" customHeight="1" x14ac:dyDescent="0.25">
      <c r="A209" s="51"/>
      <c r="B209" s="340"/>
      <c r="C209" s="340"/>
      <c r="D209" s="100" t="s">
        <v>619</v>
      </c>
      <c r="E209" s="40" t="s">
        <v>621</v>
      </c>
      <c r="F209" s="338"/>
      <c r="G209" s="1"/>
      <c r="H209" s="1" t="s">
        <v>1098</v>
      </c>
      <c r="I209" s="1" t="s">
        <v>635</v>
      </c>
    </row>
    <row r="210" spans="1:9" ht="15" customHeight="1" x14ac:dyDescent="0.25">
      <c r="A210" s="30"/>
      <c r="B210" s="340"/>
      <c r="C210" s="340"/>
      <c r="D210" s="95" t="s">
        <v>637</v>
      </c>
      <c r="E210" s="96" t="s">
        <v>625</v>
      </c>
      <c r="F210" s="338"/>
      <c r="G210" s="1"/>
      <c r="H210" s="1" t="s">
        <v>1098</v>
      </c>
      <c r="I210" s="1" t="s">
        <v>635</v>
      </c>
    </row>
    <row r="211" spans="1:9" ht="15" customHeight="1" x14ac:dyDescent="0.25">
      <c r="A211" s="30"/>
      <c r="B211" s="340"/>
      <c r="C211" s="340"/>
      <c r="D211" s="95" t="s">
        <v>1132</v>
      </c>
      <c r="E211" s="96" t="s">
        <v>618</v>
      </c>
      <c r="F211" s="338"/>
      <c r="G211" s="1"/>
      <c r="H211" s="1" t="s">
        <v>1098</v>
      </c>
      <c r="I211" s="1" t="s">
        <v>635</v>
      </c>
    </row>
    <row r="212" spans="1:9" ht="15" customHeight="1" x14ac:dyDescent="0.25">
      <c r="A212" s="30"/>
      <c r="B212" s="340"/>
      <c r="C212" s="340"/>
      <c r="D212" s="95" t="s">
        <v>1120</v>
      </c>
      <c r="E212" s="96" t="s">
        <v>616</v>
      </c>
      <c r="F212" s="338"/>
      <c r="G212" s="1"/>
      <c r="H212" s="1" t="s">
        <v>1098</v>
      </c>
      <c r="I212" s="1" t="s">
        <v>635</v>
      </c>
    </row>
    <row r="213" spans="1:9" ht="15" customHeight="1" x14ac:dyDescent="0.25">
      <c r="A213" s="30"/>
      <c r="B213" s="341"/>
      <c r="C213" s="341"/>
      <c r="D213" s="206" t="s">
        <v>1721</v>
      </c>
      <c r="E213" s="41" t="s">
        <v>613</v>
      </c>
      <c r="F213" s="338"/>
      <c r="G213" s="9" t="s">
        <v>1706</v>
      </c>
      <c r="H213" s="1" t="s">
        <v>1098</v>
      </c>
      <c r="I213" s="1" t="s">
        <v>635</v>
      </c>
    </row>
    <row r="214" spans="1:9" ht="15" customHeight="1" x14ac:dyDescent="0.25">
      <c r="A214" s="30"/>
      <c r="B214" s="26">
        <v>101</v>
      </c>
      <c r="C214" s="26"/>
      <c r="D214" s="53"/>
      <c r="E214" s="54"/>
      <c r="F214" s="338"/>
      <c r="G214" s="1"/>
      <c r="H214" s="112" t="s">
        <v>1098</v>
      </c>
      <c r="I214" s="112" t="s">
        <v>1103</v>
      </c>
    </row>
    <row r="215" spans="1:9" ht="15" customHeight="1" x14ac:dyDescent="0.25">
      <c r="A215" s="30"/>
      <c r="B215" s="2">
        <v>102</v>
      </c>
      <c r="C215" s="2" t="s">
        <v>1080</v>
      </c>
      <c r="D215" s="207" t="s">
        <v>1594</v>
      </c>
      <c r="E215" s="113"/>
      <c r="F215" s="338"/>
      <c r="G215" s="9" t="s">
        <v>1455</v>
      </c>
      <c r="H215" s="112" t="s">
        <v>1098</v>
      </c>
      <c r="I215" s="112" t="s">
        <v>1103</v>
      </c>
    </row>
    <row r="216" spans="1:9" ht="15" customHeight="1" x14ac:dyDescent="0.25">
      <c r="A216" s="30"/>
      <c r="B216" s="2">
        <v>103</v>
      </c>
      <c r="C216" s="2" t="s">
        <v>1137</v>
      </c>
      <c r="D216" s="113" t="s">
        <v>1605</v>
      </c>
      <c r="E216" s="113"/>
      <c r="F216" s="338"/>
      <c r="G216" s="1"/>
      <c r="H216" s="112" t="s">
        <v>1098</v>
      </c>
      <c r="I216" s="112" t="s">
        <v>1103</v>
      </c>
    </row>
    <row r="217" spans="1:9" ht="15" customHeight="1" x14ac:dyDescent="0.25">
      <c r="A217" s="30"/>
      <c r="B217" s="2">
        <v>104</v>
      </c>
      <c r="C217" s="2" t="s">
        <v>1127</v>
      </c>
      <c r="D217" s="113" t="s">
        <v>1553</v>
      </c>
      <c r="E217" s="113"/>
      <c r="F217" s="338"/>
      <c r="G217" s="1"/>
      <c r="H217" s="112" t="s">
        <v>1098</v>
      </c>
      <c r="I217" s="112" t="s">
        <v>623</v>
      </c>
    </row>
    <row r="218" spans="1:9" ht="13.5" customHeight="1" x14ac:dyDescent="0.25">
      <c r="A218" s="31"/>
      <c r="B218" s="2">
        <v>105</v>
      </c>
      <c r="C218" s="2" t="s">
        <v>312</v>
      </c>
      <c r="D218" s="113" t="s">
        <v>354</v>
      </c>
      <c r="E218" s="113"/>
      <c r="F218" s="329"/>
      <c r="G218" s="1"/>
      <c r="H218" s="112" t="s">
        <v>1098</v>
      </c>
      <c r="I218" s="112" t="s">
        <v>1103</v>
      </c>
    </row>
  </sheetData>
  <sortState xmlns:xlrd2="http://schemas.microsoft.com/office/spreadsheetml/2017/richdata2" ref="B214:I218">
    <sortCondition ref="B214:B218"/>
  </sortState>
  <mergeCells count="10">
    <mergeCell ref="F155:F160"/>
    <mergeCell ref="F165:F201"/>
    <mergeCell ref="F206:F218"/>
    <mergeCell ref="B207:B213"/>
    <mergeCell ref="C207:C213"/>
    <mergeCell ref="F11:F23"/>
    <mergeCell ref="F52:F55"/>
    <mergeCell ref="F72:F76"/>
    <mergeCell ref="F84:F85"/>
    <mergeCell ref="F123:F152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landscape"/>
  <headerFooter>
    <oddHeader>&amp;C&amp;"HY견고딕,Regular"&amp;22IP관리대장(학생용)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134"/>
  <sheetViews>
    <sheetView topLeftCell="A7" zoomScaleNormal="100" zoomScaleSheetLayoutView="100" workbookViewId="0">
      <selection activeCell="A31" sqref="A31"/>
    </sheetView>
  </sheetViews>
  <sheetFormatPr defaultColWidth="8.9140625" defaultRowHeight="17" x14ac:dyDescent="0.25"/>
  <cols>
    <col min="1" max="1" width="19.4140625" style="1" bestFit="1" customWidth="1"/>
    <col min="2" max="2" width="13.33203125" style="1" bestFit="1" customWidth="1"/>
    <col min="3" max="3" width="16.33203125" style="1" bestFit="1" customWidth="1"/>
    <col min="4" max="16384" width="8.9140625" style="11"/>
  </cols>
  <sheetData>
    <row r="1" spans="1:2" x14ac:dyDescent="0.25">
      <c r="A1" s="1" t="s">
        <v>547</v>
      </c>
      <c r="B1" s="1" t="s">
        <v>316</v>
      </c>
    </row>
    <row r="2" spans="1:2" x14ac:dyDescent="0.25">
      <c r="A2" s="1" t="s">
        <v>14</v>
      </c>
      <c r="B2" s="1" t="s">
        <v>1082</v>
      </c>
    </row>
    <row r="3" spans="1:2" x14ac:dyDescent="0.25">
      <c r="A3" s="1" t="s">
        <v>361</v>
      </c>
      <c r="B3" s="1" t="s">
        <v>1082</v>
      </c>
    </row>
    <row r="4" spans="1:2" x14ac:dyDescent="0.25">
      <c r="A4" s="1" t="s">
        <v>380</v>
      </c>
      <c r="B4" s="1" t="s">
        <v>1082</v>
      </c>
    </row>
    <row r="5" spans="1:2" x14ac:dyDescent="0.25">
      <c r="A5" s="1" t="s">
        <v>362</v>
      </c>
      <c r="B5" s="1" t="s">
        <v>1082</v>
      </c>
    </row>
    <row r="6" spans="1:2" x14ac:dyDescent="0.25">
      <c r="A6" s="1" t="s">
        <v>365</v>
      </c>
      <c r="B6" s="1" t="s">
        <v>1082</v>
      </c>
    </row>
    <row r="7" spans="1:2" x14ac:dyDescent="0.25">
      <c r="A7" s="1" t="s">
        <v>360</v>
      </c>
      <c r="B7" s="1" t="s">
        <v>1082</v>
      </c>
    </row>
    <row r="8" spans="1:2" x14ac:dyDescent="0.25">
      <c r="A8" s="1" t="s">
        <v>353</v>
      </c>
      <c r="B8" s="1" t="s">
        <v>1082</v>
      </c>
    </row>
    <row r="9" spans="1:2" x14ac:dyDescent="0.25">
      <c r="A9" s="1" t="s">
        <v>371</v>
      </c>
      <c r="B9" s="1" t="s">
        <v>1082</v>
      </c>
    </row>
    <row r="10" spans="1:2" x14ac:dyDescent="0.25">
      <c r="A10" s="1" t="s">
        <v>99</v>
      </c>
      <c r="B10" s="1" t="s">
        <v>1082</v>
      </c>
    </row>
    <row r="11" spans="1:2" x14ac:dyDescent="0.25">
      <c r="A11" s="1" t="s">
        <v>66</v>
      </c>
      <c r="B11" s="1" t="s">
        <v>1136</v>
      </c>
    </row>
    <row r="12" spans="1:2" x14ac:dyDescent="0.25">
      <c r="A12" s="1" t="s">
        <v>394</v>
      </c>
      <c r="B12" s="1" t="s">
        <v>1136</v>
      </c>
    </row>
    <row r="13" spans="1:2" x14ac:dyDescent="0.25">
      <c r="A13" s="1" t="s">
        <v>82</v>
      </c>
      <c r="B13" s="1" t="s">
        <v>1136</v>
      </c>
    </row>
    <row r="14" spans="1:2" x14ac:dyDescent="0.25">
      <c r="A14" s="1" t="s">
        <v>35</v>
      </c>
      <c r="B14" s="1" t="s">
        <v>1136</v>
      </c>
    </row>
    <row r="15" spans="1:2" x14ac:dyDescent="0.25">
      <c r="A15" s="1" t="s">
        <v>13</v>
      </c>
      <c r="B15" s="1" t="s">
        <v>1095</v>
      </c>
    </row>
    <row r="16" spans="1:2" x14ac:dyDescent="0.25">
      <c r="A16" s="1" t="s">
        <v>39</v>
      </c>
      <c r="B16" s="1" t="s">
        <v>1095</v>
      </c>
    </row>
    <row r="17" spans="1:2" x14ac:dyDescent="0.25">
      <c r="A17" s="1" t="s">
        <v>368</v>
      </c>
      <c r="B17" s="1" t="s">
        <v>1095</v>
      </c>
    </row>
    <row r="18" spans="1:2" x14ac:dyDescent="0.25">
      <c r="A18" s="1" t="s">
        <v>16</v>
      </c>
      <c r="B18" s="1" t="s">
        <v>1095</v>
      </c>
    </row>
    <row r="19" spans="1:2" x14ac:dyDescent="0.25">
      <c r="A19" s="1" t="s">
        <v>11</v>
      </c>
      <c r="B19" s="1" t="s">
        <v>1095</v>
      </c>
    </row>
    <row r="20" spans="1:2" x14ac:dyDescent="0.25">
      <c r="A20" s="1" t="s">
        <v>385</v>
      </c>
      <c r="B20" s="1" t="s">
        <v>1095</v>
      </c>
    </row>
    <row r="21" spans="1:2" x14ac:dyDescent="0.25">
      <c r="A21" s="1" t="s">
        <v>357</v>
      </c>
      <c r="B21" s="1" t="s">
        <v>1095</v>
      </c>
    </row>
    <row r="22" spans="1:2" x14ac:dyDescent="0.25">
      <c r="A22" s="1" t="s">
        <v>43</v>
      </c>
      <c r="B22" s="1" t="s">
        <v>1834</v>
      </c>
    </row>
    <row r="23" spans="1:2" x14ac:dyDescent="0.25">
      <c r="A23" s="1" t="s">
        <v>37</v>
      </c>
      <c r="B23" s="1" t="s">
        <v>1095</v>
      </c>
    </row>
    <row r="24" spans="1:2" x14ac:dyDescent="0.25">
      <c r="A24" s="1" t="s">
        <v>49</v>
      </c>
      <c r="B24" s="1" t="s">
        <v>744</v>
      </c>
    </row>
    <row r="25" spans="1:2" x14ac:dyDescent="0.25">
      <c r="A25" s="1" t="s">
        <v>59</v>
      </c>
      <c r="B25" s="1" t="s">
        <v>744</v>
      </c>
    </row>
    <row r="26" spans="1:2" x14ac:dyDescent="0.25">
      <c r="A26" s="1" t="s">
        <v>355</v>
      </c>
      <c r="B26" s="1" t="s">
        <v>744</v>
      </c>
    </row>
    <row r="27" spans="1:2" x14ac:dyDescent="0.25">
      <c r="A27" s="1" t="s">
        <v>386</v>
      </c>
      <c r="B27" s="1" t="s">
        <v>744</v>
      </c>
    </row>
    <row r="28" spans="1:2" x14ac:dyDescent="0.25">
      <c r="A28" s="1" t="s">
        <v>375</v>
      </c>
      <c r="B28" s="1" t="s">
        <v>744</v>
      </c>
    </row>
    <row r="29" spans="1:2" x14ac:dyDescent="0.25">
      <c r="A29" s="1" t="s">
        <v>327</v>
      </c>
      <c r="B29" s="1" t="s">
        <v>744</v>
      </c>
    </row>
    <row r="30" spans="1:2" x14ac:dyDescent="0.25">
      <c r="A30" s="1" t="s">
        <v>965</v>
      </c>
      <c r="B30" s="1" t="s">
        <v>744</v>
      </c>
    </row>
    <row r="31" spans="1:2" x14ac:dyDescent="0.25">
      <c r="A31" s="1" t="s">
        <v>388</v>
      </c>
      <c r="B31" s="1" t="s">
        <v>1834</v>
      </c>
    </row>
    <row r="32" spans="1:2" x14ac:dyDescent="0.25">
      <c r="A32" s="1" t="s">
        <v>25</v>
      </c>
      <c r="B32" s="1" t="s">
        <v>744</v>
      </c>
    </row>
    <row r="33" spans="1:2" x14ac:dyDescent="0.25">
      <c r="A33" s="1" t="s">
        <v>1440</v>
      </c>
      <c r="B33" s="1" t="s">
        <v>744</v>
      </c>
    </row>
    <row r="34" spans="1:2" x14ac:dyDescent="0.25">
      <c r="A34" s="1" t="s">
        <v>57</v>
      </c>
      <c r="B34" s="1" t="s">
        <v>744</v>
      </c>
    </row>
    <row r="35" spans="1:2" x14ac:dyDescent="0.25">
      <c r="A35" s="1" t="s">
        <v>68</v>
      </c>
      <c r="B35" s="1" t="s">
        <v>744</v>
      </c>
    </row>
    <row r="36" spans="1:2" x14ac:dyDescent="0.25">
      <c r="A36" s="1" t="s">
        <v>396</v>
      </c>
      <c r="B36" s="1" t="s">
        <v>1094</v>
      </c>
    </row>
    <row r="37" spans="1:2" x14ac:dyDescent="0.25">
      <c r="A37" s="1" t="s">
        <v>1512</v>
      </c>
      <c r="B37" s="1" t="s">
        <v>1094</v>
      </c>
    </row>
    <row r="38" spans="1:2" x14ac:dyDescent="0.25">
      <c r="A38" s="1" t="s">
        <v>279</v>
      </c>
      <c r="B38" s="1" t="s">
        <v>159</v>
      </c>
    </row>
    <row r="39" spans="1:2" x14ac:dyDescent="0.25">
      <c r="A39" s="1" t="s">
        <v>325</v>
      </c>
      <c r="B39" s="1" t="s">
        <v>1131</v>
      </c>
    </row>
    <row r="40" spans="1:2" x14ac:dyDescent="0.25">
      <c r="A40" s="1" t="s">
        <v>382</v>
      </c>
      <c r="B40" s="1" t="s">
        <v>1131</v>
      </c>
    </row>
    <row r="41" spans="1:2" x14ac:dyDescent="0.25">
      <c r="A41" s="1" t="s">
        <v>402</v>
      </c>
      <c r="B41" s="1" t="s">
        <v>1131</v>
      </c>
    </row>
    <row r="42" spans="1:2" x14ac:dyDescent="0.25">
      <c r="A42" s="1" t="s">
        <v>937</v>
      </c>
      <c r="B42" s="1" t="s">
        <v>1131</v>
      </c>
    </row>
    <row r="43" spans="1:2" x14ac:dyDescent="0.25">
      <c r="A43" s="1" t="s">
        <v>968</v>
      </c>
      <c r="B43" s="1" t="s">
        <v>1131</v>
      </c>
    </row>
    <row r="44" spans="1:2" x14ac:dyDescent="0.25">
      <c r="A44" s="1" t="s">
        <v>947</v>
      </c>
      <c r="B44" s="1" t="s">
        <v>1131</v>
      </c>
    </row>
    <row r="45" spans="1:2" x14ac:dyDescent="0.25">
      <c r="A45" s="1" t="s">
        <v>922</v>
      </c>
      <c r="B45" s="1" t="s">
        <v>1131</v>
      </c>
    </row>
    <row r="46" spans="1:2" x14ac:dyDescent="0.25">
      <c r="A46" s="1" t="s">
        <v>350</v>
      </c>
      <c r="B46" s="1" t="s">
        <v>1131</v>
      </c>
    </row>
    <row r="47" spans="1:2" x14ac:dyDescent="0.25">
      <c r="A47" s="1" t="s">
        <v>359</v>
      </c>
      <c r="B47" s="1" t="s">
        <v>1072</v>
      </c>
    </row>
    <row r="48" spans="1:2" x14ac:dyDescent="0.25">
      <c r="A48" s="1" t="s">
        <v>378</v>
      </c>
      <c r="B48" s="1" t="s">
        <v>1072</v>
      </c>
    </row>
    <row r="49" spans="1:2" x14ac:dyDescent="0.25">
      <c r="A49" s="1" t="s">
        <v>62</v>
      </c>
      <c r="B49" s="1" t="s">
        <v>1072</v>
      </c>
    </row>
    <row r="50" spans="1:2" x14ac:dyDescent="0.25">
      <c r="A50" s="1" t="s">
        <v>1201</v>
      </c>
      <c r="B50" s="1" t="s">
        <v>1072</v>
      </c>
    </row>
    <row r="51" spans="1:2" x14ac:dyDescent="0.25">
      <c r="A51" s="1" t="s">
        <v>1206</v>
      </c>
      <c r="B51" s="1" t="s">
        <v>1072</v>
      </c>
    </row>
    <row r="52" spans="1:2" x14ac:dyDescent="0.25">
      <c r="A52" s="1" t="s">
        <v>387</v>
      </c>
      <c r="B52" s="1" t="s">
        <v>1096</v>
      </c>
    </row>
    <row r="53" spans="1:2" x14ac:dyDescent="0.25">
      <c r="A53" s="1" t="s">
        <v>1107</v>
      </c>
      <c r="B53" s="1" t="s">
        <v>1096</v>
      </c>
    </row>
    <row r="54" spans="1:2" x14ac:dyDescent="0.25">
      <c r="A54" s="1" t="s">
        <v>308</v>
      </c>
      <c r="B54" s="1" t="s">
        <v>1096</v>
      </c>
    </row>
    <row r="55" spans="1:2" x14ac:dyDescent="0.25">
      <c r="A55" s="1" t="s">
        <v>7</v>
      </c>
      <c r="B55" s="1" t="s">
        <v>1096</v>
      </c>
    </row>
    <row r="56" spans="1:2" x14ac:dyDescent="0.25">
      <c r="A56" s="1" t="s">
        <v>358</v>
      </c>
      <c r="B56" s="1" t="s">
        <v>1096</v>
      </c>
    </row>
    <row r="57" spans="1:2" x14ac:dyDescent="0.25">
      <c r="A57" s="1" t="s">
        <v>395</v>
      </c>
      <c r="B57" s="1" t="s">
        <v>1096</v>
      </c>
    </row>
    <row r="58" spans="1:2" x14ac:dyDescent="0.25">
      <c r="A58" s="1" t="s">
        <v>295</v>
      </c>
      <c r="B58" s="1" t="s">
        <v>1096</v>
      </c>
    </row>
    <row r="59" spans="1:2" x14ac:dyDescent="0.25">
      <c r="A59" s="1" t="s">
        <v>33</v>
      </c>
      <c r="B59" s="1" t="s">
        <v>324</v>
      </c>
    </row>
    <row r="60" spans="1:2" x14ac:dyDescent="0.25">
      <c r="A60" s="1" t="s">
        <v>1179</v>
      </c>
      <c r="B60" s="1" t="s">
        <v>324</v>
      </c>
    </row>
    <row r="61" spans="1:2" x14ac:dyDescent="0.25">
      <c r="A61" s="1" t="s">
        <v>92</v>
      </c>
      <c r="B61" s="1" t="s">
        <v>344</v>
      </c>
    </row>
    <row r="62" spans="1:2" x14ac:dyDescent="0.25">
      <c r="A62" s="1" t="s">
        <v>32</v>
      </c>
      <c r="B62" s="1" t="s">
        <v>344</v>
      </c>
    </row>
    <row r="63" spans="1:2" x14ac:dyDescent="0.25">
      <c r="A63" s="1" t="s">
        <v>993</v>
      </c>
      <c r="B63" s="1" t="s">
        <v>344</v>
      </c>
    </row>
    <row r="64" spans="1:2" x14ac:dyDescent="0.25">
      <c r="A64" s="1" t="s">
        <v>940</v>
      </c>
      <c r="B64" s="1" t="s">
        <v>344</v>
      </c>
    </row>
    <row r="65" spans="1:2" x14ac:dyDescent="0.25">
      <c r="A65" s="1" t="s">
        <v>1175</v>
      </c>
      <c r="B65" s="1" t="s">
        <v>312</v>
      </c>
    </row>
    <row r="66" spans="1:2" x14ac:dyDescent="0.25">
      <c r="A66" s="1" t="s">
        <v>1174</v>
      </c>
      <c r="B66" s="1" t="s">
        <v>312</v>
      </c>
    </row>
    <row r="67" spans="1:2" x14ac:dyDescent="0.25">
      <c r="A67" s="1" t="s">
        <v>929</v>
      </c>
      <c r="B67" s="1" t="s">
        <v>312</v>
      </c>
    </row>
    <row r="68" spans="1:2" x14ac:dyDescent="0.25">
      <c r="A68" s="1" t="s">
        <v>941</v>
      </c>
      <c r="B68" s="1" t="s">
        <v>312</v>
      </c>
    </row>
    <row r="69" spans="1:2" x14ac:dyDescent="0.25">
      <c r="A69" s="1" t="s">
        <v>921</v>
      </c>
      <c r="B69" s="1" t="s">
        <v>312</v>
      </c>
    </row>
    <row r="70" spans="1:2" x14ac:dyDescent="0.25">
      <c r="A70" s="1" t="s">
        <v>1203</v>
      </c>
      <c r="B70" s="1" t="s">
        <v>312</v>
      </c>
    </row>
    <row r="71" spans="1:2" x14ac:dyDescent="0.25">
      <c r="A71" s="1" t="s">
        <v>1419</v>
      </c>
      <c r="B71" s="1" t="s">
        <v>1110</v>
      </c>
    </row>
    <row r="72" spans="1:2" x14ac:dyDescent="0.25">
      <c r="A72" s="1" t="s">
        <v>990</v>
      </c>
      <c r="B72" s="1" t="s">
        <v>335</v>
      </c>
    </row>
    <row r="73" spans="1:2" x14ac:dyDescent="0.25">
      <c r="A73" s="1" t="s">
        <v>916</v>
      </c>
      <c r="B73" s="1" t="s">
        <v>335</v>
      </c>
    </row>
    <row r="74" spans="1:2" x14ac:dyDescent="0.25">
      <c r="A74" s="91" t="s">
        <v>1195</v>
      </c>
      <c r="B74" s="1" t="s">
        <v>335</v>
      </c>
    </row>
    <row r="75" spans="1:2" x14ac:dyDescent="0.25">
      <c r="A75" s="1" t="s">
        <v>1421</v>
      </c>
      <c r="B75" s="1" t="s">
        <v>1112</v>
      </c>
    </row>
    <row r="76" spans="1:2" x14ac:dyDescent="0.25">
      <c r="A76" s="1" t="s">
        <v>1207</v>
      </c>
      <c r="B76" s="1" t="s">
        <v>332</v>
      </c>
    </row>
    <row r="77" spans="1:2" x14ac:dyDescent="0.25">
      <c r="A77" s="1" t="s">
        <v>373</v>
      </c>
      <c r="B77" s="1" t="s">
        <v>1080</v>
      </c>
    </row>
    <row r="78" spans="1:2" x14ac:dyDescent="0.25">
      <c r="A78" s="1" t="s">
        <v>67</v>
      </c>
      <c r="B78" s="1" t="s">
        <v>1080</v>
      </c>
    </row>
    <row r="79" spans="1:2" x14ac:dyDescent="0.25">
      <c r="A79" s="1" t="s">
        <v>48</v>
      </c>
      <c r="B79" s="1" t="s">
        <v>1080</v>
      </c>
    </row>
    <row r="80" spans="1:2" x14ac:dyDescent="0.25">
      <c r="A80" s="1" t="s">
        <v>94</v>
      </c>
      <c r="B80" s="1" t="s">
        <v>1080</v>
      </c>
    </row>
    <row r="81" spans="1:2" x14ac:dyDescent="0.25">
      <c r="A81" s="1" t="s">
        <v>966</v>
      </c>
      <c r="B81" s="1" t="s">
        <v>1080</v>
      </c>
    </row>
    <row r="82" spans="1:2" x14ac:dyDescent="0.25">
      <c r="A82" s="1" t="s">
        <v>989</v>
      </c>
      <c r="B82" s="1" t="s">
        <v>1080</v>
      </c>
    </row>
    <row r="83" spans="1:2" x14ac:dyDescent="0.25">
      <c r="A83" s="1" t="s">
        <v>953</v>
      </c>
      <c r="B83" s="1" t="s">
        <v>1080</v>
      </c>
    </row>
    <row r="84" spans="1:2" x14ac:dyDescent="0.25">
      <c r="A84" s="1" t="s">
        <v>967</v>
      </c>
      <c r="B84" s="1" t="s">
        <v>1080</v>
      </c>
    </row>
    <row r="85" spans="1:2" x14ac:dyDescent="0.25">
      <c r="A85" s="1" t="s">
        <v>945</v>
      </c>
      <c r="B85" s="1" t="s">
        <v>1080</v>
      </c>
    </row>
    <row r="86" spans="1:2" x14ac:dyDescent="0.25">
      <c r="A86" s="1" t="s">
        <v>956</v>
      </c>
      <c r="B86" s="1" t="s">
        <v>1080</v>
      </c>
    </row>
    <row r="87" spans="1:2" x14ac:dyDescent="0.25">
      <c r="A87" s="1" t="s">
        <v>948</v>
      </c>
      <c r="B87" s="1" t="s">
        <v>1080</v>
      </c>
    </row>
    <row r="88" spans="1:2" x14ac:dyDescent="0.25">
      <c r="A88" s="1" t="s">
        <v>991</v>
      </c>
      <c r="B88" s="1" t="s">
        <v>1080</v>
      </c>
    </row>
    <row r="89" spans="1:2" x14ac:dyDescent="0.25">
      <c r="A89" s="1" t="s">
        <v>1134</v>
      </c>
      <c r="B89" s="1" t="s">
        <v>1134</v>
      </c>
    </row>
    <row r="90" spans="1:2" x14ac:dyDescent="0.25">
      <c r="A90" s="1" t="s">
        <v>389</v>
      </c>
      <c r="B90" s="1" t="s">
        <v>1104</v>
      </c>
    </row>
    <row r="91" spans="1:2" x14ac:dyDescent="0.25">
      <c r="A91" s="1" t="s">
        <v>53</v>
      </c>
      <c r="B91" s="1" t="s">
        <v>1079</v>
      </c>
    </row>
    <row r="92" spans="1:2" x14ac:dyDescent="0.25">
      <c r="A92" s="1" t="s">
        <v>34</v>
      </c>
      <c r="B92" s="1" t="s">
        <v>1079</v>
      </c>
    </row>
    <row r="93" spans="1:2" x14ac:dyDescent="0.25">
      <c r="A93" s="1" t="s">
        <v>63</v>
      </c>
      <c r="B93" s="1" t="s">
        <v>1079</v>
      </c>
    </row>
    <row r="94" spans="1:2" x14ac:dyDescent="0.25">
      <c r="A94" s="1" t="s">
        <v>63</v>
      </c>
      <c r="B94" s="1" t="s">
        <v>1079</v>
      </c>
    </row>
    <row r="95" spans="1:2" x14ac:dyDescent="0.25">
      <c r="A95" s="1" t="s">
        <v>44</v>
      </c>
      <c r="B95" s="1" t="s">
        <v>1079</v>
      </c>
    </row>
    <row r="96" spans="1:2" x14ac:dyDescent="0.25">
      <c r="A96" s="1" t="s">
        <v>333</v>
      </c>
      <c r="B96" s="1" t="s">
        <v>333</v>
      </c>
    </row>
    <row r="97" spans="1:2" x14ac:dyDescent="0.25">
      <c r="A97" s="1" t="s">
        <v>42</v>
      </c>
      <c r="B97" s="1" t="s">
        <v>1091</v>
      </c>
    </row>
    <row r="98" spans="1:2" x14ac:dyDescent="0.25">
      <c r="A98" s="1" t="s">
        <v>9</v>
      </c>
      <c r="B98" s="1" t="s">
        <v>1091</v>
      </c>
    </row>
    <row r="99" spans="1:2" x14ac:dyDescent="0.25">
      <c r="A99" s="1" t="s">
        <v>1461</v>
      </c>
      <c r="B99" s="1" t="s">
        <v>1129</v>
      </c>
    </row>
    <row r="100" spans="1:2" x14ac:dyDescent="0.25">
      <c r="A100" s="1" t="s">
        <v>1403</v>
      </c>
      <c r="B100" s="1" t="s">
        <v>1129</v>
      </c>
    </row>
    <row r="101" spans="1:2" x14ac:dyDescent="0.25">
      <c r="A101" s="1" t="s">
        <v>1399</v>
      </c>
      <c r="B101" s="1" t="s">
        <v>1129</v>
      </c>
    </row>
    <row r="102" spans="1:2" x14ac:dyDescent="0.25">
      <c r="A102" s="1" t="s">
        <v>1397</v>
      </c>
      <c r="B102" s="1" t="s">
        <v>1129</v>
      </c>
    </row>
    <row r="103" spans="1:2" x14ac:dyDescent="0.25">
      <c r="A103" s="1" t="s">
        <v>1398</v>
      </c>
      <c r="B103" s="1" t="s">
        <v>1129</v>
      </c>
    </row>
    <row r="104" spans="1:2" x14ac:dyDescent="0.25">
      <c r="A104" s="1" t="s">
        <v>1418</v>
      </c>
      <c r="B104" s="1" t="s">
        <v>1129</v>
      </c>
    </row>
    <row r="105" spans="1:2" x14ac:dyDescent="0.25">
      <c r="A105" s="1" t="s">
        <v>1441</v>
      </c>
      <c r="B105" s="1" t="s">
        <v>1129</v>
      </c>
    </row>
    <row r="106" spans="1:2" x14ac:dyDescent="0.25">
      <c r="A106" s="1" t="s">
        <v>1458</v>
      </c>
      <c r="B106" s="1" t="s">
        <v>1129</v>
      </c>
    </row>
    <row r="107" spans="1:2" x14ac:dyDescent="0.25">
      <c r="A107" s="1" t="s">
        <v>1456</v>
      </c>
      <c r="B107" s="1" t="s">
        <v>1129</v>
      </c>
    </row>
    <row r="108" spans="1:2" x14ac:dyDescent="0.25">
      <c r="A108" s="1" t="s">
        <v>546</v>
      </c>
      <c r="B108" s="1" t="s">
        <v>827</v>
      </c>
    </row>
    <row r="109" spans="1:2" x14ac:dyDescent="0.25">
      <c r="A109" s="1" t="s">
        <v>1487</v>
      </c>
      <c r="B109" s="1" t="s">
        <v>827</v>
      </c>
    </row>
    <row r="110" spans="1:2" x14ac:dyDescent="0.25">
      <c r="A110" s="1" t="s">
        <v>1019</v>
      </c>
      <c r="B110" s="1" t="s">
        <v>827</v>
      </c>
    </row>
    <row r="111" spans="1:2" x14ac:dyDescent="0.25">
      <c r="A111" s="1" t="s">
        <v>913</v>
      </c>
      <c r="B111" s="1" t="s">
        <v>827</v>
      </c>
    </row>
    <row r="112" spans="1:2" x14ac:dyDescent="0.25">
      <c r="A112" s="1" t="s">
        <v>955</v>
      </c>
      <c r="B112" s="1" t="s">
        <v>827</v>
      </c>
    </row>
    <row r="113" spans="1:2" x14ac:dyDescent="0.25">
      <c r="A113" s="1" t="s">
        <v>65</v>
      </c>
      <c r="B113" s="1" t="s">
        <v>827</v>
      </c>
    </row>
    <row r="114" spans="1:2" x14ac:dyDescent="0.25">
      <c r="A114" s="1" t="s">
        <v>1412</v>
      </c>
      <c r="B114" s="1" t="s">
        <v>1125</v>
      </c>
    </row>
    <row r="115" spans="1:2" x14ac:dyDescent="0.25">
      <c r="A115" s="1" t="s">
        <v>18</v>
      </c>
      <c r="B115" s="1" t="s">
        <v>1116</v>
      </c>
    </row>
    <row r="116" spans="1:2" x14ac:dyDescent="0.25">
      <c r="A116" s="1" t="s">
        <v>920</v>
      </c>
      <c r="B116" s="1" t="s">
        <v>1116</v>
      </c>
    </row>
    <row r="117" spans="1:2" x14ac:dyDescent="0.25">
      <c r="A117" s="1" t="s">
        <v>61</v>
      </c>
      <c r="B117" s="1" t="s">
        <v>1121</v>
      </c>
    </row>
    <row r="118" spans="1:2" x14ac:dyDescent="0.25">
      <c r="A118" s="1" t="s">
        <v>379</v>
      </c>
      <c r="B118" s="1" t="s">
        <v>1121</v>
      </c>
    </row>
    <row r="119" spans="1:2" x14ac:dyDescent="0.25">
      <c r="A119" s="1" t="s">
        <v>376</v>
      </c>
      <c r="B119" s="1" t="s">
        <v>1121</v>
      </c>
    </row>
    <row r="120" spans="1:2" x14ac:dyDescent="0.25">
      <c r="A120" s="1" t="s">
        <v>51</v>
      </c>
      <c r="B120" s="1" t="s">
        <v>1128</v>
      </c>
    </row>
    <row r="121" spans="1:2" x14ac:dyDescent="0.25">
      <c r="A121" s="1" t="s">
        <v>372</v>
      </c>
      <c r="B121" s="1" t="s">
        <v>1128</v>
      </c>
    </row>
    <row r="122" spans="1:2" x14ac:dyDescent="0.25">
      <c r="A122" s="1" t="s">
        <v>58</v>
      </c>
      <c r="B122" s="1" t="s">
        <v>1128</v>
      </c>
    </row>
    <row r="123" spans="1:2" x14ac:dyDescent="0.25">
      <c r="A123" s="1" t="s">
        <v>147</v>
      </c>
      <c r="B123" s="1" t="s">
        <v>1128</v>
      </c>
    </row>
    <row r="124" spans="1:2" x14ac:dyDescent="0.25">
      <c r="A124" s="1" t="s">
        <v>1434</v>
      </c>
      <c r="B124" s="1" t="s">
        <v>1128</v>
      </c>
    </row>
    <row r="125" spans="1:2" x14ac:dyDescent="0.25">
      <c r="A125" s="1" t="s">
        <v>1453</v>
      </c>
      <c r="B125" s="1" t="s">
        <v>1128</v>
      </c>
    </row>
    <row r="126" spans="1:2" x14ac:dyDescent="0.25">
      <c r="A126" s="1" t="s">
        <v>1444</v>
      </c>
      <c r="B126" s="1" t="s">
        <v>1128</v>
      </c>
    </row>
    <row r="127" spans="1:2" x14ac:dyDescent="0.25">
      <c r="A127" s="1" t="s">
        <v>1448</v>
      </c>
      <c r="B127" s="1" t="s">
        <v>1128</v>
      </c>
    </row>
    <row r="128" spans="1:2" x14ac:dyDescent="0.25">
      <c r="A128" s="1" t="s">
        <v>1451</v>
      </c>
      <c r="B128" s="1" t="s">
        <v>1128</v>
      </c>
    </row>
    <row r="129" spans="1:2" x14ac:dyDescent="0.25">
      <c r="A129" s="216" t="s">
        <v>346</v>
      </c>
      <c r="B129" s="1" t="s">
        <v>1128</v>
      </c>
    </row>
    <row r="130" spans="1:2" x14ac:dyDescent="0.25">
      <c r="A130" s="1" t="s">
        <v>349</v>
      </c>
      <c r="B130" s="1" t="s">
        <v>1123</v>
      </c>
    </row>
    <row r="131" spans="1:2" x14ac:dyDescent="0.25">
      <c r="A131" s="1" t="s">
        <v>377</v>
      </c>
      <c r="B131" s="1" t="s">
        <v>1123</v>
      </c>
    </row>
    <row r="132" spans="1:2" x14ac:dyDescent="0.25">
      <c r="A132" s="1" t="s">
        <v>56</v>
      </c>
      <c r="B132" s="1" t="s">
        <v>840</v>
      </c>
    </row>
    <row r="133" spans="1:2" x14ac:dyDescent="0.25">
      <c r="A133" s="1" t="s">
        <v>351</v>
      </c>
      <c r="B133" s="1" t="s">
        <v>840</v>
      </c>
    </row>
    <row r="134" spans="1:2" x14ac:dyDescent="0.25">
      <c r="A134" s="1" t="s">
        <v>1394</v>
      </c>
      <c r="B134" s="1" t="s">
        <v>1077</v>
      </c>
    </row>
  </sheetData>
  <autoFilter ref="A1:B133" xr:uid="{00000000-0009-0000-0000-000004000000}">
    <sortState xmlns:xlrd2="http://schemas.microsoft.com/office/spreadsheetml/2017/richdata2" ref="A2:B135">
      <sortCondition ref="B1:B134"/>
    </sortState>
  </autoFilter>
  <sortState xmlns:xlrd2="http://schemas.microsoft.com/office/spreadsheetml/2017/richdata2" ref="A2:B91">
    <sortCondition ref="A2:A91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2:E28"/>
  <sheetViews>
    <sheetView zoomScaleNormal="100" zoomScaleSheetLayoutView="100" workbookViewId="0">
      <selection activeCell="D25" sqref="D25"/>
    </sheetView>
  </sheetViews>
  <sheetFormatPr defaultColWidth="8.9140625" defaultRowHeight="16.5" customHeight="1" x14ac:dyDescent="0.25"/>
  <cols>
    <col min="1" max="1" width="29.5" style="11" customWidth="1"/>
    <col min="2" max="2" width="35.9140625" style="11" bestFit="1" customWidth="1"/>
    <col min="3" max="3" width="22.6640625" style="11" bestFit="1" customWidth="1"/>
    <col min="4" max="4" width="12.4140625" style="11" bestFit="1" customWidth="1"/>
    <col min="5" max="5" width="35.33203125" style="11" bestFit="1" customWidth="1"/>
    <col min="6" max="16384" width="8.9140625" style="11"/>
  </cols>
  <sheetData>
    <row r="2" spans="1:5" ht="16.5" customHeight="1" x14ac:dyDescent="0.25">
      <c r="B2" s="1" t="s">
        <v>340</v>
      </c>
      <c r="C2" s="11" t="s">
        <v>352</v>
      </c>
      <c r="D2" s="1" t="s">
        <v>272</v>
      </c>
      <c r="E2" s="1"/>
    </row>
    <row r="3" spans="1:5" ht="16.5" customHeight="1" x14ac:dyDescent="0.25">
      <c r="A3" s="11" t="s">
        <v>1302</v>
      </c>
      <c r="B3" s="226" t="s">
        <v>1807</v>
      </c>
      <c r="C3" s="11" t="s">
        <v>1385</v>
      </c>
      <c r="D3" s="11" t="s">
        <v>636</v>
      </c>
    </row>
    <row r="4" spans="1:5" ht="16.5" customHeight="1" x14ac:dyDescent="0.25">
      <c r="A4" s="11" t="s">
        <v>1767</v>
      </c>
      <c r="B4" s="226" t="s">
        <v>1568</v>
      </c>
      <c r="C4" s="11" t="s">
        <v>1098</v>
      </c>
      <c r="D4" s="11" t="s">
        <v>1766</v>
      </c>
    </row>
    <row r="5" spans="1:5" ht="16.5" customHeight="1" x14ac:dyDescent="0.25">
      <c r="A5" s="11" t="s">
        <v>1698</v>
      </c>
      <c r="B5" s="11" t="s">
        <v>1593</v>
      </c>
      <c r="C5" s="11" t="s">
        <v>622</v>
      </c>
      <c r="D5" s="11" t="s">
        <v>1718</v>
      </c>
    </row>
    <row r="6" spans="1:5" ht="16.5" customHeight="1" x14ac:dyDescent="0.25">
      <c r="A6" s="11" t="s">
        <v>628</v>
      </c>
      <c r="B6" s="11" t="s">
        <v>576</v>
      </c>
      <c r="C6" s="11" t="s">
        <v>1533</v>
      </c>
      <c r="D6" s="11" t="s">
        <v>1375</v>
      </c>
      <c r="E6" s="11" t="s">
        <v>1765</v>
      </c>
    </row>
    <row r="7" spans="1:5" ht="16.5" customHeight="1" x14ac:dyDescent="0.25">
      <c r="A7" s="342" t="s">
        <v>1301</v>
      </c>
      <c r="B7" s="11" t="s">
        <v>1606</v>
      </c>
      <c r="C7" s="11" t="s">
        <v>627</v>
      </c>
      <c r="D7" s="11" t="s">
        <v>636</v>
      </c>
    </row>
    <row r="8" spans="1:5" ht="16.5" customHeight="1" x14ac:dyDescent="0.25">
      <c r="A8" s="342"/>
      <c r="C8" s="11" t="s">
        <v>22</v>
      </c>
      <c r="D8" s="11" t="s">
        <v>636</v>
      </c>
    </row>
    <row r="9" spans="1:5" ht="16.5" customHeight="1" x14ac:dyDescent="0.25">
      <c r="A9" s="11" t="s">
        <v>638</v>
      </c>
      <c r="B9" s="11" t="s">
        <v>1542</v>
      </c>
      <c r="C9" s="11" t="s">
        <v>1382</v>
      </c>
      <c r="D9" s="11" t="s">
        <v>1372</v>
      </c>
    </row>
    <row r="10" spans="1:5" ht="16.5" customHeight="1" x14ac:dyDescent="0.25">
      <c r="A10" s="11" t="s">
        <v>1321</v>
      </c>
      <c r="B10" s="11" t="s">
        <v>696</v>
      </c>
      <c r="C10" s="11" t="s">
        <v>1678</v>
      </c>
      <c r="D10" s="11" t="s">
        <v>633</v>
      </c>
    </row>
    <row r="11" spans="1:5" ht="16.5" customHeight="1" x14ac:dyDescent="0.25">
      <c r="A11" s="11" t="s">
        <v>1601</v>
      </c>
      <c r="B11" s="11" t="s">
        <v>584</v>
      </c>
      <c r="C11" s="11" t="s">
        <v>1687</v>
      </c>
      <c r="D11" s="11" t="s">
        <v>633</v>
      </c>
    </row>
    <row r="12" spans="1:5" ht="16.5" customHeight="1" x14ac:dyDescent="0.25">
      <c r="A12" s="11" t="s">
        <v>1342</v>
      </c>
      <c r="C12" s="11" t="s">
        <v>1551</v>
      </c>
      <c r="D12" s="11" t="s">
        <v>630</v>
      </c>
    </row>
    <row r="13" spans="1:5" ht="16.5" customHeight="1" x14ac:dyDescent="0.25">
      <c r="A13" s="317" t="s">
        <v>1802</v>
      </c>
      <c r="B13" s="317" t="s">
        <v>692</v>
      </c>
      <c r="C13" s="317" t="s">
        <v>1119</v>
      </c>
      <c r="D13" s="317" t="s">
        <v>636</v>
      </c>
    </row>
    <row r="14" spans="1:5" ht="16.5" customHeight="1" x14ac:dyDescent="0.25">
      <c r="A14" s="11" t="s">
        <v>1318</v>
      </c>
      <c r="C14" s="11" t="s">
        <v>1598</v>
      </c>
      <c r="D14" s="11" t="s">
        <v>633</v>
      </c>
    </row>
    <row r="15" spans="1:5" ht="16.5" customHeight="1" x14ac:dyDescent="0.25">
      <c r="A15" s="11" t="s">
        <v>632</v>
      </c>
      <c r="C15" s="11" t="s">
        <v>1278</v>
      </c>
      <c r="D15" s="11" t="s">
        <v>626</v>
      </c>
    </row>
    <row r="16" spans="1:5" ht="16.5" customHeight="1" x14ac:dyDescent="0.25">
      <c r="A16" s="11" t="s">
        <v>654</v>
      </c>
      <c r="C16" s="11" t="s">
        <v>1278</v>
      </c>
      <c r="D16" s="11" t="s">
        <v>640</v>
      </c>
      <c r="E16" s="11" t="s">
        <v>1538</v>
      </c>
    </row>
    <row r="17" spans="1:5" ht="16.5" customHeight="1" x14ac:dyDescent="0.25">
      <c r="A17" s="11" t="s">
        <v>631</v>
      </c>
      <c r="C17" s="11" t="s">
        <v>639</v>
      </c>
      <c r="D17" s="11" t="s">
        <v>1117</v>
      </c>
      <c r="E17" s="11" t="s">
        <v>1550</v>
      </c>
    </row>
    <row r="18" spans="1:5" ht="16.5" customHeight="1" x14ac:dyDescent="0.25">
      <c r="A18" s="11" t="s">
        <v>629</v>
      </c>
      <c r="C18" s="11" t="s">
        <v>1609</v>
      </c>
      <c r="D18" s="11" t="s">
        <v>633</v>
      </c>
    </row>
    <row r="19" spans="1:5" ht="16.5" customHeight="1" x14ac:dyDescent="0.25">
      <c r="A19" s="11" t="s">
        <v>1679</v>
      </c>
      <c r="B19" s="226" t="s">
        <v>1573</v>
      </c>
      <c r="C19" s="11" t="s">
        <v>845</v>
      </c>
      <c r="D19" s="11" t="s">
        <v>636</v>
      </c>
    </row>
    <row r="20" spans="1:5" ht="16.5" customHeight="1" x14ac:dyDescent="0.25">
      <c r="A20" s="11" t="s">
        <v>1306</v>
      </c>
      <c r="B20" s="226" t="s">
        <v>1579</v>
      </c>
      <c r="C20" s="11" t="s">
        <v>845</v>
      </c>
      <c r="D20" s="11" t="s">
        <v>636</v>
      </c>
    </row>
    <row r="21" spans="1:5" ht="16.5" customHeight="1" x14ac:dyDescent="0.25">
      <c r="B21" s="11" t="s">
        <v>0</v>
      </c>
      <c r="C21" s="11" t="s">
        <v>845</v>
      </c>
      <c r="D21" s="11" t="s">
        <v>1391</v>
      </c>
    </row>
    <row r="22" spans="1:5" ht="16.5" customHeight="1" x14ac:dyDescent="0.25">
      <c r="A22" s="11" t="s">
        <v>1286</v>
      </c>
      <c r="B22" s="226" t="s">
        <v>1809</v>
      </c>
      <c r="C22" s="11" t="s">
        <v>1392</v>
      </c>
      <c r="D22" s="11" t="s">
        <v>636</v>
      </c>
    </row>
    <row r="23" spans="1:5" ht="16.5" customHeight="1" x14ac:dyDescent="0.25">
      <c r="A23" s="11" t="s">
        <v>410</v>
      </c>
      <c r="B23" s="226" t="s">
        <v>591</v>
      </c>
      <c r="E23" s="11" t="s">
        <v>566</v>
      </c>
    </row>
    <row r="24" spans="1:5" ht="16.5" customHeight="1" x14ac:dyDescent="0.25">
      <c r="A24" s="11" t="s">
        <v>409</v>
      </c>
      <c r="B24" s="226" t="s">
        <v>1632</v>
      </c>
    </row>
    <row r="25" spans="1:5" ht="16.5" customHeight="1" x14ac:dyDescent="0.25">
      <c r="B25" s="226"/>
    </row>
    <row r="26" spans="1:5" ht="16.5" customHeight="1" x14ac:dyDescent="0.25">
      <c r="A26" s="318" t="s">
        <v>1803</v>
      </c>
      <c r="B26" s="319"/>
      <c r="C26" s="319"/>
      <c r="D26" s="319"/>
      <c r="E26" s="320" t="s">
        <v>1389</v>
      </c>
    </row>
    <row r="27" spans="1:5" ht="16.5" customHeight="1" x14ac:dyDescent="0.25">
      <c r="A27" s="140" t="s">
        <v>861</v>
      </c>
      <c r="B27" s="11" t="s">
        <v>1611</v>
      </c>
      <c r="E27" s="143" t="s">
        <v>590</v>
      </c>
    </row>
    <row r="28" spans="1:5" ht="16.5" customHeight="1" x14ac:dyDescent="0.25">
      <c r="A28" s="74"/>
      <c r="B28" s="75"/>
      <c r="C28" s="75"/>
      <c r="D28" s="75"/>
      <c r="E28" s="76" t="s">
        <v>1808</v>
      </c>
    </row>
  </sheetData>
  <mergeCells count="1">
    <mergeCell ref="A7:A8"/>
  </mergeCells>
  <phoneticPr fontId="28" type="noConversion"/>
  <hyperlinks>
    <hyperlink ref="B4" r:id="rId1" xr:uid="{00000000-0004-0000-0500-000000000000}"/>
    <hyperlink ref="B3" r:id="rId2" xr:uid="{00000000-0004-0000-0500-000001000000}"/>
    <hyperlink ref="B20" r:id="rId3" xr:uid="{00000000-0004-0000-0500-000002000000}"/>
    <hyperlink ref="B22" r:id="rId4" xr:uid="{00000000-0004-0000-0500-000003000000}"/>
    <hyperlink ref="B19" r:id="rId5" xr:uid="{00000000-0004-0000-0500-000004000000}"/>
    <hyperlink ref="B23" r:id="rId6" xr:uid="{00000000-0004-0000-0500-000005000000}"/>
    <hyperlink ref="B24" r:id="rId7" xr:uid="{00000000-0004-0000-0500-000006000000}"/>
  </hyperlinks>
  <pageMargins left="0.69972223043441772" right="0.69972223043441772" top="0.75" bottom="0.75" header="0.30000001192092896" footer="0.300000011920928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63"/>
  <sheetViews>
    <sheetView zoomScaleNormal="100" zoomScaleSheetLayoutView="100" workbookViewId="0">
      <selection activeCell="D9" sqref="D9"/>
    </sheetView>
  </sheetViews>
  <sheetFormatPr defaultColWidth="8.9140625" defaultRowHeight="13.5" customHeight="1" x14ac:dyDescent="0.25"/>
  <cols>
    <col min="1" max="1" width="10.4140625" style="1" customWidth="1"/>
    <col min="2" max="2" width="7.4140625" style="1" customWidth="1"/>
    <col min="3" max="3" width="13.6640625" style="1" bestFit="1" customWidth="1"/>
    <col min="4" max="4" width="8.9140625" style="1"/>
    <col min="5" max="5" width="27.83203125" style="1" bestFit="1" customWidth="1"/>
    <col min="6" max="7" width="14.33203125" style="1" customWidth="1"/>
    <col min="8" max="8" width="32.6640625" style="1" customWidth="1"/>
    <col min="9" max="9" width="9.4140625" style="1" bestFit="1" customWidth="1"/>
    <col min="10" max="10" width="25.83203125" style="1" bestFit="1" customWidth="1"/>
    <col min="11" max="11" width="16.9140625" style="1" bestFit="1" customWidth="1"/>
    <col min="12" max="12" width="9.08203125" style="1" bestFit="1" customWidth="1"/>
    <col min="13" max="13" width="14.58203125" style="1" bestFit="1" customWidth="1"/>
    <col min="14" max="16384" width="8.9140625" style="1"/>
  </cols>
  <sheetData>
    <row r="1" spans="1:9" ht="13.5" customHeight="1" x14ac:dyDescent="0.25">
      <c r="B1" s="343" t="s">
        <v>121</v>
      </c>
      <c r="C1" s="343" t="s">
        <v>316</v>
      </c>
      <c r="D1" s="343" t="s">
        <v>294</v>
      </c>
      <c r="E1" s="343" t="s">
        <v>107</v>
      </c>
      <c r="F1" s="343" t="s">
        <v>1076</v>
      </c>
      <c r="G1" s="343"/>
      <c r="H1" s="343" t="s">
        <v>1100</v>
      </c>
      <c r="I1" s="343" t="s">
        <v>1192</v>
      </c>
    </row>
    <row r="2" spans="1:9" ht="13.5" customHeight="1" x14ac:dyDescent="0.25">
      <c r="A2" s="183" t="s">
        <v>329</v>
      </c>
      <c r="B2" s="343"/>
      <c r="C2" s="343"/>
      <c r="D2" s="343"/>
      <c r="E2" s="343"/>
      <c r="F2" s="2" t="s">
        <v>352</v>
      </c>
      <c r="G2" s="2" t="s">
        <v>272</v>
      </c>
      <c r="H2" s="343"/>
      <c r="I2" s="343"/>
    </row>
    <row r="3" spans="1:9" ht="13.5" customHeight="1" x14ac:dyDescent="0.25">
      <c r="A3" s="30" t="s">
        <v>602</v>
      </c>
      <c r="B3" s="111">
        <v>18</v>
      </c>
      <c r="C3" s="145"/>
      <c r="D3" s="111"/>
      <c r="E3" s="146" t="s">
        <v>1122</v>
      </c>
    </row>
    <row r="4" spans="1:9" ht="13.5" customHeight="1" x14ac:dyDescent="0.25">
      <c r="A4" s="30"/>
      <c r="B4" s="111">
        <v>19</v>
      </c>
      <c r="C4" s="145"/>
      <c r="D4" s="111"/>
      <c r="E4" s="146" t="s">
        <v>1113</v>
      </c>
    </row>
    <row r="5" spans="1:9" ht="13.5" customHeight="1" x14ac:dyDescent="0.25">
      <c r="A5" s="30"/>
      <c r="B5" s="111">
        <v>20</v>
      </c>
      <c r="C5" s="145"/>
      <c r="D5" s="111"/>
      <c r="E5" s="146" t="s">
        <v>1124</v>
      </c>
    </row>
    <row r="6" spans="1:9" ht="13.5" customHeight="1" x14ac:dyDescent="0.25">
      <c r="A6" s="30"/>
      <c r="B6" s="111">
        <v>21</v>
      </c>
      <c r="C6" s="145"/>
      <c r="D6" s="111"/>
      <c r="E6" s="146"/>
    </row>
    <row r="7" spans="1:9" ht="13.5" customHeight="1" x14ac:dyDescent="0.25">
      <c r="A7" s="30"/>
      <c r="B7" s="5">
        <v>22</v>
      </c>
      <c r="C7" s="6"/>
      <c r="D7" s="5"/>
      <c r="E7" s="37" t="s">
        <v>1602</v>
      </c>
    </row>
    <row r="8" spans="1:9" ht="13.5" customHeight="1" x14ac:dyDescent="0.25">
      <c r="A8" s="30"/>
      <c r="B8" s="5">
        <v>23</v>
      </c>
      <c r="C8" s="6" t="s">
        <v>1131</v>
      </c>
      <c r="D8" s="5" t="s">
        <v>339</v>
      </c>
      <c r="E8" s="37" t="s">
        <v>1614</v>
      </c>
      <c r="F8" s="1" t="s">
        <v>1064</v>
      </c>
      <c r="G8" s="1" t="s">
        <v>1064</v>
      </c>
      <c r="H8" s="71" t="s">
        <v>1324</v>
      </c>
      <c r="I8" s="71" t="s">
        <v>646</v>
      </c>
    </row>
    <row r="9" spans="1:9" ht="13.5" customHeight="1" x14ac:dyDescent="0.25">
      <c r="A9" s="30"/>
      <c r="B9" s="5">
        <v>24</v>
      </c>
      <c r="C9" s="6" t="s">
        <v>191</v>
      </c>
      <c r="D9" s="5" t="s">
        <v>326</v>
      </c>
      <c r="E9" s="37" t="s">
        <v>1537</v>
      </c>
      <c r="H9" s="71" t="s">
        <v>1344</v>
      </c>
      <c r="I9" s="71" t="s">
        <v>653</v>
      </c>
    </row>
    <row r="10" spans="1:9" ht="13.5" customHeight="1" x14ac:dyDescent="0.25">
      <c r="A10" s="30"/>
      <c r="B10" s="7">
        <v>25</v>
      </c>
      <c r="C10" s="8" t="s">
        <v>191</v>
      </c>
      <c r="D10" s="7" t="s">
        <v>326</v>
      </c>
      <c r="E10" s="38" t="s">
        <v>1619</v>
      </c>
      <c r="F10" s="1" t="s">
        <v>1064</v>
      </c>
      <c r="G10" s="1" t="s">
        <v>1064</v>
      </c>
      <c r="H10" s="71"/>
      <c r="I10" s="71"/>
    </row>
    <row r="11" spans="1:9" ht="13.5" customHeight="1" x14ac:dyDescent="0.25">
      <c r="A11" s="30"/>
      <c r="B11" s="4">
        <v>26</v>
      </c>
      <c r="C11" s="3" t="s">
        <v>191</v>
      </c>
      <c r="D11" s="4" t="s">
        <v>326</v>
      </c>
      <c r="E11" s="68" t="s">
        <v>1323</v>
      </c>
      <c r="F11" s="178"/>
      <c r="G11" s="178"/>
      <c r="H11" s="71" t="s">
        <v>1322</v>
      </c>
      <c r="I11" s="71" t="s">
        <v>642</v>
      </c>
    </row>
    <row r="12" spans="1:9" ht="13.5" customHeight="1" x14ac:dyDescent="0.25">
      <c r="A12" s="30"/>
      <c r="B12" s="5">
        <v>27</v>
      </c>
      <c r="C12" s="6" t="s">
        <v>1131</v>
      </c>
      <c r="D12" s="5" t="s">
        <v>339</v>
      </c>
      <c r="E12" s="37" t="s">
        <v>1590</v>
      </c>
    </row>
    <row r="13" spans="1:9" ht="13.5" customHeight="1" x14ac:dyDescent="0.25">
      <c r="A13" s="30"/>
      <c r="B13" s="102">
        <v>28</v>
      </c>
      <c r="C13" s="6" t="s">
        <v>1104</v>
      </c>
      <c r="D13" s="5" t="s">
        <v>326</v>
      </c>
      <c r="E13" s="37" t="s">
        <v>1319</v>
      </c>
      <c r="F13" s="1" t="s">
        <v>1064</v>
      </c>
      <c r="G13" s="1" t="s">
        <v>1064</v>
      </c>
      <c r="I13" s="1" t="s">
        <v>641</v>
      </c>
    </row>
    <row r="14" spans="1:9" ht="13.5" customHeight="1" x14ac:dyDescent="0.25">
      <c r="A14" s="30"/>
      <c r="B14" s="5">
        <v>29</v>
      </c>
      <c r="C14" s="6"/>
      <c r="D14" s="5"/>
      <c r="E14" s="37"/>
    </row>
    <row r="15" spans="1:9" ht="13.5" customHeight="1" x14ac:dyDescent="0.25">
      <c r="A15" s="30"/>
      <c r="B15" s="7">
        <v>30</v>
      </c>
      <c r="C15" s="8"/>
      <c r="D15" s="7"/>
      <c r="E15" s="38"/>
    </row>
    <row r="16" spans="1:9" ht="13.5" customHeight="1" x14ac:dyDescent="0.25">
      <c r="A16" s="30"/>
      <c r="B16" s="4">
        <v>31</v>
      </c>
      <c r="C16" s="3" t="s">
        <v>1111</v>
      </c>
      <c r="D16" s="4" t="s">
        <v>326</v>
      </c>
      <c r="E16" s="36" t="s">
        <v>1317</v>
      </c>
      <c r="H16" s="1" t="s">
        <v>1326</v>
      </c>
      <c r="I16" s="1" t="s">
        <v>644</v>
      </c>
    </row>
    <row r="17" spans="1:10" ht="13.5" customHeight="1" x14ac:dyDescent="0.25">
      <c r="A17" s="30"/>
      <c r="B17" s="102">
        <v>32</v>
      </c>
      <c r="C17" s="6" t="s">
        <v>1121</v>
      </c>
      <c r="D17" s="5" t="s">
        <v>339</v>
      </c>
      <c r="E17" s="37" t="s">
        <v>1315</v>
      </c>
    </row>
    <row r="18" spans="1:10" ht="13.5" customHeight="1" x14ac:dyDescent="0.25">
      <c r="A18" s="30"/>
      <c r="B18" s="5">
        <v>33</v>
      </c>
      <c r="C18" s="6"/>
      <c r="D18" s="5"/>
      <c r="E18" s="37"/>
    </row>
    <row r="19" spans="1:10" ht="13.5" customHeight="1" x14ac:dyDescent="0.25">
      <c r="A19" s="30"/>
      <c r="B19" s="5">
        <v>34</v>
      </c>
      <c r="C19" s="6" t="s">
        <v>1121</v>
      </c>
      <c r="D19" s="5" t="s">
        <v>326</v>
      </c>
      <c r="E19" s="37" t="s">
        <v>1619</v>
      </c>
      <c r="F19" s="1" t="s">
        <v>1064</v>
      </c>
      <c r="G19" s="1" t="s">
        <v>1064</v>
      </c>
    </row>
    <row r="20" spans="1:10" ht="13.5" customHeight="1" x14ac:dyDescent="0.25">
      <c r="A20" s="30"/>
      <c r="B20" s="7">
        <v>35</v>
      </c>
      <c r="C20" s="8" t="s">
        <v>1135</v>
      </c>
      <c r="D20" s="7" t="s">
        <v>339</v>
      </c>
      <c r="E20" s="38" t="s">
        <v>1597</v>
      </c>
      <c r="F20" s="1">
        <v>7654321</v>
      </c>
      <c r="G20" s="1">
        <v>7654321</v>
      </c>
      <c r="I20" s="1" t="s">
        <v>647</v>
      </c>
    </row>
    <row r="21" spans="1:10" ht="13.5" customHeight="1" x14ac:dyDescent="0.25">
      <c r="A21" s="30"/>
      <c r="B21" s="4">
        <v>36</v>
      </c>
      <c r="C21" s="3" t="s">
        <v>1135</v>
      </c>
      <c r="D21" s="4" t="s">
        <v>111</v>
      </c>
      <c r="E21" s="36" t="s">
        <v>695</v>
      </c>
      <c r="H21" s="1" t="s">
        <v>1305</v>
      </c>
      <c r="I21" s="1" t="s">
        <v>655</v>
      </c>
    </row>
    <row r="22" spans="1:10" ht="13.25" customHeight="1" x14ac:dyDescent="0.25">
      <c r="A22" s="30"/>
      <c r="B22" s="5">
        <v>37</v>
      </c>
      <c r="C22" s="6" t="s">
        <v>342</v>
      </c>
      <c r="D22" s="5" t="s">
        <v>326</v>
      </c>
      <c r="E22" s="57" t="s">
        <v>1707</v>
      </c>
      <c r="F22" s="1" t="s">
        <v>1064</v>
      </c>
      <c r="G22" s="1" t="s">
        <v>1064</v>
      </c>
    </row>
    <row r="23" spans="1:10" ht="13.5" customHeight="1" x14ac:dyDescent="0.25">
      <c r="A23" s="30"/>
      <c r="B23" s="5">
        <v>38</v>
      </c>
      <c r="C23" s="279" t="s">
        <v>342</v>
      </c>
      <c r="D23" s="280" t="s">
        <v>326</v>
      </c>
      <c r="E23" s="281" t="s">
        <v>1784</v>
      </c>
      <c r="F23" s="282"/>
      <c r="G23" s="282"/>
      <c r="H23" s="282"/>
      <c r="I23" s="282" t="s">
        <v>1785</v>
      </c>
    </row>
    <row r="24" spans="1:10" ht="13.5" customHeight="1" x14ac:dyDescent="0.25">
      <c r="A24" s="30"/>
      <c r="B24" s="5">
        <v>39</v>
      </c>
      <c r="C24" s="6"/>
      <c r="D24" s="5"/>
      <c r="E24" s="37"/>
    </row>
    <row r="25" spans="1:10" ht="13.5" customHeight="1" x14ac:dyDescent="0.25">
      <c r="A25" s="30"/>
      <c r="B25" s="7">
        <v>40</v>
      </c>
      <c r="C25" s="8" t="s">
        <v>1135</v>
      </c>
      <c r="D25" s="7" t="s">
        <v>326</v>
      </c>
      <c r="E25" s="175" t="s">
        <v>1600</v>
      </c>
      <c r="F25" s="27"/>
      <c r="G25" s="27"/>
    </row>
    <row r="26" spans="1:10" ht="13.5" customHeight="1" x14ac:dyDescent="0.25">
      <c r="A26" s="30"/>
      <c r="B26" s="230">
        <v>41</v>
      </c>
      <c r="C26" s="231" t="s">
        <v>312</v>
      </c>
      <c r="D26" s="230" t="s">
        <v>326</v>
      </c>
      <c r="E26" s="232" t="s">
        <v>1281</v>
      </c>
      <c r="F26" s="233"/>
      <c r="G26" s="233"/>
      <c r="H26" s="233"/>
      <c r="I26" s="233">
        <v>20240524</v>
      </c>
    </row>
    <row r="27" spans="1:10" ht="13.5" customHeight="1" x14ac:dyDescent="0.25">
      <c r="A27" s="30"/>
      <c r="B27" s="5">
        <v>42</v>
      </c>
      <c r="C27" s="6"/>
      <c r="D27" s="5"/>
      <c r="E27" s="37"/>
    </row>
    <row r="28" spans="1:10" ht="13.5" customHeight="1" x14ac:dyDescent="0.25">
      <c r="A28" s="30"/>
      <c r="B28" s="5">
        <v>43</v>
      </c>
      <c r="C28" s="6" t="s">
        <v>312</v>
      </c>
      <c r="D28" s="5" t="s">
        <v>339</v>
      </c>
      <c r="E28" s="65" t="s">
        <v>688</v>
      </c>
      <c r="F28" s="180"/>
      <c r="G28" s="180"/>
      <c r="H28" s="1" t="s">
        <v>1337</v>
      </c>
      <c r="I28" s="1" t="s">
        <v>668</v>
      </c>
    </row>
    <row r="29" spans="1:10" ht="13.5" customHeight="1" x14ac:dyDescent="0.25">
      <c r="A29" s="30"/>
      <c r="B29" s="5">
        <v>44</v>
      </c>
      <c r="C29" s="6" t="s">
        <v>1091</v>
      </c>
      <c r="D29" s="5" t="s">
        <v>326</v>
      </c>
      <c r="E29" s="37" t="s">
        <v>1779</v>
      </c>
      <c r="I29" s="1" t="s">
        <v>1374</v>
      </c>
    </row>
    <row r="30" spans="1:10" ht="13.5" customHeight="1" x14ac:dyDescent="0.25">
      <c r="A30" s="30"/>
      <c r="B30" s="7">
        <v>45</v>
      </c>
      <c r="C30" s="8" t="s">
        <v>1091</v>
      </c>
      <c r="D30" s="7" t="s">
        <v>326</v>
      </c>
      <c r="E30" s="38" t="s">
        <v>1613</v>
      </c>
      <c r="F30" s="1" t="s">
        <v>1064</v>
      </c>
      <c r="G30" s="1" t="s">
        <v>1064</v>
      </c>
      <c r="H30" s="1" t="s">
        <v>1311</v>
      </c>
      <c r="I30" s="1" t="s">
        <v>645</v>
      </c>
    </row>
    <row r="31" spans="1:10" ht="13.5" customHeight="1" x14ac:dyDescent="0.25">
      <c r="A31" s="30"/>
      <c r="B31" s="103">
        <v>46</v>
      </c>
      <c r="C31" s="3" t="s">
        <v>72</v>
      </c>
      <c r="D31" s="4" t="s">
        <v>326</v>
      </c>
      <c r="E31" s="36" t="s">
        <v>1673</v>
      </c>
      <c r="H31" s="1" t="s">
        <v>1312</v>
      </c>
      <c r="I31" s="1" t="s">
        <v>672</v>
      </c>
    </row>
    <row r="32" spans="1:10" ht="13.5" customHeight="1" x14ac:dyDescent="0.25">
      <c r="A32" s="30"/>
      <c r="B32" s="227">
        <v>47</v>
      </c>
      <c r="C32" s="228" t="s">
        <v>1080</v>
      </c>
      <c r="D32" s="227" t="s">
        <v>326</v>
      </c>
      <c r="E32" s="229" t="s">
        <v>1592</v>
      </c>
      <c r="F32" s="233" t="s">
        <v>876</v>
      </c>
      <c r="G32" s="233" t="s">
        <v>876</v>
      </c>
      <c r="H32" s="233" t="s">
        <v>1295</v>
      </c>
      <c r="I32" s="233">
        <v>20220225</v>
      </c>
      <c r="J32" s="233" t="s">
        <v>842</v>
      </c>
    </row>
    <row r="33" spans="1:10" ht="13.5" customHeight="1" x14ac:dyDescent="0.25">
      <c r="A33" s="30"/>
      <c r="B33" s="227">
        <v>48</v>
      </c>
      <c r="C33" s="228" t="s">
        <v>1080</v>
      </c>
      <c r="D33" s="227" t="s">
        <v>339</v>
      </c>
      <c r="E33" s="229" t="s">
        <v>1608</v>
      </c>
      <c r="F33" s="233"/>
      <c r="G33" s="233"/>
      <c r="H33" s="233" t="s">
        <v>1284</v>
      </c>
      <c r="I33" s="233">
        <v>20210127</v>
      </c>
      <c r="J33" s="233" t="s">
        <v>842</v>
      </c>
    </row>
    <row r="34" spans="1:10" ht="13.5" customHeight="1" x14ac:dyDescent="0.25">
      <c r="A34" s="30"/>
      <c r="B34" s="5">
        <v>49</v>
      </c>
      <c r="C34" s="6" t="s">
        <v>1114</v>
      </c>
      <c r="D34" s="5" t="s">
        <v>326</v>
      </c>
      <c r="E34" s="64" t="s">
        <v>1697</v>
      </c>
      <c r="F34" s="182"/>
      <c r="G34" s="182"/>
      <c r="H34" s="1" t="s">
        <v>1293</v>
      </c>
      <c r="I34" s="1" t="s">
        <v>664</v>
      </c>
    </row>
    <row r="35" spans="1:10" ht="13.5" customHeight="1" x14ac:dyDescent="0.25">
      <c r="A35" s="30"/>
      <c r="B35" s="7">
        <v>50</v>
      </c>
      <c r="C35" s="8"/>
      <c r="D35" s="7"/>
      <c r="E35" s="38"/>
      <c r="H35" s="71"/>
      <c r="I35" s="71"/>
    </row>
    <row r="36" spans="1:10" ht="13.5" customHeight="1" x14ac:dyDescent="0.25">
      <c r="A36" s="30"/>
      <c r="B36" s="4">
        <v>51</v>
      </c>
      <c r="C36" s="3" t="s">
        <v>1114</v>
      </c>
      <c r="D36" s="4" t="s">
        <v>339</v>
      </c>
      <c r="E36" s="36" t="s">
        <v>1307</v>
      </c>
      <c r="H36" s="1" t="s">
        <v>1330</v>
      </c>
      <c r="I36" s="116" t="s">
        <v>649</v>
      </c>
    </row>
    <row r="37" spans="1:10" ht="13.5" customHeight="1" x14ac:dyDescent="0.25">
      <c r="A37" s="30"/>
      <c r="B37" s="5">
        <v>52</v>
      </c>
      <c r="C37" s="6" t="s">
        <v>1118</v>
      </c>
      <c r="D37" s="5"/>
      <c r="E37" s="37"/>
    </row>
    <row r="38" spans="1:10" ht="13.5" customHeight="1" x14ac:dyDescent="0.25">
      <c r="A38" s="30"/>
      <c r="B38" s="5">
        <v>53</v>
      </c>
      <c r="C38" s="6"/>
      <c r="D38" s="5"/>
      <c r="E38" s="37"/>
    </row>
    <row r="39" spans="1:10" ht="13.5" customHeight="1" x14ac:dyDescent="0.25">
      <c r="A39" s="30"/>
      <c r="B39" s="5">
        <v>54</v>
      </c>
      <c r="C39" s="6" t="s">
        <v>1120</v>
      </c>
      <c r="D39" s="5" t="s">
        <v>326</v>
      </c>
      <c r="E39" s="37" t="s">
        <v>1688</v>
      </c>
      <c r="H39" s="1" t="s">
        <v>1320</v>
      </c>
      <c r="I39" s="1" t="s">
        <v>670</v>
      </c>
    </row>
    <row r="40" spans="1:10" ht="13.5" customHeight="1" x14ac:dyDescent="0.25">
      <c r="A40" s="30"/>
      <c r="B40" s="274">
        <v>55</v>
      </c>
      <c r="C40" s="275" t="s">
        <v>848</v>
      </c>
      <c r="D40" s="276" t="s">
        <v>393</v>
      </c>
      <c r="E40" s="277" t="s">
        <v>405</v>
      </c>
      <c r="F40" s="278"/>
      <c r="G40" s="278"/>
      <c r="H40" s="233" t="s">
        <v>1383</v>
      </c>
      <c r="I40" s="278" t="s">
        <v>858</v>
      </c>
      <c r="J40" s="278"/>
    </row>
    <row r="41" spans="1:10" ht="13.5" customHeight="1" x14ac:dyDescent="0.25">
      <c r="A41" s="30"/>
      <c r="B41" s="4">
        <v>56</v>
      </c>
      <c r="C41" s="3" t="s">
        <v>660</v>
      </c>
      <c r="D41" s="4" t="s">
        <v>326</v>
      </c>
      <c r="E41" s="36" t="s">
        <v>1287</v>
      </c>
      <c r="H41" s="1" t="s">
        <v>1299</v>
      </c>
      <c r="I41" s="1" t="s">
        <v>658</v>
      </c>
      <c r="J41" s="1" t="s">
        <v>1329</v>
      </c>
    </row>
    <row r="42" spans="1:10" ht="13.5" customHeight="1" x14ac:dyDescent="0.25">
      <c r="A42" s="30"/>
      <c r="B42" s="5">
        <v>57</v>
      </c>
      <c r="C42" s="6" t="s">
        <v>643</v>
      </c>
      <c r="D42" s="5" t="s">
        <v>339</v>
      </c>
      <c r="E42" s="57" t="s">
        <v>1615</v>
      </c>
      <c r="F42" s="179"/>
      <c r="G42" s="179"/>
      <c r="H42" s="1" t="s">
        <v>1237</v>
      </c>
      <c r="I42" s="1" t="s">
        <v>662</v>
      </c>
    </row>
    <row r="43" spans="1:10" ht="13.5" customHeight="1" x14ac:dyDescent="0.25">
      <c r="A43" s="30"/>
      <c r="B43" s="5">
        <v>58</v>
      </c>
      <c r="C43" s="6" t="s">
        <v>661</v>
      </c>
      <c r="D43" s="5" t="s">
        <v>326</v>
      </c>
      <c r="E43" s="37" t="s">
        <v>1334</v>
      </c>
    </row>
    <row r="44" spans="1:10" ht="13.5" customHeight="1" x14ac:dyDescent="0.25">
      <c r="A44" s="30"/>
      <c r="B44" s="5">
        <v>59</v>
      </c>
      <c r="C44" s="6" t="s">
        <v>348</v>
      </c>
      <c r="D44" s="5" t="s">
        <v>326</v>
      </c>
      <c r="E44" s="37" t="s">
        <v>1723</v>
      </c>
      <c r="F44" s="1" t="s">
        <v>1064</v>
      </c>
      <c r="G44" s="1" t="s">
        <v>1064</v>
      </c>
      <c r="I44" s="1">
        <v>2019</v>
      </c>
      <c r="J44" s="1" t="s">
        <v>341</v>
      </c>
    </row>
    <row r="45" spans="1:10" ht="13.5" customHeight="1" x14ac:dyDescent="0.25">
      <c r="A45" s="30"/>
      <c r="B45" s="7">
        <v>60</v>
      </c>
      <c r="C45" s="8" t="s">
        <v>348</v>
      </c>
      <c r="D45" s="7" t="s">
        <v>339</v>
      </c>
      <c r="E45" s="59" t="s">
        <v>1607</v>
      </c>
      <c r="F45" s="1" t="s">
        <v>1064</v>
      </c>
      <c r="G45" s="1" t="s">
        <v>1064</v>
      </c>
    </row>
    <row r="46" spans="1:10" ht="13.5" customHeight="1" x14ac:dyDescent="0.25">
      <c r="A46" s="30"/>
      <c r="B46" s="4">
        <v>61</v>
      </c>
      <c r="C46" s="3"/>
      <c r="D46" s="4"/>
      <c r="E46" s="36"/>
    </row>
    <row r="47" spans="1:10" ht="13.5" customHeight="1" x14ac:dyDescent="0.25">
      <c r="A47" s="30"/>
      <c r="B47" s="5">
        <v>62</v>
      </c>
      <c r="C47" s="6" t="s">
        <v>315</v>
      </c>
      <c r="D47" s="5" t="s">
        <v>339</v>
      </c>
      <c r="E47" s="58" t="s">
        <v>1607</v>
      </c>
      <c r="F47" s="1" t="s">
        <v>1064</v>
      </c>
      <c r="G47" s="1" t="s">
        <v>1064</v>
      </c>
      <c r="H47" s="1" t="s">
        <v>1274</v>
      </c>
      <c r="I47" s="1" t="s">
        <v>671</v>
      </c>
    </row>
    <row r="48" spans="1:10" ht="13.5" customHeight="1" x14ac:dyDescent="0.25">
      <c r="A48" s="30"/>
      <c r="B48" s="5">
        <v>63</v>
      </c>
      <c r="C48" s="6" t="s">
        <v>1114</v>
      </c>
      <c r="D48" s="5" t="s">
        <v>326</v>
      </c>
      <c r="E48" s="69" t="s">
        <v>1323</v>
      </c>
      <c r="F48" s="178"/>
      <c r="G48" s="178"/>
      <c r="H48" s="71" t="s">
        <v>1322</v>
      </c>
      <c r="I48" s="71" t="s">
        <v>665</v>
      </c>
    </row>
    <row r="49" spans="1:10" ht="13.5" customHeight="1" x14ac:dyDescent="0.25">
      <c r="A49" s="30"/>
      <c r="B49" s="227">
        <v>64</v>
      </c>
      <c r="C49" s="228" t="s">
        <v>744</v>
      </c>
      <c r="D49" s="227" t="s">
        <v>339</v>
      </c>
      <c r="E49" s="232" t="s">
        <v>1610</v>
      </c>
      <c r="F49" s="233"/>
      <c r="G49" s="233"/>
      <c r="H49" s="233" t="s">
        <v>1383</v>
      </c>
      <c r="I49" s="233"/>
      <c r="J49" s="233" t="s">
        <v>842</v>
      </c>
    </row>
    <row r="50" spans="1:10" ht="13.5" customHeight="1" x14ac:dyDescent="0.25">
      <c r="A50" s="30"/>
      <c r="B50" s="7">
        <v>65</v>
      </c>
      <c r="C50" s="8"/>
      <c r="D50" s="7"/>
      <c r="E50" s="38"/>
    </row>
    <row r="51" spans="1:10" ht="13.5" customHeight="1" x14ac:dyDescent="0.25">
      <c r="A51" s="30"/>
      <c r="B51" s="230">
        <v>66</v>
      </c>
      <c r="C51" s="231" t="s">
        <v>744</v>
      </c>
      <c r="D51" s="230" t="s">
        <v>339</v>
      </c>
      <c r="E51" s="232" t="s">
        <v>1617</v>
      </c>
      <c r="F51" s="233" t="s">
        <v>876</v>
      </c>
      <c r="G51" s="233" t="s">
        <v>876</v>
      </c>
      <c r="H51" s="233" t="s">
        <v>1294</v>
      </c>
      <c r="I51" s="233">
        <v>20181101</v>
      </c>
      <c r="J51" s="233" t="s">
        <v>842</v>
      </c>
    </row>
    <row r="52" spans="1:10" ht="13.5" customHeight="1" x14ac:dyDescent="0.25">
      <c r="A52" s="30"/>
      <c r="B52" s="5">
        <v>67</v>
      </c>
      <c r="C52" s="6"/>
      <c r="D52" s="5"/>
      <c r="E52" s="37"/>
    </row>
    <row r="53" spans="1:10" ht="13.5" customHeight="1" x14ac:dyDescent="0.25">
      <c r="A53" s="30"/>
      <c r="B53" s="5">
        <v>68</v>
      </c>
      <c r="C53" s="6"/>
      <c r="D53" s="5"/>
      <c r="E53" s="37"/>
    </row>
    <row r="54" spans="1:10" ht="13.5" customHeight="1" x14ac:dyDescent="0.25">
      <c r="A54" s="30"/>
      <c r="B54" s="5">
        <v>69</v>
      </c>
      <c r="C54" s="6" t="s">
        <v>315</v>
      </c>
      <c r="D54" s="5" t="s">
        <v>326</v>
      </c>
      <c r="E54" s="69" t="s">
        <v>1323</v>
      </c>
      <c r="F54" s="178"/>
      <c r="G54" s="178"/>
      <c r="H54" s="71" t="s">
        <v>1322</v>
      </c>
      <c r="I54" s="71" t="s">
        <v>665</v>
      </c>
    </row>
    <row r="55" spans="1:10" ht="13.5" customHeight="1" x14ac:dyDescent="0.25">
      <c r="A55" s="31"/>
      <c r="B55" s="7">
        <v>70</v>
      </c>
      <c r="C55" s="8" t="s">
        <v>356</v>
      </c>
      <c r="D55" s="7" t="s">
        <v>326</v>
      </c>
      <c r="E55" s="67" t="s">
        <v>1290</v>
      </c>
      <c r="F55" s="182"/>
      <c r="G55" s="182"/>
      <c r="I55" s="1" t="s">
        <v>1373</v>
      </c>
    </row>
    <row r="56" spans="1:10" ht="13.5" customHeight="1" x14ac:dyDescent="0.25">
      <c r="B56" s="1" t="s">
        <v>334</v>
      </c>
      <c r="D56" s="1" t="s">
        <v>334</v>
      </c>
    </row>
    <row r="57" spans="1:10" ht="13.5" customHeight="1" x14ac:dyDescent="0.25">
      <c r="B57" s="1" t="s">
        <v>334</v>
      </c>
      <c r="D57" s="1" t="s">
        <v>334</v>
      </c>
    </row>
    <row r="58" spans="1:10" ht="13.5" customHeight="1" x14ac:dyDescent="0.25">
      <c r="B58" s="1" t="s">
        <v>334</v>
      </c>
      <c r="D58" s="1" t="s">
        <v>334</v>
      </c>
    </row>
    <row r="59" spans="1:10" ht="13.5" customHeight="1" x14ac:dyDescent="0.25">
      <c r="B59" s="1" t="s">
        <v>334</v>
      </c>
      <c r="D59" s="1" t="s">
        <v>334</v>
      </c>
    </row>
    <row r="60" spans="1:10" ht="13.5" customHeight="1" x14ac:dyDescent="0.25">
      <c r="A60" s="30"/>
      <c r="B60" s="5">
        <v>59</v>
      </c>
      <c r="C60" s="6" t="s">
        <v>348</v>
      </c>
      <c r="D60" s="5" t="s">
        <v>326</v>
      </c>
      <c r="E60" s="66" t="s">
        <v>1716</v>
      </c>
      <c r="F60" s="181"/>
      <c r="G60" s="181"/>
      <c r="H60" s="1" t="s">
        <v>1349</v>
      </c>
      <c r="I60" s="1" t="s">
        <v>667</v>
      </c>
      <c r="J60" s="9" t="s">
        <v>1612</v>
      </c>
    </row>
    <row r="61" spans="1:10" ht="13.5" customHeight="1" x14ac:dyDescent="0.25">
      <c r="B61" s="1" t="s">
        <v>334</v>
      </c>
      <c r="D61" s="1" t="s">
        <v>334</v>
      </c>
    </row>
    <row r="62" spans="1:10" ht="13.5" customHeight="1" x14ac:dyDescent="0.25">
      <c r="B62" s="1" t="s">
        <v>334</v>
      </c>
      <c r="D62" s="1" t="s">
        <v>334</v>
      </c>
    </row>
    <row r="63" spans="1:10" ht="13.5" customHeight="1" x14ac:dyDescent="0.25">
      <c r="C63" s="6" t="s">
        <v>342</v>
      </c>
      <c r="D63" s="5" t="s">
        <v>326</v>
      </c>
      <c r="E63" s="37" t="s">
        <v>1303</v>
      </c>
      <c r="H63" s="1" t="s">
        <v>1327</v>
      </c>
      <c r="I63" s="1" t="s">
        <v>652</v>
      </c>
      <c r="J63" s="1" t="s">
        <v>406</v>
      </c>
    </row>
  </sheetData>
  <autoFilter ref="A2:I62" xr:uid="{00000000-0009-0000-0000-000006000000}"/>
  <sortState xmlns:xlrd2="http://schemas.microsoft.com/office/spreadsheetml/2017/richdata2" ref="A3:E59">
    <sortCondition ref="B3:B59"/>
  </sortState>
  <mergeCells count="7">
    <mergeCell ref="H1:H2"/>
    <mergeCell ref="I1:I2"/>
    <mergeCell ref="B1:B2"/>
    <mergeCell ref="C1:C2"/>
    <mergeCell ref="D1:D2"/>
    <mergeCell ref="E1:E2"/>
    <mergeCell ref="F1:G1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portrait"/>
  <headerFooter>
    <oddHeader>&amp;C&amp;"HY견고딕,Regular"&amp;22IP관리대장(프린터)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5"/>
  <sheetViews>
    <sheetView zoomScaleNormal="100" zoomScaleSheetLayoutView="100" workbookViewId="0">
      <selection activeCell="C18" sqref="C18"/>
    </sheetView>
  </sheetViews>
  <sheetFormatPr defaultColWidth="8.9140625" defaultRowHeight="12.5" x14ac:dyDescent="0.25"/>
  <cols>
    <col min="1" max="1" width="21" style="184" bestFit="1" customWidth="1"/>
    <col min="2" max="2" width="14.6640625" style="184" bestFit="1" customWidth="1"/>
    <col min="3" max="3" width="9.9140625" style="184" bestFit="1" customWidth="1"/>
    <col min="4" max="4" width="7" style="184" bestFit="1" customWidth="1"/>
    <col min="5" max="5" width="8.9140625" style="184"/>
    <col min="6" max="6" width="12.83203125" style="184" bestFit="1" customWidth="1"/>
    <col min="7" max="7" width="15.9140625" style="184" customWidth="1"/>
    <col min="8" max="16384" width="8.9140625" style="184"/>
  </cols>
  <sheetData>
    <row r="1" spans="1:7" ht="19.25" customHeight="1" x14ac:dyDescent="0.25">
      <c r="A1" s="191" t="s">
        <v>1060</v>
      </c>
      <c r="B1" s="191" t="s">
        <v>1040</v>
      </c>
      <c r="C1" s="191" t="s">
        <v>1047</v>
      </c>
      <c r="D1" s="191" t="s">
        <v>1031</v>
      </c>
      <c r="E1" s="190" t="s">
        <v>1043</v>
      </c>
      <c r="F1" s="190" t="s">
        <v>1035</v>
      </c>
    </row>
    <row r="2" spans="1:7" x14ac:dyDescent="0.25">
      <c r="A2" s="188" t="s">
        <v>1536</v>
      </c>
      <c r="B2" s="188" t="s">
        <v>1277</v>
      </c>
      <c r="C2" s="188" t="s">
        <v>1744</v>
      </c>
      <c r="D2" s="187">
        <v>97343</v>
      </c>
      <c r="E2" s="186" t="s">
        <v>345</v>
      </c>
      <c r="F2" s="185" t="s">
        <v>643</v>
      </c>
    </row>
    <row r="3" spans="1:7" x14ac:dyDescent="0.25">
      <c r="A3" s="188" t="s">
        <v>1555</v>
      </c>
      <c r="B3" s="188" t="s">
        <v>1266</v>
      </c>
      <c r="C3" s="188" t="s">
        <v>1725</v>
      </c>
      <c r="D3" s="187">
        <v>97344</v>
      </c>
      <c r="E3" s="186" t="s">
        <v>345</v>
      </c>
      <c r="F3" s="185" t="s">
        <v>661</v>
      </c>
    </row>
    <row r="4" spans="1:7" x14ac:dyDescent="0.25">
      <c r="A4" s="188" t="s">
        <v>1560</v>
      </c>
      <c r="B4" s="188" t="s">
        <v>1227</v>
      </c>
      <c r="C4" s="188" t="s">
        <v>1705</v>
      </c>
      <c r="D4" s="187">
        <v>97345</v>
      </c>
      <c r="E4" s="186" t="s">
        <v>83</v>
      </c>
      <c r="F4" s="185" t="s">
        <v>663</v>
      </c>
    </row>
    <row r="5" spans="1:7" x14ac:dyDescent="0.25">
      <c r="A5" s="188" t="s">
        <v>1588</v>
      </c>
      <c r="B5" s="188" t="s">
        <v>1331</v>
      </c>
      <c r="C5" s="188" t="s">
        <v>1737</v>
      </c>
      <c r="D5" s="187">
        <v>97346</v>
      </c>
      <c r="E5" s="186" t="s">
        <v>83</v>
      </c>
      <c r="F5" s="185" t="s">
        <v>343</v>
      </c>
    </row>
    <row r="6" spans="1:7" x14ac:dyDescent="0.25">
      <c r="A6" s="188" t="s">
        <v>1552</v>
      </c>
      <c r="B6" s="188" t="s">
        <v>1241</v>
      </c>
      <c r="C6" s="188" t="s">
        <v>1722</v>
      </c>
      <c r="D6" s="187">
        <v>97347</v>
      </c>
      <c r="E6" s="186" t="s">
        <v>83</v>
      </c>
      <c r="F6" s="185" t="s">
        <v>347</v>
      </c>
    </row>
    <row r="7" spans="1:7" x14ac:dyDescent="0.25">
      <c r="A7" s="188" t="s">
        <v>1575</v>
      </c>
      <c r="B7" s="188" t="s">
        <v>1260</v>
      </c>
      <c r="C7" s="188" t="s">
        <v>1742</v>
      </c>
      <c r="D7" s="187">
        <v>97348</v>
      </c>
      <c r="E7" s="186" t="s">
        <v>83</v>
      </c>
      <c r="F7" s="185" t="s">
        <v>328</v>
      </c>
    </row>
    <row r="8" spans="1:7" ht="13" x14ac:dyDescent="0.25">
      <c r="A8" s="188" t="s">
        <v>1554</v>
      </c>
      <c r="B8" s="188" t="s">
        <v>1362</v>
      </c>
      <c r="C8" s="188" t="s">
        <v>1702</v>
      </c>
      <c r="D8" s="187">
        <v>97349</v>
      </c>
      <c r="E8" s="260" t="s">
        <v>1810</v>
      </c>
      <c r="F8" s="261" t="s">
        <v>74</v>
      </c>
      <c r="G8" s="259" t="s">
        <v>863</v>
      </c>
    </row>
    <row r="9" spans="1:7" x14ac:dyDescent="0.25">
      <c r="A9" s="188" t="s">
        <v>1540</v>
      </c>
      <c r="B9" s="188" t="s">
        <v>1265</v>
      </c>
      <c r="C9" s="188" t="s">
        <v>1710</v>
      </c>
      <c r="D9" s="187">
        <v>97350</v>
      </c>
      <c r="E9" s="186" t="s">
        <v>303</v>
      </c>
      <c r="F9" s="189" t="s">
        <v>337</v>
      </c>
    </row>
    <row r="10" spans="1:7" x14ac:dyDescent="0.25">
      <c r="A10" s="188" t="s">
        <v>1546</v>
      </c>
      <c r="B10" s="188" t="s">
        <v>1224</v>
      </c>
      <c r="C10" s="188" t="s">
        <v>1720</v>
      </c>
      <c r="D10" s="187">
        <v>97351</v>
      </c>
      <c r="E10" s="186" t="s">
        <v>303</v>
      </c>
      <c r="F10" s="185" t="s">
        <v>336</v>
      </c>
    </row>
    <row r="11" spans="1:7" x14ac:dyDescent="0.25">
      <c r="A11" s="188" t="s">
        <v>1541</v>
      </c>
      <c r="B11" s="188" t="s">
        <v>1240</v>
      </c>
      <c r="C11" s="188" t="s">
        <v>1730</v>
      </c>
      <c r="D11" s="187">
        <v>97352</v>
      </c>
      <c r="E11" s="186" t="s">
        <v>303</v>
      </c>
      <c r="F11" s="185" t="s">
        <v>319</v>
      </c>
    </row>
    <row r="12" spans="1:7" x14ac:dyDescent="0.25">
      <c r="A12" s="188" t="s">
        <v>1544</v>
      </c>
      <c r="B12" s="188" t="s">
        <v>1361</v>
      </c>
      <c r="C12" s="188" t="s">
        <v>1714</v>
      </c>
      <c r="D12" s="187">
        <v>97353</v>
      </c>
      <c r="E12" s="186" t="s">
        <v>303</v>
      </c>
      <c r="F12" s="185" t="s">
        <v>669</v>
      </c>
    </row>
    <row r="13" spans="1:7" ht="16" x14ac:dyDescent="0.45">
      <c r="A13" s="188" t="s">
        <v>1562</v>
      </c>
      <c r="B13" s="188" t="s">
        <v>1360</v>
      </c>
      <c r="C13" s="188" t="s">
        <v>1711</v>
      </c>
      <c r="D13" s="187">
        <v>97354</v>
      </c>
      <c r="E13" s="260" t="s">
        <v>1811</v>
      </c>
      <c r="F13" s="262" t="s">
        <v>862</v>
      </c>
      <c r="G13" s="259" t="s">
        <v>1783</v>
      </c>
    </row>
    <row r="14" spans="1:7" x14ac:dyDescent="0.25">
      <c r="A14" s="188" t="s">
        <v>1587</v>
      </c>
      <c r="B14" s="188" t="s">
        <v>1231</v>
      </c>
      <c r="C14" s="188" t="s">
        <v>1709</v>
      </c>
      <c r="D14" s="187">
        <v>97355</v>
      </c>
      <c r="E14" s="186" t="s">
        <v>303</v>
      </c>
      <c r="F14" s="185" t="s">
        <v>331</v>
      </c>
    </row>
    <row r="15" spans="1:7" x14ac:dyDescent="0.25">
      <c r="A15" s="188" t="s">
        <v>1547</v>
      </c>
      <c r="B15" s="188" t="s">
        <v>1355</v>
      </c>
      <c r="C15" s="188" t="s">
        <v>1701</v>
      </c>
      <c r="D15" s="187">
        <v>97356</v>
      </c>
      <c r="E15" s="186" t="s">
        <v>303</v>
      </c>
      <c r="F15" s="185" t="s">
        <v>98</v>
      </c>
    </row>
    <row r="16" spans="1:7" x14ac:dyDescent="0.25">
      <c r="A16" s="188" t="s">
        <v>1569</v>
      </c>
      <c r="B16" s="188" t="s">
        <v>1341</v>
      </c>
      <c r="C16" s="188" t="s">
        <v>1712</v>
      </c>
      <c r="D16" s="187">
        <v>97357</v>
      </c>
      <c r="E16" s="186" t="s">
        <v>303</v>
      </c>
      <c r="F16" s="185" t="s">
        <v>80</v>
      </c>
    </row>
    <row r="17" spans="1:6" x14ac:dyDescent="0.25">
      <c r="A17" s="188" t="s">
        <v>1581</v>
      </c>
      <c r="B17" s="188" t="s">
        <v>1244</v>
      </c>
      <c r="C17" s="188" t="s">
        <v>1729</v>
      </c>
      <c r="D17" s="187">
        <v>97358</v>
      </c>
      <c r="E17" s="186" t="s">
        <v>303</v>
      </c>
      <c r="F17" s="185" t="s">
        <v>85</v>
      </c>
    </row>
    <row r="18" spans="1:6" x14ac:dyDescent="0.25">
      <c r="A18" s="188" t="s">
        <v>1549</v>
      </c>
      <c r="B18" s="188" t="s">
        <v>1339</v>
      </c>
      <c r="C18" s="188" t="s">
        <v>1726</v>
      </c>
      <c r="D18" s="187">
        <v>97359</v>
      </c>
      <c r="E18" s="186" t="s">
        <v>303</v>
      </c>
      <c r="F18" s="185" t="s">
        <v>73</v>
      </c>
    </row>
    <row r="19" spans="1:6" x14ac:dyDescent="0.25">
      <c r="A19" s="188" t="s">
        <v>1578</v>
      </c>
      <c r="B19" s="188" t="s">
        <v>1249</v>
      </c>
      <c r="C19" s="188" t="s">
        <v>1715</v>
      </c>
      <c r="D19" s="187">
        <v>97360</v>
      </c>
      <c r="E19" s="186" t="s">
        <v>93</v>
      </c>
      <c r="F19" s="185" t="s">
        <v>84</v>
      </c>
    </row>
    <row r="20" spans="1:6" x14ac:dyDescent="0.25">
      <c r="A20" s="188" t="s">
        <v>1583</v>
      </c>
      <c r="B20" s="188" t="s">
        <v>1357</v>
      </c>
      <c r="C20" s="188" t="s">
        <v>1732</v>
      </c>
      <c r="D20" s="187">
        <v>97361</v>
      </c>
      <c r="E20" s="186" t="s">
        <v>93</v>
      </c>
      <c r="F20" s="185" t="s">
        <v>96</v>
      </c>
    </row>
    <row r="21" spans="1:6" x14ac:dyDescent="0.25">
      <c r="A21" s="188" t="s">
        <v>1572</v>
      </c>
      <c r="B21" s="188" t="s">
        <v>1369</v>
      </c>
      <c r="C21" s="188" t="s">
        <v>1728</v>
      </c>
      <c r="D21" s="187">
        <v>97362</v>
      </c>
      <c r="E21" s="186" t="s">
        <v>93</v>
      </c>
      <c r="F21" s="185" t="s">
        <v>88</v>
      </c>
    </row>
    <row r="22" spans="1:6" x14ac:dyDescent="0.25">
      <c r="A22" s="188" t="s">
        <v>1566</v>
      </c>
      <c r="B22" s="188" t="s">
        <v>1264</v>
      </c>
      <c r="C22" s="188" t="s">
        <v>1713</v>
      </c>
      <c r="D22" s="187">
        <v>97363</v>
      </c>
      <c r="E22" s="186" t="s">
        <v>93</v>
      </c>
      <c r="F22" s="185" t="s">
        <v>75</v>
      </c>
    </row>
    <row r="23" spans="1:6" x14ac:dyDescent="0.25">
      <c r="A23" s="188" t="s">
        <v>1582</v>
      </c>
      <c r="B23" s="188" t="s">
        <v>1234</v>
      </c>
      <c r="C23" s="188" t="s">
        <v>1739</v>
      </c>
      <c r="D23" s="187">
        <v>97364</v>
      </c>
      <c r="E23" s="186" t="s">
        <v>93</v>
      </c>
      <c r="F23" s="185" t="s">
        <v>110</v>
      </c>
    </row>
    <row r="24" spans="1:6" x14ac:dyDescent="0.25">
      <c r="A24" s="188" t="s">
        <v>1589</v>
      </c>
      <c r="B24" s="188" t="s">
        <v>1343</v>
      </c>
      <c r="C24" s="188" t="s">
        <v>1746</v>
      </c>
      <c r="D24" s="187">
        <v>97365</v>
      </c>
      <c r="E24" s="186" t="s">
        <v>93</v>
      </c>
      <c r="F24" s="185" t="s">
        <v>70</v>
      </c>
    </row>
    <row r="25" spans="1:6" x14ac:dyDescent="0.25">
      <c r="A25" s="188" t="s">
        <v>1564</v>
      </c>
      <c r="B25" s="188" t="s">
        <v>1333</v>
      </c>
      <c r="C25" s="188" t="s">
        <v>1704</v>
      </c>
      <c r="D25" s="187">
        <v>97366</v>
      </c>
      <c r="E25" s="186" t="s">
        <v>93</v>
      </c>
      <c r="F25" s="185" t="s">
        <v>97</v>
      </c>
    </row>
    <row r="26" spans="1:6" x14ac:dyDescent="0.25">
      <c r="A26" s="188" t="s">
        <v>1576</v>
      </c>
      <c r="B26" s="188" t="s">
        <v>1351</v>
      </c>
      <c r="C26" s="188" t="s">
        <v>1743</v>
      </c>
      <c r="D26" s="187">
        <v>97367</v>
      </c>
      <c r="E26" s="186" t="s">
        <v>93</v>
      </c>
      <c r="F26" s="185" t="s">
        <v>74</v>
      </c>
    </row>
    <row r="27" spans="1:6" x14ac:dyDescent="0.25">
      <c r="A27" s="188" t="s">
        <v>1567</v>
      </c>
      <c r="B27" s="188" t="s">
        <v>1229</v>
      </c>
      <c r="C27" s="188" t="s">
        <v>1708</v>
      </c>
      <c r="D27" s="187">
        <v>97368</v>
      </c>
      <c r="E27" s="186" t="s">
        <v>87</v>
      </c>
      <c r="F27" s="185" t="s">
        <v>86</v>
      </c>
    </row>
    <row r="28" spans="1:6" x14ac:dyDescent="0.25">
      <c r="A28" s="188" t="s">
        <v>1558</v>
      </c>
      <c r="B28" s="188" t="s">
        <v>1247</v>
      </c>
      <c r="C28" s="188" t="s">
        <v>1727</v>
      </c>
      <c r="D28" s="187">
        <v>97369</v>
      </c>
      <c r="E28" s="186" t="s">
        <v>87</v>
      </c>
      <c r="F28" s="185" t="s">
        <v>100</v>
      </c>
    </row>
    <row r="29" spans="1:6" x14ac:dyDescent="0.25">
      <c r="A29" s="188" t="s">
        <v>1561</v>
      </c>
      <c r="B29" s="188" t="s">
        <v>1219</v>
      </c>
      <c r="C29" s="188" t="s">
        <v>1740</v>
      </c>
      <c r="D29" s="187">
        <v>97370</v>
      </c>
      <c r="E29" s="186" t="s">
        <v>87</v>
      </c>
      <c r="F29" s="185" t="s">
        <v>81</v>
      </c>
    </row>
    <row r="30" spans="1:6" x14ac:dyDescent="0.25">
      <c r="A30" s="188" t="s">
        <v>1584</v>
      </c>
      <c r="B30" s="188" t="s">
        <v>1371</v>
      </c>
      <c r="C30" s="188" t="s">
        <v>1717</v>
      </c>
      <c r="D30" s="187">
        <v>97371</v>
      </c>
      <c r="E30" s="186" t="s">
        <v>87</v>
      </c>
      <c r="F30" s="185" t="s">
        <v>79</v>
      </c>
    </row>
    <row r="31" spans="1:6" x14ac:dyDescent="0.25">
      <c r="A31" s="188" t="s">
        <v>1577</v>
      </c>
      <c r="B31" s="188" t="s">
        <v>1365</v>
      </c>
      <c r="C31" s="188" t="s">
        <v>1724</v>
      </c>
      <c r="D31" s="187">
        <v>97372</v>
      </c>
      <c r="E31" s="186" t="s">
        <v>87</v>
      </c>
      <c r="F31" s="185" t="s">
        <v>130</v>
      </c>
    </row>
    <row r="32" spans="1:6" x14ac:dyDescent="0.25">
      <c r="A32" s="188" t="s">
        <v>1543</v>
      </c>
      <c r="B32" s="188" t="s">
        <v>1354</v>
      </c>
      <c r="C32" s="188" t="s">
        <v>1753</v>
      </c>
      <c r="D32" s="187">
        <v>97373</v>
      </c>
      <c r="E32" s="186" t="s">
        <v>87</v>
      </c>
      <c r="F32" s="185" t="s">
        <v>91</v>
      </c>
    </row>
    <row r="33" spans="1:9" x14ac:dyDescent="0.25">
      <c r="A33" s="188" t="s">
        <v>1571</v>
      </c>
      <c r="B33" s="188" t="s">
        <v>1233</v>
      </c>
      <c r="C33" s="188" t="s">
        <v>1751</v>
      </c>
      <c r="D33" s="187">
        <v>97374</v>
      </c>
      <c r="E33" s="186" t="s">
        <v>87</v>
      </c>
      <c r="F33" s="185" t="s">
        <v>1402</v>
      </c>
    </row>
    <row r="34" spans="1:9" x14ac:dyDescent="0.25">
      <c r="A34" s="188" t="s">
        <v>1585</v>
      </c>
      <c r="B34" s="188" t="s">
        <v>1332</v>
      </c>
      <c r="C34" s="188" t="s">
        <v>1756</v>
      </c>
      <c r="D34" s="187">
        <v>97375</v>
      </c>
      <c r="E34" s="186" t="s">
        <v>93</v>
      </c>
      <c r="F34" s="185" t="s">
        <v>333</v>
      </c>
    </row>
    <row r="35" spans="1:9" ht="13" x14ac:dyDescent="0.25">
      <c r="E35" s="263" t="s">
        <v>1811</v>
      </c>
      <c r="F35" s="264" t="s">
        <v>862</v>
      </c>
      <c r="G35" s="184" t="s">
        <v>1534</v>
      </c>
      <c r="I35" s="259" t="s">
        <v>869</v>
      </c>
    </row>
  </sheetData>
  <phoneticPr fontId="28" type="noConversion"/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C12"/>
  <sheetViews>
    <sheetView zoomScaleNormal="100" zoomScaleSheetLayoutView="75" workbookViewId="0">
      <selection activeCell="B5" sqref="B5"/>
    </sheetView>
  </sheetViews>
  <sheetFormatPr defaultColWidth="8.83203125" defaultRowHeight="14" x14ac:dyDescent="0.25"/>
  <cols>
    <col min="2" max="2" width="24" customWidth="1"/>
  </cols>
  <sheetData>
    <row r="1" spans="1:3" x14ac:dyDescent="0.25">
      <c r="A1" s="344" t="s">
        <v>1285</v>
      </c>
      <c r="B1" s="344"/>
      <c r="C1" s="344"/>
    </row>
    <row r="3" spans="1:3" x14ac:dyDescent="0.25">
      <c r="A3" t="s">
        <v>383</v>
      </c>
      <c r="B3" t="s">
        <v>137</v>
      </c>
      <c r="C3" t="s">
        <v>367</v>
      </c>
    </row>
    <row r="4" spans="1:3" x14ac:dyDescent="0.25">
      <c r="A4" t="s">
        <v>384</v>
      </c>
      <c r="B4" t="s">
        <v>851</v>
      </c>
      <c r="C4" t="s">
        <v>367</v>
      </c>
    </row>
    <row r="5" spans="1:3" x14ac:dyDescent="0.25">
      <c r="B5" t="s">
        <v>874</v>
      </c>
      <c r="C5" t="s">
        <v>367</v>
      </c>
    </row>
    <row r="6" spans="1:3" x14ac:dyDescent="0.25">
      <c r="B6" t="s">
        <v>364</v>
      </c>
      <c r="C6" t="s">
        <v>367</v>
      </c>
    </row>
    <row r="7" spans="1:3" x14ac:dyDescent="0.25">
      <c r="B7" t="s">
        <v>864</v>
      </c>
      <c r="C7" t="s">
        <v>367</v>
      </c>
    </row>
    <row r="8" spans="1:3" x14ac:dyDescent="0.25">
      <c r="A8" t="s">
        <v>363</v>
      </c>
      <c r="B8" t="s">
        <v>1129</v>
      </c>
      <c r="C8" t="s">
        <v>367</v>
      </c>
    </row>
    <row r="9" spans="1:3" x14ac:dyDescent="0.25">
      <c r="B9" t="s">
        <v>1125</v>
      </c>
      <c r="C9" t="s">
        <v>367</v>
      </c>
    </row>
    <row r="10" spans="1:3" x14ac:dyDescent="0.25">
      <c r="B10" t="s">
        <v>369</v>
      </c>
      <c r="C10" t="s">
        <v>367</v>
      </c>
    </row>
    <row r="11" spans="1:3" x14ac:dyDescent="0.25">
      <c r="A11" t="s">
        <v>381</v>
      </c>
      <c r="B11" t="s">
        <v>856</v>
      </c>
      <c r="C11" t="s">
        <v>367</v>
      </c>
    </row>
    <row r="12" spans="1:3" x14ac:dyDescent="0.25">
      <c r="A12" t="s">
        <v>374</v>
      </c>
      <c r="B12" t="s">
        <v>862</v>
      </c>
      <c r="C12" t="s">
        <v>401</v>
      </c>
    </row>
  </sheetData>
  <mergeCells count="1">
    <mergeCell ref="A1:C1"/>
  </mergeCells>
  <phoneticPr fontId="28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D26"/>
  <sheetViews>
    <sheetView topLeftCell="A13" zoomScaleNormal="100" zoomScaleSheetLayoutView="75" workbookViewId="0">
      <selection activeCell="B6" sqref="B6"/>
    </sheetView>
  </sheetViews>
  <sheetFormatPr defaultColWidth="8.83203125" defaultRowHeight="14" x14ac:dyDescent="0.25"/>
  <cols>
    <col min="1" max="1" width="12.6640625" customWidth="1"/>
    <col min="2" max="2" width="31.4140625" customWidth="1"/>
    <col min="3" max="3" width="26.58203125" customWidth="1"/>
    <col min="4" max="4" width="11.33203125" customWidth="1"/>
  </cols>
  <sheetData>
    <row r="1" spans="1:4" ht="24.65" customHeight="1" x14ac:dyDescent="0.25">
      <c r="A1" s="297" t="s">
        <v>400</v>
      </c>
      <c r="B1" s="298" t="s">
        <v>397</v>
      </c>
      <c r="C1" s="298" t="s">
        <v>1182</v>
      </c>
      <c r="D1" s="298" t="s">
        <v>880</v>
      </c>
    </row>
    <row r="2" spans="1:4" ht="24.65" customHeight="1" x14ac:dyDescent="0.25">
      <c r="A2" s="299" t="s">
        <v>890</v>
      </c>
      <c r="B2" s="300" t="s">
        <v>407</v>
      </c>
      <c r="C2" s="300" t="s">
        <v>1591</v>
      </c>
      <c r="D2" s="300" t="s">
        <v>398</v>
      </c>
    </row>
    <row r="3" spans="1:4" ht="24.65" customHeight="1" x14ac:dyDescent="0.25">
      <c r="A3" s="299" t="s">
        <v>897</v>
      </c>
      <c r="B3" s="300" t="s">
        <v>407</v>
      </c>
      <c r="C3" s="300" t="s">
        <v>1595</v>
      </c>
      <c r="D3" s="300" t="s">
        <v>398</v>
      </c>
    </row>
    <row r="4" spans="1:4" ht="24.65" customHeight="1" x14ac:dyDescent="0.25">
      <c r="A4" s="299" t="s">
        <v>882</v>
      </c>
      <c r="B4" s="300" t="s">
        <v>407</v>
      </c>
      <c r="C4" s="300" t="s">
        <v>1596</v>
      </c>
      <c r="D4" s="300" t="s">
        <v>398</v>
      </c>
    </row>
    <row r="5" spans="1:4" ht="24.65" customHeight="1" x14ac:dyDescent="0.25">
      <c r="A5" s="299" t="s">
        <v>898</v>
      </c>
      <c r="B5" s="300" t="s">
        <v>407</v>
      </c>
      <c r="C5" s="300" t="s">
        <v>1626</v>
      </c>
      <c r="D5" s="300" t="s">
        <v>398</v>
      </c>
    </row>
    <row r="6" spans="1:4" ht="24.65" customHeight="1" x14ac:dyDescent="0.25">
      <c r="A6" s="299" t="s">
        <v>893</v>
      </c>
      <c r="B6" s="300" t="s">
        <v>407</v>
      </c>
      <c r="C6" s="300" t="s">
        <v>1621</v>
      </c>
      <c r="D6" s="300" t="s">
        <v>398</v>
      </c>
    </row>
    <row r="7" spans="1:4" ht="24.65" customHeight="1" x14ac:dyDescent="0.25">
      <c r="A7" s="299" t="s">
        <v>884</v>
      </c>
      <c r="B7" s="300" t="s">
        <v>407</v>
      </c>
      <c r="C7" s="300" t="s">
        <v>1633</v>
      </c>
      <c r="D7" s="300" t="s">
        <v>398</v>
      </c>
    </row>
    <row r="8" spans="1:4" ht="24.65" customHeight="1" x14ac:dyDescent="0.25">
      <c r="A8" s="299" t="s">
        <v>891</v>
      </c>
      <c r="B8" s="300" t="s">
        <v>407</v>
      </c>
      <c r="C8" s="300" t="s">
        <v>1628</v>
      </c>
      <c r="D8" s="300" t="s">
        <v>398</v>
      </c>
    </row>
    <row r="9" spans="1:4" ht="24.65" customHeight="1" x14ac:dyDescent="0.25">
      <c r="A9" s="299" t="s">
        <v>878</v>
      </c>
      <c r="B9" s="300" t="s">
        <v>407</v>
      </c>
      <c r="C9" s="300" t="s">
        <v>1627</v>
      </c>
      <c r="D9" s="300" t="s">
        <v>398</v>
      </c>
    </row>
    <row r="10" spans="1:4" ht="24.65" customHeight="1" x14ac:dyDescent="0.25">
      <c r="A10" s="299" t="s">
        <v>887</v>
      </c>
      <c r="B10" s="300" t="s">
        <v>1778</v>
      </c>
      <c r="C10" s="300" t="s">
        <v>1624</v>
      </c>
      <c r="D10" s="300" t="s">
        <v>398</v>
      </c>
    </row>
    <row r="11" spans="1:4" ht="24.65" customHeight="1" x14ac:dyDescent="0.25">
      <c r="A11" s="299" t="s">
        <v>892</v>
      </c>
      <c r="B11" s="300" t="s">
        <v>1778</v>
      </c>
      <c r="C11" s="300" t="s">
        <v>1629</v>
      </c>
      <c r="D11" s="300" t="s">
        <v>398</v>
      </c>
    </row>
    <row r="12" spans="1:4" ht="24.65" customHeight="1" x14ac:dyDescent="0.25">
      <c r="A12" s="299" t="s">
        <v>881</v>
      </c>
      <c r="B12" s="300" t="s">
        <v>1780</v>
      </c>
      <c r="C12" s="300" t="s">
        <v>1630</v>
      </c>
      <c r="D12" s="300" t="s">
        <v>398</v>
      </c>
    </row>
    <row r="13" spans="1:4" ht="24.65" customHeight="1" x14ac:dyDescent="0.25">
      <c r="A13" s="299" t="s">
        <v>888</v>
      </c>
      <c r="B13" s="300" t="s">
        <v>1778</v>
      </c>
      <c r="C13" s="300" t="s">
        <v>1620</v>
      </c>
      <c r="D13" s="300" t="s">
        <v>398</v>
      </c>
    </row>
    <row r="14" spans="1:4" ht="24.65" customHeight="1" x14ac:dyDescent="0.25">
      <c r="A14" s="299" t="s">
        <v>885</v>
      </c>
      <c r="B14" s="300" t="s">
        <v>1780</v>
      </c>
      <c r="C14" s="300" t="s">
        <v>1631</v>
      </c>
      <c r="D14" s="300" t="s">
        <v>398</v>
      </c>
    </row>
    <row r="15" spans="1:4" ht="24.65" customHeight="1" x14ac:dyDescent="0.25">
      <c r="A15" s="299" t="s">
        <v>894</v>
      </c>
      <c r="B15" s="300" t="s">
        <v>1780</v>
      </c>
      <c r="C15" s="300" t="s">
        <v>1623</v>
      </c>
      <c r="D15" s="300" t="s">
        <v>398</v>
      </c>
    </row>
    <row r="16" spans="1:4" ht="24.65" customHeight="1" x14ac:dyDescent="0.25">
      <c r="A16" s="299" t="s">
        <v>889</v>
      </c>
      <c r="B16" s="300" t="s">
        <v>1778</v>
      </c>
      <c r="C16" s="300" t="s">
        <v>1634</v>
      </c>
      <c r="D16" s="300" t="s">
        <v>398</v>
      </c>
    </row>
    <row r="17" spans="1:4" ht="24.65" customHeight="1" x14ac:dyDescent="0.25">
      <c r="A17" s="299" t="s">
        <v>883</v>
      </c>
      <c r="B17" s="300" t="s">
        <v>1780</v>
      </c>
      <c r="C17" s="300" t="s">
        <v>1625</v>
      </c>
      <c r="D17" s="300" t="s">
        <v>398</v>
      </c>
    </row>
    <row r="18" spans="1:4" ht="24.65" customHeight="1" x14ac:dyDescent="0.25">
      <c r="A18" s="299" t="s">
        <v>895</v>
      </c>
      <c r="B18" s="300" t="s">
        <v>408</v>
      </c>
      <c r="C18" s="301"/>
      <c r="D18" s="300" t="s">
        <v>370</v>
      </c>
    </row>
    <row r="19" spans="1:4" ht="24.65" customHeight="1" x14ac:dyDescent="0.25">
      <c r="A19" s="299" t="s">
        <v>899</v>
      </c>
      <c r="B19" s="300" t="s">
        <v>408</v>
      </c>
      <c r="C19" s="301"/>
      <c r="D19" s="300" t="s">
        <v>370</v>
      </c>
    </row>
    <row r="20" spans="1:4" ht="24.65" customHeight="1" x14ac:dyDescent="0.25">
      <c r="A20" s="299" t="s">
        <v>886</v>
      </c>
      <c r="B20" s="300" t="s">
        <v>408</v>
      </c>
      <c r="C20" s="301"/>
      <c r="D20" s="300" t="s">
        <v>370</v>
      </c>
    </row>
    <row r="21" spans="1:4" ht="24.65" customHeight="1" x14ac:dyDescent="0.25">
      <c r="A21" s="299" t="s">
        <v>900</v>
      </c>
      <c r="B21" s="300" t="s">
        <v>408</v>
      </c>
      <c r="C21" s="301"/>
      <c r="D21" s="300" t="s">
        <v>370</v>
      </c>
    </row>
    <row r="22" spans="1:4" ht="24.65" customHeight="1" x14ac:dyDescent="0.25">
      <c r="A22" s="299" t="s">
        <v>896</v>
      </c>
      <c r="B22" s="300" t="s">
        <v>408</v>
      </c>
      <c r="C22" s="301"/>
      <c r="D22" s="300" t="s">
        <v>370</v>
      </c>
    </row>
    <row r="23" spans="1:4" ht="24.65" customHeight="1" x14ac:dyDescent="0.25">
      <c r="A23" s="299" t="s">
        <v>901</v>
      </c>
      <c r="B23" s="300" t="s">
        <v>408</v>
      </c>
      <c r="C23" s="301"/>
      <c r="D23" s="300" t="s">
        <v>370</v>
      </c>
    </row>
    <row r="24" spans="1:4" ht="24.65" customHeight="1" x14ac:dyDescent="0.25">
      <c r="A24" s="299" t="s">
        <v>902</v>
      </c>
      <c r="B24" s="300" t="s">
        <v>408</v>
      </c>
      <c r="C24" s="301"/>
      <c r="D24" s="300" t="s">
        <v>370</v>
      </c>
    </row>
    <row r="25" spans="1:4" ht="24.65" customHeight="1" x14ac:dyDescent="0.25">
      <c r="A25" s="299" t="s">
        <v>877</v>
      </c>
      <c r="B25" s="300" t="s">
        <v>408</v>
      </c>
      <c r="C25" s="301"/>
      <c r="D25" s="300" t="s">
        <v>370</v>
      </c>
    </row>
    <row r="26" spans="1:4" ht="24.65" customHeight="1" x14ac:dyDescent="0.25">
      <c r="A26" s="299" t="s">
        <v>879</v>
      </c>
      <c r="B26" s="300" t="s">
        <v>1778</v>
      </c>
      <c r="C26" s="300" t="s">
        <v>1622</v>
      </c>
      <c r="D26" s="300" t="s">
        <v>398</v>
      </c>
    </row>
  </sheetData>
  <phoneticPr fontId="28" type="noConversion"/>
  <pageMargins left="0.51180553436279297" right="0.31486111879348755" top="0.74791663885116577" bottom="0.55111110210418701" header="0.31486111879348755" footer="0.3148611187934875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BH92"/>
  <sheetViews>
    <sheetView zoomScaleNormal="100" zoomScaleSheetLayoutView="100" workbookViewId="0">
      <selection activeCell="J37" sqref="J37"/>
    </sheetView>
  </sheetViews>
  <sheetFormatPr defaultColWidth="8.9140625" defaultRowHeight="17" x14ac:dyDescent="0.25"/>
  <cols>
    <col min="1" max="1" width="9.83203125" style="11" bestFit="1" customWidth="1"/>
    <col min="2" max="2" width="4.6640625" style="11" bestFit="1" customWidth="1"/>
    <col min="3" max="3" width="9.83203125" style="11" bestFit="1" customWidth="1"/>
    <col min="4" max="4" width="10.1640625" style="11" bestFit="1" customWidth="1"/>
    <col min="5" max="6" width="4.6640625" style="11" bestFit="1" customWidth="1"/>
    <col min="7" max="7" width="20.83203125" style="11" bestFit="1" customWidth="1"/>
    <col min="8" max="8" width="4.6640625" style="11" customWidth="1"/>
    <col min="9" max="9" width="9.83203125" style="11" bestFit="1" customWidth="1"/>
    <col min="10" max="10" width="7.1640625" style="11" bestFit="1" customWidth="1"/>
    <col min="11" max="12" width="4.6640625" style="11" customWidth="1"/>
    <col min="13" max="13" width="16.4140625" style="11" bestFit="1" customWidth="1"/>
    <col min="14" max="14" width="4.6640625" style="11" bestFit="1" customWidth="1"/>
    <col min="15" max="15" width="9.83203125" style="11" bestFit="1" customWidth="1"/>
    <col min="16" max="16" width="7.1640625" style="11" bestFit="1" customWidth="1"/>
    <col min="17" max="18" width="4.6640625" style="11" bestFit="1" customWidth="1"/>
    <col min="19" max="19" width="16.4140625" style="11" bestFit="1" customWidth="1"/>
    <col min="20" max="20" width="4.6640625" style="11" bestFit="1" customWidth="1"/>
    <col min="21" max="21" width="9.83203125" style="11" bestFit="1" customWidth="1"/>
    <col min="22" max="22" width="7.1640625" style="11" bestFit="1" customWidth="1"/>
    <col min="23" max="24" width="4.6640625" style="11" bestFit="1" customWidth="1"/>
    <col min="25" max="25" width="15.83203125" style="11" bestFit="1" customWidth="1"/>
    <col min="26" max="26" width="4.6640625" style="11" bestFit="1" customWidth="1"/>
    <col min="27" max="27" width="9.83203125" style="11" bestFit="1" customWidth="1"/>
    <col min="28" max="28" width="7.1640625" style="11" bestFit="1" customWidth="1"/>
    <col min="29" max="29" width="4.6640625" style="11" customWidth="1"/>
    <col min="30" max="30" width="4.6640625" style="11" bestFit="1" customWidth="1"/>
    <col min="31" max="31" width="14.6640625" style="11" bestFit="1" customWidth="1"/>
    <col min="32" max="32" width="4.6640625" style="11" bestFit="1" customWidth="1"/>
    <col min="33" max="33" width="9.83203125" style="11" bestFit="1" customWidth="1"/>
    <col min="34" max="34" width="6.33203125" style="11" bestFit="1" customWidth="1"/>
    <col min="35" max="35" width="4.6640625" style="11" customWidth="1"/>
    <col min="36" max="36" width="4.6640625" style="11" bestFit="1" customWidth="1"/>
    <col min="37" max="37" width="9.83203125" style="11" bestFit="1" customWidth="1"/>
    <col min="38" max="38" width="4.6640625" style="11" bestFit="1" customWidth="1"/>
    <col min="39" max="39" width="9.83203125" style="11" bestFit="1" customWidth="1"/>
    <col min="40" max="40" width="4.6640625" style="11" bestFit="1" customWidth="1"/>
    <col min="41" max="41" width="4.6640625" style="11" customWidth="1"/>
    <col min="42" max="42" width="4.6640625" style="11" bestFit="1" customWidth="1"/>
    <col min="43" max="43" width="9.83203125" style="11" bestFit="1" customWidth="1"/>
    <col min="44" max="44" width="4.6640625" style="11" bestFit="1" customWidth="1"/>
    <col min="45" max="45" width="9.83203125" style="11" bestFit="1" customWidth="1"/>
    <col min="46" max="46" width="4.6640625" style="11" bestFit="1" customWidth="1"/>
    <col min="47" max="47" width="4.6640625" style="11" customWidth="1"/>
    <col min="48" max="48" width="4.6640625" style="11" bestFit="1" customWidth="1"/>
    <col min="49" max="49" width="9.83203125" style="11" bestFit="1" customWidth="1"/>
    <col min="50" max="50" width="4.6640625" style="11" bestFit="1" customWidth="1"/>
    <col min="51" max="51" width="9.83203125" style="11" bestFit="1" customWidth="1"/>
    <col min="52" max="52" width="4.6640625" style="11" bestFit="1" customWidth="1"/>
    <col min="53" max="53" width="4.6640625" style="11" customWidth="1"/>
    <col min="54" max="54" width="4.6640625" style="11" bestFit="1" customWidth="1"/>
    <col min="55" max="55" width="9.83203125" style="11" bestFit="1" customWidth="1"/>
    <col min="56" max="56" width="4.6640625" style="11" bestFit="1" customWidth="1"/>
    <col min="57" max="57" width="9.83203125" style="11" bestFit="1" customWidth="1"/>
    <col min="58" max="58" width="4.6640625" style="11" bestFit="1" customWidth="1"/>
    <col min="59" max="59" width="4.6640625" style="11" customWidth="1"/>
    <col min="60" max="60" width="4.6640625" style="11" bestFit="1" customWidth="1"/>
    <col min="61" max="16384" width="8.9140625" style="11"/>
  </cols>
  <sheetData>
    <row r="1" spans="1:27" s="83" customFormat="1" x14ac:dyDescent="0.25">
      <c r="A1" s="345" t="s">
        <v>1565</v>
      </c>
      <c r="B1" s="346"/>
      <c r="C1" s="346"/>
      <c r="D1" s="346"/>
      <c r="E1" s="346"/>
      <c r="F1" s="347"/>
      <c r="G1" s="348" t="s">
        <v>555</v>
      </c>
      <c r="H1" s="349"/>
      <c r="I1" s="349"/>
      <c r="J1" s="349"/>
      <c r="K1" s="349"/>
      <c r="L1" s="350"/>
      <c r="M1" s="348" t="s">
        <v>1613</v>
      </c>
      <c r="N1" s="349"/>
      <c r="O1" s="349"/>
      <c r="P1" s="349"/>
      <c r="Q1" s="349"/>
      <c r="R1" s="350"/>
    </row>
    <row r="2" spans="1:27" s="83" customFormat="1" x14ac:dyDescent="0.25">
      <c r="A2" s="351" t="s">
        <v>1082</v>
      </c>
      <c r="B2" s="352"/>
      <c r="C2" s="352"/>
      <c r="D2" s="352"/>
      <c r="E2" s="352"/>
      <c r="F2" s="353"/>
      <c r="G2" s="354" t="s">
        <v>559</v>
      </c>
      <c r="H2" s="355"/>
      <c r="I2" s="355"/>
      <c r="J2" s="355"/>
      <c r="K2" s="355"/>
      <c r="L2" s="356"/>
      <c r="M2" s="354" t="s">
        <v>1091</v>
      </c>
      <c r="N2" s="355"/>
      <c r="O2" s="355"/>
      <c r="P2" s="355"/>
      <c r="Q2" s="355"/>
      <c r="R2" s="356"/>
    </row>
    <row r="3" spans="1:27" x14ac:dyDescent="0.25">
      <c r="A3" s="357" t="s">
        <v>1755</v>
      </c>
      <c r="B3" s="358"/>
      <c r="C3" s="358"/>
      <c r="D3" s="358"/>
      <c r="E3" s="358"/>
      <c r="F3" s="359"/>
      <c r="G3" s="357" t="s">
        <v>1393</v>
      </c>
      <c r="H3" s="358"/>
      <c r="I3" s="358"/>
      <c r="J3" s="358"/>
      <c r="K3" s="358"/>
      <c r="L3" s="359"/>
      <c r="M3" s="357" t="s">
        <v>1760</v>
      </c>
      <c r="N3" s="358"/>
      <c r="O3" s="358"/>
      <c r="P3" s="358"/>
      <c r="Q3" s="358"/>
      <c r="R3" s="359"/>
    </row>
    <row r="4" spans="1:27" x14ac:dyDescent="0.25">
      <c r="A4" s="360" t="s">
        <v>125</v>
      </c>
      <c r="B4" s="329"/>
      <c r="C4" s="361" t="s">
        <v>127</v>
      </c>
      <c r="D4" s="362"/>
      <c r="E4" s="329"/>
      <c r="F4" s="363" t="s">
        <v>90</v>
      </c>
      <c r="G4" s="360" t="s">
        <v>125</v>
      </c>
      <c r="H4" s="329"/>
      <c r="I4" s="361" t="s">
        <v>127</v>
      </c>
      <c r="J4" s="362"/>
      <c r="K4" s="329"/>
      <c r="L4" s="363" t="s">
        <v>90</v>
      </c>
      <c r="M4" s="360" t="s">
        <v>125</v>
      </c>
      <c r="N4" s="329"/>
      <c r="O4" s="361" t="s">
        <v>127</v>
      </c>
      <c r="P4" s="362"/>
      <c r="Q4" s="329"/>
      <c r="R4" s="363" t="s">
        <v>90</v>
      </c>
    </row>
    <row r="5" spans="1:27" s="1" customFormat="1" x14ac:dyDescent="0.25">
      <c r="A5" s="80" t="s">
        <v>1192</v>
      </c>
      <c r="B5" s="78" t="s">
        <v>89</v>
      </c>
      <c r="C5" s="31" t="s">
        <v>1039</v>
      </c>
      <c r="D5" s="77" t="s">
        <v>316</v>
      </c>
      <c r="E5" s="78" t="s">
        <v>89</v>
      </c>
      <c r="F5" s="364" t="s">
        <v>90</v>
      </c>
      <c r="G5" s="80" t="s">
        <v>1192</v>
      </c>
      <c r="H5" s="78" t="s">
        <v>89</v>
      </c>
      <c r="I5" s="31" t="s">
        <v>1039</v>
      </c>
      <c r="J5" s="77" t="s">
        <v>316</v>
      </c>
      <c r="K5" s="78" t="s">
        <v>89</v>
      </c>
      <c r="L5" s="364" t="s">
        <v>90</v>
      </c>
      <c r="M5" s="80" t="s">
        <v>1192</v>
      </c>
      <c r="N5" s="78" t="s">
        <v>89</v>
      </c>
      <c r="O5" s="31" t="s">
        <v>1039</v>
      </c>
      <c r="P5" s="77" t="s">
        <v>316</v>
      </c>
      <c r="Q5" s="78" t="s">
        <v>89</v>
      </c>
      <c r="R5" s="364" t="s">
        <v>90</v>
      </c>
    </row>
    <row r="6" spans="1:27" s="1" customFormat="1" x14ac:dyDescent="0.25">
      <c r="A6" s="73">
        <v>43454</v>
      </c>
      <c r="B6" s="79">
        <v>7</v>
      </c>
      <c r="D6" s="99"/>
      <c r="E6" s="161"/>
      <c r="F6" s="60">
        <v>7</v>
      </c>
      <c r="G6" s="73">
        <v>43525</v>
      </c>
      <c r="H6" s="79">
        <v>5</v>
      </c>
      <c r="K6" s="161"/>
      <c r="L6" s="60">
        <f>H6</f>
        <v>5</v>
      </c>
      <c r="M6" s="73">
        <v>43525</v>
      </c>
      <c r="N6" s="79">
        <v>2</v>
      </c>
      <c r="Q6" s="161"/>
      <c r="R6" s="60">
        <v>2</v>
      </c>
    </row>
    <row r="7" spans="1:27" s="1" customFormat="1" x14ac:dyDescent="0.25">
      <c r="A7" s="72"/>
      <c r="B7" s="79"/>
      <c r="C7" s="84">
        <v>43475</v>
      </c>
      <c r="D7" s="1" t="s">
        <v>1082</v>
      </c>
      <c r="E7" s="79">
        <v>1</v>
      </c>
      <c r="F7" s="60">
        <f>F6+B7-E7</f>
        <v>6</v>
      </c>
      <c r="G7" s="72"/>
      <c r="H7" s="79"/>
      <c r="I7" s="84">
        <v>43537</v>
      </c>
      <c r="J7" s="1" t="s">
        <v>744</v>
      </c>
      <c r="K7" s="79">
        <v>1</v>
      </c>
      <c r="L7" s="60">
        <f>L6+H7-K7</f>
        <v>4</v>
      </c>
      <c r="M7" s="72"/>
      <c r="N7" s="79"/>
      <c r="O7" s="84">
        <v>43571</v>
      </c>
      <c r="P7" s="1" t="s">
        <v>101</v>
      </c>
      <c r="Q7" s="79">
        <v>1</v>
      </c>
      <c r="R7" s="60">
        <f>R6+N7-Q7</f>
        <v>1</v>
      </c>
    </row>
    <row r="8" spans="1:27" s="1" customFormat="1" x14ac:dyDescent="0.25">
      <c r="A8" s="72"/>
      <c r="B8" s="79"/>
      <c r="C8" s="84">
        <v>43516</v>
      </c>
      <c r="D8" s="1" t="s">
        <v>1095</v>
      </c>
      <c r="E8" s="79">
        <v>1</v>
      </c>
      <c r="F8" s="60">
        <f t="shared" ref="F8:F24" si="0">F7+B8-E8</f>
        <v>5</v>
      </c>
      <c r="G8" s="73">
        <v>43677</v>
      </c>
      <c r="H8" s="79">
        <v>1</v>
      </c>
      <c r="K8" s="79"/>
      <c r="L8" s="60">
        <f t="shared" ref="L8:L28" si="1">L7+H8-K8</f>
        <v>5</v>
      </c>
      <c r="O8" s="84">
        <v>43636</v>
      </c>
      <c r="P8" s="1" t="s">
        <v>101</v>
      </c>
      <c r="Q8" s="79">
        <v>1</v>
      </c>
      <c r="R8" s="60">
        <f t="shared" ref="R8:R21" si="2">R7+N8-Q8</f>
        <v>0</v>
      </c>
      <c r="S8" s="72"/>
      <c r="U8" s="158"/>
      <c r="Y8" s="158"/>
      <c r="AA8" s="158"/>
    </row>
    <row r="9" spans="1:27" s="1" customFormat="1" x14ac:dyDescent="0.25">
      <c r="A9" s="72"/>
      <c r="B9" s="79"/>
      <c r="C9" s="1" t="s">
        <v>76</v>
      </c>
      <c r="D9" s="1" t="s">
        <v>76</v>
      </c>
      <c r="E9" s="79">
        <v>1</v>
      </c>
      <c r="F9" s="60">
        <f t="shared" si="0"/>
        <v>4</v>
      </c>
      <c r="G9" s="72"/>
      <c r="H9" s="79"/>
      <c r="I9" s="84">
        <v>43621</v>
      </c>
      <c r="J9" s="1" t="s">
        <v>744</v>
      </c>
      <c r="K9" s="79">
        <v>2</v>
      </c>
      <c r="L9" s="60">
        <f t="shared" si="1"/>
        <v>3</v>
      </c>
      <c r="M9" s="73" t="s">
        <v>1758</v>
      </c>
      <c r="N9" s="79">
        <v>1</v>
      </c>
      <c r="O9" s="84">
        <v>43749</v>
      </c>
      <c r="P9" s="1" t="s">
        <v>101</v>
      </c>
      <c r="Q9" s="79">
        <v>1</v>
      </c>
      <c r="R9" s="60">
        <f t="shared" si="2"/>
        <v>0</v>
      </c>
      <c r="S9" s="72"/>
      <c r="U9" s="158"/>
      <c r="AA9" s="158"/>
    </row>
    <row r="10" spans="1:27" s="1" customFormat="1" x14ac:dyDescent="0.25">
      <c r="A10" s="72"/>
      <c r="B10" s="79"/>
      <c r="C10" s="84">
        <v>43607</v>
      </c>
      <c r="D10" s="1" t="s">
        <v>1082</v>
      </c>
      <c r="E10" s="79">
        <v>1</v>
      </c>
      <c r="F10" s="60">
        <f t="shared" si="0"/>
        <v>3</v>
      </c>
      <c r="G10" s="72"/>
      <c r="H10" s="79"/>
      <c r="I10" s="84">
        <v>43677</v>
      </c>
      <c r="J10" s="1" t="s">
        <v>744</v>
      </c>
      <c r="K10" s="79">
        <v>1</v>
      </c>
      <c r="L10" s="60">
        <f t="shared" si="1"/>
        <v>2</v>
      </c>
      <c r="M10" s="115" t="s">
        <v>1735</v>
      </c>
      <c r="N10" s="79">
        <v>4</v>
      </c>
      <c r="Q10" s="79"/>
      <c r="R10" s="60">
        <f t="shared" si="2"/>
        <v>4</v>
      </c>
      <c r="S10" s="72"/>
      <c r="U10" s="158"/>
      <c r="AA10" s="158"/>
    </row>
    <row r="11" spans="1:27" s="1" customFormat="1" x14ac:dyDescent="0.25">
      <c r="A11" s="72"/>
      <c r="B11" s="79"/>
      <c r="C11" s="84">
        <v>43671</v>
      </c>
      <c r="D11" s="1" t="s">
        <v>1095</v>
      </c>
      <c r="E11" s="79">
        <v>1</v>
      </c>
      <c r="F11" s="60">
        <f t="shared" si="0"/>
        <v>2</v>
      </c>
      <c r="I11" s="84">
        <v>43776</v>
      </c>
      <c r="J11" s="1" t="s">
        <v>744</v>
      </c>
      <c r="K11" s="79">
        <v>1</v>
      </c>
      <c r="L11" s="60">
        <f t="shared" si="1"/>
        <v>1</v>
      </c>
      <c r="O11" s="84">
        <v>43922</v>
      </c>
      <c r="P11" s="1" t="s">
        <v>101</v>
      </c>
      <c r="Q11" s="79">
        <v>1</v>
      </c>
      <c r="R11" s="60">
        <f t="shared" si="2"/>
        <v>3</v>
      </c>
      <c r="S11" s="72"/>
      <c r="U11" s="158"/>
      <c r="AA11" s="158"/>
    </row>
    <row r="12" spans="1:27" s="1" customFormat="1" x14ac:dyDescent="0.25">
      <c r="A12" s="72"/>
      <c r="B12" s="79"/>
      <c r="C12" s="84">
        <v>43749</v>
      </c>
      <c r="D12" s="1" t="s">
        <v>1082</v>
      </c>
      <c r="E12" s="79">
        <v>1</v>
      </c>
      <c r="F12" s="60">
        <f t="shared" si="0"/>
        <v>1</v>
      </c>
      <c r="G12" s="147" t="s">
        <v>1762</v>
      </c>
      <c r="H12" s="79">
        <v>5</v>
      </c>
      <c r="K12" s="79"/>
      <c r="L12" s="60">
        <f t="shared" si="1"/>
        <v>6</v>
      </c>
      <c r="M12" s="72"/>
      <c r="N12" s="79"/>
      <c r="O12" s="84">
        <v>44061</v>
      </c>
      <c r="P12" s="1" t="s">
        <v>101</v>
      </c>
      <c r="Q12" s="79">
        <v>1</v>
      </c>
      <c r="R12" s="60">
        <f t="shared" si="2"/>
        <v>2</v>
      </c>
      <c r="S12" s="72"/>
      <c r="U12" s="158"/>
      <c r="AA12" s="158"/>
    </row>
    <row r="13" spans="1:27" s="1" customFormat="1" x14ac:dyDescent="0.25">
      <c r="A13" s="73">
        <v>43849</v>
      </c>
      <c r="B13" s="79">
        <v>1</v>
      </c>
      <c r="E13" s="79"/>
      <c r="F13" s="60">
        <f t="shared" si="0"/>
        <v>2</v>
      </c>
      <c r="G13" s="72"/>
      <c r="H13" s="79"/>
      <c r="I13" s="84">
        <v>44010</v>
      </c>
      <c r="J13" s="1" t="s">
        <v>744</v>
      </c>
      <c r="K13" s="79">
        <v>1</v>
      </c>
      <c r="L13" s="60">
        <f t="shared" si="1"/>
        <v>5</v>
      </c>
      <c r="M13" s="72"/>
      <c r="N13" s="79"/>
      <c r="O13" s="84">
        <v>44228</v>
      </c>
      <c r="P13" s="116" t="s">
        <v>1095</v>
      </c>
      <c r="Q13" s="79">
        <v>1</v>
      </c>
      <c r="R13" s="60">
        <f t="shared" si="2"/>
        <v>1</v>
      </c>
      <c r="S13" s="72"/>
      <c r="U13" s="158"/>
      <c r="AA13" s="158"/>
    </row>
    <row r="14" spans="1:27" s="1" customFormat="1" x14ac:dyDescent="0.25">
      <c r="A14" s="73">
        <v>43874</v>
      </c>
      <c r="B14" s="79">
        <v>7</v>
      </c>
      <c r="E14" s="79"/>
      <c r="F14" s="60">
        <f t="shared" si="0"/>
        <v>9</v>
      </c>
      <c r="G14" s="72"/>
      <c r="H14" s="79"/>
      <c r="I14" s="84">
        <v>44061</v>
      </c>
      <c r="J14" s="1" t="s">
        <v>744</v>
      </c>
      <c r="K14" s="79">
        <v>1</v>
      </c>
      <c r="L14" s="60">
        <f t="shared" si="1"/>
        <v>4</v>
      </c>
      <c r="M14" s="72"/>
      <c r="N14" s="79"/>
      <c r="O14" s="84">
        <v>44249</v>
      </c>
      <c r="P14" s="1" t="s">
        <v>101</v>
      </c>
      <c r="Q14" s="79">
        <v>1</v>
      </c>
      <c r="R14" s="60">
        <f t="shared" si="2"/>
        <v>0</v>
      </c>
      <c r="S14" s="72"/>
      <c r="U14" s="158"/>
      <c r="AA14" s="158"/>
    </row>
    <row r="15" spans="1:27" s="1" customFormat="1" x14ac:dyDescent="0.25">
      <c r="A15" s="72"/>
      <c r="B15" s="79"/>
      <c r="C15" s="84">
        <v>43755</v>
      </c>
      <c r="D15" s="1" t="s">
        <v>1095</v>
      </c>
      <c r="E15" s="79">
        <v>1</v>
      </c>
      <c r="F15" s="60">
        <f t="shared" si="0"/>
        <v>8</v>
      </c>
      <c r="I15" s="84">
        <v>44083</v>
      </c>
      <c r="J15" s="1" t="s">
        <v>1082</v>
      </c>
      <c r="K15" s="79">
        <v>1</v>
      </c>
      <c r="L15" s="60">
        <f t="shared" si="1"/>
        <v>3</v>
      </c>
      <c r="M15" s="152" t="s">
        <v>1741</v>
      </c>
      <c r="N15" s="79">
        <v>2</v>
      </c>
      <c r="Q15" s="79"/>
      <c r="R15" s="60">
        <f t="shared" si="2"/>
        <v>2</v>
      </c>
      <c r="S15" s="72"/>
      <c r="U15" s="158"/>
      <c r="AA15" s="158"/>
    </row>
    <row r="16" spans="1:27" s="1" customFormat="1" x14ac:dyDescent="0.25">
      <c r="A16" s="72"/>
      <c r="B16" s="79"/>
      <c r="C16" s="84">
        <v>43849</v>
      </c>
      <c r="D16" s="1" t="s">
        <v>1095</v>
      </c>
      <c r="E16" s="79">
        <v>1</v>
      </c>
      <c r="F16" s="60">
        <f t="shared" si="0"/>
        <v>7</v>
      </c>
      <c r="I16" s="84">
        <v>44097</v>
      </c>
      <c r="J16" s="1" t="s">
        <v>744</v>
      </c>
      <c r="K16" s="79">
        <v>1</v>
      </c>
      <c r="L16" s="60">
        <f t="shared" si="1"/>
        <v>2</v>
      </c>
      <c r="M16" s="72"/>
      <c r="N16" s="79"/>
      <c r="O16" s="84">
        <v>44349</v>
      </c>
      <c r="P16" s="1" t="s">
        <v>101</v>
      </c>
      <c r="Q16" s="79">
        <v>1</v>
      </c>
      <c r="R16" s="60">
        <f t="shared" si="2"/>
        <v>1</v>
      </c>
      <c r="S16" s="72"/>
      <c r="U16" s="158"/>
      <c r="AA16" s="158"/>
    </row>
    <row r="17" spans="1:27" s="1" customFormat="1" x14ac:dyDescent="0.25">
      <c r="A17" s="72"/>
      <c r="B17" s="79"/>
      <c r="C17" s="84">
        <v>44018</v>
      </c>
      <c r="D17" s="1" t="s">
        <v>1095</v>
      </c>
      <c r="E17" s="79">
        <v>1</v>
      </c>
      <c r="F17" s="60">
        <f t="shared" si="0"/>
        <v>6</v>
      </c>
      <c r="G17" s="151" t="s">
        <v>1741</v>
      </c>
      <c r="H17" s="79">
        <v>5</v>
      </c>
      <c r="K17" s="79"/>
      <c r="L17" s="60">
        <f t="shared" si="1"/>
        <v>7</v>
      </c>
      <c r="O17" s="84">
        <v>44474</v>
      </c>
      <c r="P17" s="1" t="s">
        <v>101</v>
      </c>
      <c r="Q17" s="79">
        <v>1</v>
      </c>
      <c r="R17" s="60">
        <f t="shared" si="2"/>
        <v>0</v>
      </c>
      <c r="S17" s="72"/>
      <c r="U17" s="158"/>
      <c r="AA17" s="158"/>
    </row>
    <row r="18" spans="1:27" s="1" customFormat="1" x14ac:dyDescent="0.25">
      <c r="A18" s="73">
        <v>43901</v>
      </c>
      <c r="B18" s="79">
        <v>7</v>
      </c>
      <c r="E18" s="79"/>
      <c r="F18" s="60">
        <f t="shared" si="0"/>
        <v>13</v>
      </c>
      <c r="G18" s="72"/>
      <c r="H18" s="79"/>
      <c r="I18" s="84">
        <v>44267</v>
      </c>
      <c r="J18" s="1" t="s">
        <v>744</v>
      </c>
      <c r="K18" s="79">
        <v>1</v>
      </c>
      <c r="L18" s="60">
        <f t="shared" si="1"/>
        <v>6</v>
      </c>
      <c r="M18" s="157" t="s">
        <v>1738</v>
      </c>
      <c r="N18" s="79">
        <v>1</v>
      </c>
      <c r="Q18" s="79"/>
      <c r="R18" s="60">
        <f t="shared" si="2"/>
        <v>1</v>
      </c>
      <c r="S18" s="72"/>
      <c r="U18" s="158"/>
      <c r="AA18" s="158"/>
    </row>
    <row r="19" spans="1:27" s="1" customFormat="1" x14ac:dyDescent="0.25">
      <c r="A19" s="72"/>
      <c r="B19" s="79"/>
      <c r="C19" s="84">
        <v>44088</v>
      </c>
      <c r="D19" s="1" t="s">
        <v>1082</v>
      </c>
      <c r="E19" s="79">
        <v>1</v>
      </c>
      <c r="F19" s="60">
        <f t="shared" si="0"/>
        <v>12</v>
      </c>
      <c r="I19" s="84">
        <v>43905</v>
      </c>
      <c r="J19" s="1" t="s">
        <v>1082</v>
      </c>
      <c r="K19" s="79">
        <v>1</v>
      </c>
      <c r="L19" s="60">
        <f t="shared" si="1"/>
        <v>5</v>
      </c>
      <c r="M19" s="72" t="s">
        <v>1749</v>
      </c>
      <c r="N19" s="79">
        <v>2</v>
      </c>
      <c r="O19" s="84"/>
      <c r="Q19" s="79"/>
      <c r="R19" s="60">
        <f t="shared" si="2"/>
        <v>3</v>
      </c>
      <c r="S19" s="72"/>
      <c r="U19" s="158"/>
      <c r="AA19" s="158"/>
    </row>
    <row r="20" spans="1:27" s="1" customFormat="1" x14ac:dyDescent="0.25">
      <c r="A20" s="72"/>
      <c r="B20" s="79"/>
      <c r="C20" s="84">
        <v>44146</v>
      </c>
      <c r="D20" s="1" t="s">
        <v>1095</v>
      </c>
      <c r="E20" s="79">
        <v>1</v>
      </c>
      <c r="F20" s="60">
        <f t="shared" si="0"/>
        <v>11</v>
      </c>
      <c r="G20" s="151" t="s">
        <v>1223</v>
      </c>
      <c r="H20" s="79">
        <v>5</v>
      </c>
      <c r="K20" s="79"/>
      <c r="L20" s="60">
        <f t="shared" si="1"/>
        <v>10</v>
      </c>
      <c r="M20" s="72"/>
      <c r="N20" s="79"/>
      <c r="O20" s="84">
        <v>44627</v>
      </c>
      <c r="P20" s="1" t="s">
        <v>101</v>
      </c>
      <c r="Q20" s="79">
        <v>1</v>
      </c>
      <c r="R20" s="60">
        <f t="shared" si="2"/>
        <v>2</v>
      </c>
      <c r="S20" s="72"/>
      <c r="U20" s="158"/>
      <c r="AA20" s="158"/>
    </row>
    <row r="21" spans="1:27" s="1" customFormat="1" x14ac:dyDescent="0.25">
      <c r="A21" s="72"/>
      <c r="B21" s="79"/>
      <c r="C21" s="84">
        <v>44202</v>
      </c>
      <c r="D21" s="1" t="s">
        <v>1095</v>
      </c>
      <c r="E21" s="79">
        <v>1</v>
      </c>
      <c r="F21" s="60">
        <f t="shared" si="0"/>
        <v>10</v>
      </c>
      <c r="G21" s="72"/>
      <c r="H21" s="79"/>
      <c r="I21" s="84">
        <v>44350</v>
      </c>
      <c r="J21" s="1" t="s">
        <v>744</v>
      </c>
      <c r="K21" s="79">
        <v>1</v>
      </c>
      <c r="L21" s="60">
        <f t="shared" si="1"/>
        <v>9</v>
      </c>
      <c r="M21" s="84" t="s">
        <v>1745</v>
      </c>
      <c r="N21" s="79">
        <v>1</v>
      </c>
      <c r="O21" s="84"/>
      <c r="Q21" s="79"/>
      <c r="R21" s="60">
        <f t="shared" si="2"/>
        <v>3</v>
      </c>
      <c r="S21" s="72"/>
      <c r="U21" s="158"/>
      <c r="AA21" s="158"/>
    </row>
    <row r="22" spans="1:27" s="1" customFormat="1" x14ac:dyDescent="0.25">
      <c r="A22" s="72"/>
      <c r="B22" s="79"/>
      <c r="C22" s="84">
        <v>44326</v>
      </c>
      <c r="D22" s="1" t="s">
        <v>1095</v>
      </c>
      <c r="E22" s="79">
        <v>1</v>
      </c>
      <c r="F22" s="60">
        <f t="shared" si="0"/>
        <v>9</v>
      </c>
      <c r="G22" s="72"/>
      <c r="H22" s="79"/>
      <c r="I22" s="84">
        <v>44431</v>
      </c>
      <c r="J22" s="1" t="s">
        <v>744</v>
      </c>
      <c r="K22" s="79">
        <v>1</v>
      </c>
      <c r="L22" s="60">
        <f t="shared" si="1"/>
        <v>8</v>
      </c>
      <c r="M22" s="72"/>
      <c r="N22" s="79"/>
      <c r="O22" s="84">
        <v>44715</v>
      </c>
      <c r="P22" s="1" t="s">
        <v>101</v>
      </c>
      <c r="Q22" s="79">
        <v>1</v>
      </c>
      <c r="R22" s="60">
        <v>2</v>
      </c>
      <c r="S22" s="72"/>
      <c r="U22" s="158"/>
      <c r="AA22" s="158"/>
    </row>
    <row r="23" spans="1:27" s="1" customFormat="1" x14ac:dyDescent="0.25">
      <c r="A23" s="72"/>
      <c r="B23" s="79"/>
      <c r="C23" s="84">
        <v>44344</v>
      </c>
      <c r="D23" s="153" t="s">
        <v>1042</v>
      </c>
      <c r="E23" s="79">
        <v>7</v>
      </c>
      <c r="F23" s="60">
        <f t="shared" si="0"/>
        <v>2</v>
      </c>
      <c r="G23" s="72"/>
      <c r="H23" s="79"/>
      <c r="I23" s="84">
        <v>44446</v>
      </c>
      <c r="J23" s="1" t="s">
        <v>1082</v>
      </c>
      <c r="K23" s="79">
        <v>1</v>
      </c>
      <c r="L23" s="60">
        <f t="shared" si="1"/>
        <v>7</v>
      </c>
      <c r="M23" s="72"/>
      <c r="N23" s="79"/>
      <c r="O23" s="84">
        <v>44838</v>
      </c>
      <c r="P23" s="1" t="s">
        <v>101</v>
      </c>
      <c r="Q23" s="79">
        <v>1</v>
      </c>
      <c r="R23" s="60">
        <v>1</v>
      </c>
      <c r="S23" s="72"/>
      <c r="U23" s="158"/>
      <c r="AA23" s="158"/>
    </row>
    <row r="24" spans="1:27" s="1" customFormat="1" x14ac:dyDescent="0.25">
      <c r="A24" s="72"/>
      <c r="B24" s="79"/>
      <c r="C24" s="84">
        <v>44475</v>
      </c>
      <c r="D24" s="156" t="s">
        <v>1042</v>
      </c>
      <c r="E24" s="79">
        <v>1</v>
      </c>
      <c r="F24" s="60">
        <f t="shared" si="0"/>
        <v>1</v>
      </c>
      <c r="I24" s="84">
        <v>44475</v>
      </c>
      <c r="J24" s="1" t="s">
        <v>744</v>
      </c>
      <c r="K24" s="79">
        <v>1</v>
      </c>
      <c r="L24" s="60">
        <f t="shared" si="1"/>
        <v>6</v>
      </c>
      <c r="M24" s="72"/>
      <c r="N24" s="79"/>
      <c r="O24" s="84"/>
      <c r="Q24" s="79"/>
      <c r="R24" s="60"/>
      <c r="S24" s="72"/>
      <c r="U24" s="158"/>
      <c r="AA24" s="158"/>
    </row>
    <row r="25" spans="1:27" s="1" customFormat="1" x14ac:dyDescent="0.25">
      <c r="A25" s="72"/>
      <c r="B25" s="79"/>
      <c r="C25" s="84">
        <v>44643</v>
      </c>
      <c r="D25" s="156" t="s">
        <v>1042</v>
      </c>
      <c r="E25" s="79">
        <v>1</v>
      </c>
      <c r="F25" s="60">
        <v>0</v>
      </c>
      <c r="G25" s="72" t="s">
        <v>1749</v>
      </c>
      <c r="H25" s="79">
        <v>5</v>
      </c>
      <c r="K25" s="79"/>
      <c r="L25" s="60">
        <f t="shared" si="1"/>
        <v>11</v>
      </c>
      <c r="M25" s="72"/>
      <c r="N25" s="79"/>
      <c r="O25" s="84"/>
      <c r="Q25" s="79"/>
      <c r="R25" s="60"/>
      <c r="S25" s="72"/>
      <c r="U25" s="158"/>
      <c r="AA25" s="158"/>
    </row>
    <row r="26" spans="1:27" s="1" customFormat="1" x14ac:dyDescent="0.25">
      <c r="A26" s="72" t="s">
        <v>132</v>
      </c>
      <c r="B26" s="79" t="s">
        <v>116</v>
      </c>
      <c r="C26" s="84" t="s">
        <v>69</v>
      </c>
      <c r="D26" s="1" t="s">
        <v>108</v>
      </c>
      <c r="E26" s="79"/>
      <c r="F26" s="60"/>
      <c r="G26" s="72"/>
      <c r="H26" s="79"/>
      <c r="I26" s="84">
        <v>44523</v>
      </c>
      <c r="J26" s="1" t="s">
        <v>1095</v>
      </c>
      <c r="K26" s="79">
        <v>1</v>
      </c>
      <c r="L26" s="60">
        <f t="shared" si="1"/>
        <v>10</v>
      </c>
      <c r="M26" s="72"/>
      <c r="N26" s="79"/>
      <c r="O26" s="84"/>
      <c r="Q26" s="79"/>
      <c r="R26" s="60"/>
      <c r="S26" s="72"/>
      <c r="U26" s="158"/>
      <c r="AA26" s="158"/>
    </row>
    <row r="27" spans="1:27" s="1" customFormat="1" x14ac:dyDescent="0.25">
      <c r="A27" s="72"/>
      <c r="B27" s="79"/>
      <c r="C27" s="84"/>
      <c r="E27" s="79"/>
      <c r="F27" s="60"/>
      <c r="G27" s="72"/>
      <c r="H27" s="79"/>
      <c r="I27" s="84">
        <v>44627</v>
      </c>
      <c r="J27" s="1" t="s">
        <v>744</v>
      </c>
      <c r="K27" s="79">
        <v>1</v>
      </c>
      <c r="L27" s="60">
        <f t="shared" si="1"/>
        <v>9</v>
      </c>
      <c r="M27" s="72"/>
      <c r="N27" s="79"/>
      <c r="O27" s="84"/>
      <c r="Q27" s="79"/>
      <c r="R27" s="60"/>
      <c r="S27" s="72"/>
      <c r="U27" s="158"/>
      <c r="AA27" s="158"/>
    </row>
    <row r="28" spans="1:27" s="1" customFormat="1" x14ac:dyDescent="0.25">
      <c r="A28" s="72"/>
      <c r="B28" s="79"/>
      <c r="C28" s="84"/>
      <c r="E28" s="79"/>
      <c r="F28" s="60"/>
      <c r="G28" s="72"/>
      <c r="H28" s="79"/>
      <c r="I28" s="84">
        <v>44651</v>
      </c>
      <c r="J28" s="1" t="s">
        <v>1095</v>
      </c>
      <c r="K28" s="79">
        <v>1</v>
      </c>
      <c r="L28" s="60">
        <f t="shared" si="1"/>
        <v>8</v>
      </c>
      <c r="M28" s="72"/>
      <c r="N28" s="79"/>
      <c r="O28" s="84"/>
      <c r="Q28" s="79"/>
      <c r="R28" s="60"/>
      <c r="S28" s="72"/>
      <c r="U28" s="158"/>
      <c r="AA28" s="158"/>
    </row>
    <row r="29" spans="1:27" s="1" customFormat="1" x14ac:dyDescent="0.25">
      <c r="A29" s="72"/>
      <c r="B29" s="79"/>
      <c r="C29" s="84"/>
      <c r="E29" s="79"/>
      <c r="F29" s="60"/>
      <c r="G29" s="72"/>
      <c r="H29" s="79"/>
      <c r="I29" s="84" t="s">
        <v>76</v>
      </c>
      <c r="J29" s="1" t="s">
        <v>76</v>
      </c>
      <c r="K29" s="79">
        <v>1</v>
      </c>
      <c r="L29" s="60">
        <v>7</v>
      </c>
      <c r="M29" s="72"/>
      <c r="N29" s="79"/>
      <c r="O29" s="84"/>
      <c r="Q29" s="79"/>
      <c r="R29" s="60"/>
      <c r="S29" s="72"/>
      <c r="U29" s="158"/>
      <c r="AA29" s="158"/>
    </row>
    <row r="30" spans="1:27" s="1" customFormat="1" x14ac:dyDescent="0.25">
      <c r="A30" s="72"/>
      <c r="B30" s="79"/>
      <c r="C30" s="84"/>
      <c r="E30" s="79"/>
      <c r="F30" s="60"/>
      <c r="G30" s="72"/>
      <c r="H30" s="79"/>
      <c r="I30" s="84">
        <v>44736</v>
      </c>
      <c r="J30" s="1" t="s">
        <v>744</v>
      </c>
      <c r="K30" s="79">
        <v>1</v>
      </c>
      <c r="L30" s="60">
        <v>6</v>
      </c>
      <c r="Q30" s="79"/>
      <c r="R30" s="60"/>
      <c r="S30" s="72"/>
      <c r="U30" s="158"/>
      <c r="AA30" s="158"/>
    </row>
    <row r="31" spans="1:27" s="1" customFormat="1" x14ac:dyDescent="0.25">
      <c r="A31" s="72"/>
      <c r="B31" s="79"/>
      <c r="C31" s="84"/>
      <c r="E31" s="79"/>
      <c r="F31" s="60"/>
      <c r="G31" s="72"/>
      <c r="H31" s="79"/>
      <c r="I31" s="84">
        <v>44736</v>
      </c>
      <c r="J31" s="1" t="s">
        <v>1095</v>
      </c>
      <c r="K31" s="79">
        <v>1</v>
      </c>
      <c r="L31" s="60">
        <v>5</v>
      </c>
      <c r="M31" s="72"/>
      <c r="N31" s="79"/>
      <c r="O31" s="84"/>
      <c r="Q31" s="79"/>
      <c r="R31" s="60"/>
      <c r="S31" s="72"/>
      <c r="U31" s="158"/>
      <c r="AA31" s="158"/>
    </row>
    <row r="32" spans="1:27" s="1" customFormat="1" x14ac:dyDescent="0.25">
      <c r="A32" s="72"/>
      <c r="B32" s="79"/>
      <c r="C32" s="84"/>
      <c r="E32" s="79"/>
      <c r="F32" s="60"/>
      <c r="G32" s="72"/>
      <c r="H32" s="79"/>
      <c r="I32" s="84">
        <v>44753</v>
      </c>
      <c r="J32" s="1" t="s">
        <v>1082</v>
      </c>
      <c r="K32" s="79">
        <v>1</v>
      </c>
      <c r="L32" s="60">
        <v>4</v>
      </c>
      <c r="M32" s="72"/>
      <c r="N32" s="79"/>
      <c r="O32" s="84"/>
      <c r="Q32" s="79"/>
      <c r="R32" s="60"/>
      <c r="S32" s="72"/>
      <c r="U32" s="158"/>
      <c r="AA32" s="158"/>
    </row>
    <row r="33" spans="1:30" s="1" customFormat="1" x14ac:dyDescent="0.25">
      <c r="A33" s="72"/>
      <c r="B33" s="79"/>
      <c r="C33" s="84"/>
      <c r="E33" s="79"/>
      <c r="F33" s="60"/>
      <c r="G33" s="72"/>
      <c r="H33" s="79"/>
      <c r="I33" s="84">
        <v>44792</v>
      </c>
      <c r="J33" s="1" t="s">
        <v>744</v>
      </c>
      <c r="K33" s="79">
        <v>1</v>
      </c>
      <c r="L33" s="60">
        <v>3</v>
      </c>
      <c r="M33" s="72"/>
      <c r="N33" s="79"/>
      <c r="O33" s="84"/>
      <c r="Q33" s="79"/>
      <c r="R33" s="60"/>
      <c r="S33" s="72"/>
      <c r="U33" s="158"/>
      <c r="AA33" s="158"/>
    </row>
    <row r="34" spans="1:30" s="1" customFormat="1" x14ac:dyDescent="0.25">
      <c r="A34" s="72"/>
      <c r="B34" s="79"/>
      <c r="C34" s="84"/>
      <c r="E34" s="79"/>
      <c r="F34" s="60"/>
      <c r="G34" s="72"/>
      <c r="H34" s="79"/>
      <c r="I34" s="84">
        <v>44832</v>
      </c>
      <c r="J34" s="1" t="s">
        <v>1082</v>
      </c>
      <c r="K34" s="79">
        <v>1</v>
      </c>
      <c r="L34" s="60">
        <v>2</v>
      </c>
      <c r="M34" s="72"/>
      <c r="N34" s="79"/>
      <c r="O34" s="84"/>
      <c r="Q34" s="79"/>
      <c r="R34" s="60"/>
      <c r="S34" s="72"/>
      <c r="U34" s="158"/>
      <c r="AA34" s="158"/>
    </row>
    <row r="35" spans="1:30" s="1" customFormat="1" x14ac:dyDescent="0.25">
      <c r="A35" s="72"/>
      <c r="B35" s="79"/>
      <c r="C35" s="84"/>
      <c r="E35" s="79"/>
      <c r="F35" s="60"/>
      <c r="G35" s="72"/>
      <c r="H35" s="79"/>
      <c r="I35" s="84">
        <v>44834</v>
      </c>
      <c r="J35" s="1" t="s">
        <v>744</v>
      </c>
      <c r="K35" s="79">
        <v>1</v>
      </c>
      <c r="L35" s="60">
        <v>1</v>
      </c>
      <c r="M35" s="72"/>
      <c r="N35" s="79"/>
      <c r="O35" s="84"/>
      <c r="Q35" s="79"/>
      <c r="R35" s="60"/>
      <c r="S35" s="72"/>
      <c r="U35" s="158"/>
      <c r="AA35" s="158"/>
    </row>
    <row r="36" spans="1:30" s="1" customFormat="1" x14ac:dyDescent="0.25">
      <c r="A36" s="72"/>
      <c r="B36" s="79"/>
      <c r="C36" s="84"/>
      <c r="E36" s="79"/>
      <c r="F36" s="60"/>
      <c r="G36" s="72"/>
      <c r="H36" s="79"/>
      <c r="I36" s="84">
        <v>44839</v>
      </c>
      <c r="J36" s="1" t="s">
        <v>1095</v>
      </c>
      <c r="K36" s="79">
        <v>1</v>
      </c>
      <c r="L36" s="60">
        <v>0</v>
      </c>
      <c r="M36" s="72"/>
      <c r="N36" s="79"/>
      <c r="O36" s="84"/>
      <c r="Q36" s="79"/>
      <c r="R36" s="60"/>
      <c r="S36" s="72"/>
      <c r="U36" s="158"/>
      <c r="AA36" s="158"/>
    </row>
    <row r="37" spans="1:30" s="1" customFormat="1" x14ac:dyDescent="0.25">
      <c r="A37" s="72"/>
      <c r="B37" s="79"/>
      <c r="C37" s="84"/>
      <c r="E37" s="79"/>
      <c r="F37" s="60"/>
      <c r="G37" s="72" t="s">
        <v>1759</v>
      </c>
      <c r="H37" s="79">
        <v>6</v>
      </c>
      <c r="I37" s="84"/>
      <c r="K37" s="79"/>
      <c r="L37" s="60"/>
      <c r="M37" s="72"/>
      <c r="N37" s="79"/>
      <c r="O37" s="84"/>
      <c r="Q37" s="79"/>
      <c r="R37" s="60"/>
      <c r="S37" s="72"/>
      <c r="U37" s="158"/>
      <c r="AA37" s="158"/>
    </row>
    <row r="38" spans="1:30" s="1" customFormat="1" x14ac:dyDescent="0.25">
      <c r="A38" s="72"/>
      <c r="B38" s="79"/>
      <c r="C38" s="84"/>
      <c r="E38" s="79"/>
      <c r="F38" s="60"/>
      <c r="G38" s="72"/>
      <c r="H38" s="79"/>
      <c r="I38" s="84"/>
      <c r="K38" s="79"/>
      <c r="L38" s="60"/>
      <c r="M38" s="72"/>
      <c r="N38" s="79"/>
      <c r="O38" s="84"/>
      <c r="Q38" s="79"/>
      <c r="R38" s="60"/>
      <c r="S38" s="72"/>
      <c r="U38" s="158"/>
      <c r="AA38" s="158"/>
    </row>
    <row r="39" spans="1:30" s="1" customFormat="1" x14ac:dyDescent="0.25">
      <c r="A39" s="72"/>
      <c r="B39" s="79"/>
      <c r="C39" s="84"/>
      <c r="E39" s="79"/>
      <c r="F39" s="60"/>
      <c r="G39" s="72"/>
      <c r="H39" s="79"/>
      <c r="I39" s="84"/>
      <c r="K39" s="79"/>
      <c r="L39" s="60"/>
      <c r="M39" s="72"/>
      <c r="N39" s="79"/>
      <c r="O39" s="84"/>
      <c r="Q39" s="79"/>
      <c r="R39" s="60"/>
      <c r="S39" s="72"/>
      <c r="U39" s="158"/>
      <c r="AA39" s="158"/>
    </row>
    <row r="40" spans="1:30" s="1" customFormat="1" x14ac:dyDescent="0.25">
      <c r="A40" s="72"/>
      <c r="B40" s="79"/>
      <c r="C40" s="84"/>
      <c r="E40" s="79"/>
      <c r="F40" s="60"/>
      <c r="G40" s="72"/>
      <c r="H40" s="79"/>
      <c r="I40" s="84"/>
      <c r="K40" s="79"/>
      <c r="L40" s="60"/>
      <c r="M40" s="72"/>
      <c r="N40" s="79"/>
      <c r="O40" s="84"/>
      <c r="Q40" s="79"/>
      <c r="R40" s="60"/>
      <c r="S40" s="72"/>
      <c r="U40" s="158"/>
      <c r="AA40" s="158"/>
    </row>
    <row r="41" spans="1:30" s="1" customFormat="1" x14ac:dyDescent="0.25">
      <c r="A41" s="72"/>
      <c r="B41" s="79"/>
      <c r="C41" s="84"/>
      <c r="E41" s="79"/>
      <c r="F41" s="60"/>
      <c r="G41" s="72"/>
      <c r="H41" s="79"/>
      <c r="I41" s="84"/>
      <c r="K41" s="79"/>
      <c r="L41" s="60"/>
      <c r="M41" s="72"/>
      <c r="N41" s="79"/>
      <c r="O41" s="84"/>
      <c r="Q41" s="79"/>
      <c r="R41" s="60"/>
      <c r="S41" s="72"/>
      <c r="U41" s="158"/>
      <c r="AA41" s="158"/>
    </row>
    <row r="42" spans="1:30" s="1" customFormat="1" x14ac:dyDescent="0.25">
      <c r="A42" s="72"/>
      <c r="B42" s="79"/>
      <c r="C42" s="84"/>
      <c r="E42" s="79"/>
      <c r="F42" s="60"/>
      <c r="G42" s="72"/>
      <c r="H42" s="79"/>
      <c r="I42" s="84"/>
      <c r="K42" s="79"/>
      <c r="L42" s="60"/>
      <c r="M42" s="72" t="s">
        <v>1071</v>
      </c>
      <c r="N42" s="79"/>
      <c r="O42" s="84" t="s">
        <v>716</v>
      </c>
      <c r="Q42" s="79"/>
      <c r="R42" s="60"/>
      <c r="S42" s="72"/>
      <c r="U42" s="158"/>
      <c r="AA42" s="158"/>
    </row>
    <row r="43" spans="1:30" s="1" customFormat="1" x14ac:dyDescent="0.25">
      <c r="A43" s="72"/>
      <c r="B43" s="79"/>
      <c r="C43" s="84"/>
      <c r="E43" s="79"/>
      <c r="F43" s="60"/>
      <c r="G43" s="72"/>
      <c r="H43" s="79"/>
      <c r="I43" s="84"/>
      <c r="K43" s="79"/>
      <c r="L43" s="60"/>
      <c r="M43" s="72"/>
      <c r="N43" s="79"/>
      <c r="O43" s="84"/>
      <c r="Q43" s="79"/>
      <c r="R43" s="60"/>
      <c r="S43" s="72"/>
      <c r="U43" s="158"/>
      <c r="AA43" s="158"/>
    </row>
    <row r="44" spans="1:30" s="1" customFormat="1" x14ac:dyDescent="0.25">
      <c r="A44" s="72"/>
      <c r="B44" s="79"/>
      <c r="C44" s="84"/>
      <c r="E44" s="79"/>
      <c r="F44" s="60"/>
      <c r="G44" s="72"/>
      <c r="H44" s="79"/>
      <c r="I44" s="84"/>
      <c r="K44" s="79"/>
      <c r="L44" s="60"/>
      <c r="M44" s="72"/>
      <c r="N44" s="79"/>
      <c r="O44" s="84"/>
      <c r="Q44" s="79"/>
      <c r="R44" s="60"/>
      <c r="S44" s="72"/>
      <c r="U44" s="158"/>
      <c r="AA44" s="158"/>
    </row>
    <row r="45" spans="1:30" x14ac:dyDescent="0.25">
      <c r="A45" s="74"/>
      <c r="B45" s="81"/>
      <c r="C45" s="85"/>
      <c r="D45" s="75"/>
      <c r="E45" s="81"/>
      <c r="F45" s="76"/>
      <c r="G45" s="74"/>
      <c r="H45" s="81"/>
      <c r="I45" s="85"/>
      <c r="J45" s="75"/>
      <c r="K45" s="81"/>
      <c r="L45" s="76"/>
      <c r="M45" s="74"/>
      <c r="N45" s="81"/>
      <c r="O45" s="85"/>
      <c r="P45" s="75"/>
      <c r="Q45" s="81"/>
      <c r="R45" s="76"/>
      <c r="S45" s="74"/>
      <c r="T45" s="75"/>
      <c r="U45" s="159"/>
      <c r="V45" s="75"/>
      <c r="W45" s="75"/>
      <c r="X45" s="75"/>
      <c r="Y45" s="75"/>
      <c r="Z45" s="75"/>
      <c r="AA45" s="159"/>
      <c r="AB45" s="75"/>
      <c r="AC45" s="75"/>
      <c r="AD45" s="75"/>
    </row>
    <row r="46" spans="1:30" x14ac:dyDescent="0.25">
      <c r="A46" s="365" t="s">
        <v>1716</v>
      </c>
      <c r="B46" s="366"/>
      <c r="C46" s="366"/>
      <c r="D46" s="366"/>
      <c r="E46" s="366"/>
      <c r="F46" s="367"/>
      <c r="G46" s="345" t="s">
        <v>1734</v>
      </c>
      <c r="H46" s="346"/>
      <c r="I46" s="346"/>
      <c r="J46" s="346"/>
      <c r="K46" s="346"/>
      <c r="L46" s="347"/>
      <c r="M46" s="368" t="s">
        <v>1246</v>
      </c>
      <c r="N46" s="369"/>
      <c r="O46" s="369"/>
      <c r="P46" s="369"/>
      <c r="Q46" s="369"/>
      <c r="R46" s="370"/>
      <c r="S46" s="371" t="s">
        <v>1323</v>
      </c>
      <c r="T46" s="372"/>
      <c r="U46" s="372"/>
      <c r="V46" s="372"/>
      <c r="W46" s="372"/>
      <c r="X46" s="373"/>
      <c r="Y46" s="348" t="s">
        <v>1346</v>
      </c>
      <c r="Z46" s="349"/>
      <c r="AA46" s="349"/>
      <c r="AB46" s="349"/>
      <c r="AC46" s="349"/>
      <c r="AD46" s="350"/>
    </row>
    <row r="47" spans="1:30" x14ac:dyDescent="0.25">
      <c r="A47" s="374" t="s">
        <v>1121</v>
      </c>
      <c r="B47" s="375"/>
      <c r="C47" s="375"/>
      <c r="D47" s="375"/>
      <c r="E47" s="375"/>
      <c r="F47" s="376"/>
      <c r="G47" s="351" t="s">
        <v>1121</v>
      </c>
      <c r="H47" s="352"/>
      <c r="I47" s="352"/>
      <c r="J47" s="352"/>
      <c r="K47" s="352"/>
      <c r="L47" s="353"/>
      <c r="M47" s="377" t="s">
        <v>312</v>
      </c>
      <c r="N47" s="378"/>
      <c r="O47" s="378"/>
      <c r="P47" s="378"/>
      <c r="Q47" s="378"/>
      <c r="R47" s="379"/>
      <c r="S47" s="380" t="s">
        <v>1048</v>
      </c>
      <c r="T47" s="381"/>
      <c r="U47" s="381"/>
      <c r="V47" s="381"/>
      <c r="W47" s="381"/>
      <c r="X47" s="382"/>
      <c r="Y47" s="354" t="s">
        <v>721</v>
      </c>
      <c r="Z47" s="355"/>
      <c r="AA47" s="355"/>
      <c r="AB47" s="355"/>
      <c r="AC47" s="355"/>
      <c r="AD47" s="356"/>
    </row>
    <row r="48" spans="1:30" x14ac:dyDescent="0.25">
      <c r="A48" s="357"/>
      <c r="B48" s="358"/>
      <c r="C48" s="358"/>
      <c r="D48" s="358"/>
      <c r="E48" s="358"/>
      <c r="F48" s="359"/>
      <c r="G48" s="357"/>
      <c r="H48" s="358"/>
      <c r="I48" s="358"/>
      <c r="J48" s="358"/>
      <c r="K48" s="358"/>
      <c r="L48" s="359"/>
      <c r="M48" s="357" t="s">
        <v>1036</v>
      </c>
      <c r="N48" s="358"/>
      <c r="O48" s="358"/>
      <c r="P48" s="358"/>
      <c r="Q48" s="358"/>
      <c r="R48" s="359"/>
      <c r="S48" s="357" t="s">
        <v>1041</v>
      </c>
      <c r="T48" s="358"/>
      <c r="U48" s="358"/>
      <c r="V48" s="358"/>
      <c r="W48" s="358"/>
      <c r="X48" s="359"/>
      <c r="Y48" s="357" t="s">
        <v>1033</v>
      </c>
      <c r="Z48" s="358"/>
      <c r="AA48" s="358"/>
      <c r="AB48" s="358"/>
      <c r="AC48" s="358"/>
      <c r="AD48" s="359"/>
    </row>
    <row r="49" spans="1:36" x14ac:dyDescent="0.25">
      <c r="A49" s="360" t="s">
        <v>125</v>
      </c>
      <c r="B49" s="329"/>
      <c r="C49" s="361" t="s">
        <v>127</v>
      </c>
      <c r="D49" s="362"/>
      <c r="E49" s="329"/>
      <c r="F49" s="363"/>
      <c r="G49" s="360" t="s">
        <v>125</v>
      </c>
      <c r="H49" s="329"/>
      <c r="I49" s="361" t="s">
        <v>127</v>
      </c>
      <c r="J49" s="362"/>
      <c r="K49" s="329"/>
      <c r="L49" s="363" t="s">
        <v>90</v>
      </c>
      <c r="M49" s="360" t="s">
        <v>125</v>
      </c>
      <c r="N49" s="329"/>
      <c r="O49" s="361" t="s">
        <v>127</v>
      </c>
      <c r="P49" s="362"/>
      <c r="Q49" s="329"/>
      <c r="R49" s="363" t="s">
        <v>90</v>
      </c>
      <c r="S49" s="360" t="s">
        <v>125</v>
      </c>
      <c r="T49" s="329"/>
      <c r="U49" s="361" t="s">
        <v>127</v>
      </c>
      <c r="V49" s="362"/>
      <c r="W49" s="329"/>
      <c r="X49" s="363" t="s">
        <v>90</v>
      </c>
      <c r="Y49" s="360" t="s">
        <v>125</v>
      </c>
      <c r="Z49" s="329"/>
      <c r="AA49" s="361" t="s">
        <v>127</v>
      </c>
      <c r="AB49" s="362"/>
      <c r="AC49" s="329"/>
      <c r="AD49" s="363" t="s">
        <v>90</v>
      </c>
    </row>
    <row r="50" spans="1:36" x14ac:dyDescent="0.25">
      <c r="A50" s="80" t="s">
        <v>1192</v>
      </c>
      <c r="B50" s="78" t="s">
        <v>89</v>
      </c>
      <c r="C50" s="31" t="s">
        <v>1039</v>
      </c>
      <c r="D50" s="77" t="s">
        <v>316</v>
      </c>
      <c r="E50" s="78" t="s">
        <v>89</v>
      </c>
      <c r="F50" s="364" t="s">
        <v>90</v>
      </c>
      <c r="G50" s="80" t="s">
        <v>1192</v>
      </c>
      <c r="H50" s="78" t="s">
        <v>89</v>
      </c>
      <c r="I50" s="31" t="s">
        <v>1039</v>
      </c>
      <c r="J50" s="77" t="s">
        <v>316</v>
      </c>
      <c r="K50" s="78" t="s">
        <v>89</v>
      </c>
      <c r="L50" s="364" t="s">
        <v>90</v>
      </c>
      <c r="M50" s="80" t="s">
        <v>1192</v>
      </c>
      <c r="N50" s="78" t="s">
        <v>89</v>
      </c>
      <c r="O50" s="31" t="s">
        <v>1039</v>
      </c>
      <c r="P50" s="77" t="s">
        <v>316</v>
      </c>
      <c r="Q50" s="78" t="s">
        <v>89</v>
      </c>
      <c r="R50" s="364" t="s">
        <v>90</v>
      </c>
      <c r="S50" s="80" t="s">
        <v>1192</v>
      </c>
      <c r="T50" s="78" t="s">
        <v>89</v>
      </c>
      <c r="U50" s="31" t="s">
        <v>1039</v>
      </c>
      <c r="V50" s="77" t="s">
        <v>316</v>
      </c>
      <c r="W50" s="78" t="s">
        <v>89</v>
      </c>
      <c r="X50" s="364"/>
      <c r="Y50" s="80" t="s">
        <v>1192</v>
      </c>
      <c r="Z50" s="78" t="s">
        <v>89</v>
      </c>
      <c r="AA50" s="31" t="s">
        <v>1039</v>
      </c>
      <c r="AB50" s="77" t="s">
        <v>316</v>
      </c>
      <c r="AC50" s="78" t="s">
        <v>89</v>
      </c>
      <c r="AD50" s="364" t="s">
        <v>90</v>
      </c>
    </row>
    <row r="51" spans="1:36" x14ac:dyDescent="0.25">
      <c r="A51" s="73">
        <v>43525</v>
      </c>
      <c r="B51" s="79">
        <v>2</v>
      </c>
      <c r="C51" s="84">
        <v>43617</v>
      </c>
      <c r="D51" s="1" t="s">
        <v>77</v>
      </c>
      <c r="E51" s="79">
        <v>1</v>
      </c>
      <c r="F51" s="60">
        <f>B51-E51</f>
        <v>1</v>
      </c>
      <c r="G51" s="73">
        <v>43525</v>
      </c>
      <c r="H51" s="79">
        <v>2</v>
      </c>
      <c r="I51" s="84">
        <v>43607</v>
      </c>
      <c r="J51" s="1"/>
      <c r="K51" s="79">
        <v>1</v>
      </c>
      <c r="L51" s="60">
        <f>H51-K51</f>
        <v>1</v>
      </c>
      <c r="M51" s="73">
        <v>43525</v>
      </c>
      <c r="N51" s="79">
        <v>1</v>
      </c>
      <c r="O51" s="84"/>
      <c r="P51" s="1"/>
      <c r="Q51" s="79"/>
      <c r="R51" s="60">
        <f>N51-Q51</f>
        <v>1</v>
      </c>
      <c r="S51" s="73">
        <v>43454</v>
      </c>
      <c r="T51" s="79">
        <v>2</v>
      </c>
      <c r="U51" s="84"/>
      <c r="V51" s="1"/>
      <c r="W51" s="79"/>
      <c r="X51" s="60">
        <f>T51-W51</f>
        <v>2</v>
      </c>
      <c r="Y51" s="73" t="s">
        <v>1758</v>
      </c>
      <c r="Z51" s="79">
        <v>1</v>
      </c>
      <c r="AA51" s="84">
        <v>43749</v>
      </c>
      <c r="AB51" s="1" t="s">
        <v>744</v>
      </c>
      <c r="AC51" s="79">
        <v>1</v>
      </c>
      <c r="AD51" s="60">
        <v>0</v>
      </c>
    </row>
    <row r="52" spans="1:36" x14ac:dyDescent="0.25">
      <c r="A52" s="72"/>
      <c r="B52" s="79"/>
      <c r="C52" s="84">
        <v>44650</v>
      </c>
      <c r="D52" s="1" t="s">
        <v>1135</v>
      </c>
      <c r="E52" s="79">
        <v>1</v>
      </c>
      <c r="F52" s="60">
        <v>0</v>
      </c>
      <c r="G52" s="72" t="s">
        <v>132</v>
      </c>
      <c r="H52" s="79" t="s">
        <v>116</v>
      </c>
      <c r="I52" s="84" t="s">
        <v>69</v>
      </c>
      <c r="J52" s="1" t="s">
        <v>108</v>
      </c>
      <c r="K52" s="79"/>
      <c r="L52" s="60"/>
      <c r="M52" s="72"/>
      <c r="N52" s="79"/>
      <c r="O52" s="84"/>
      <c r="P52" s="1"/>
      <c r="Q52" s="79"/>
      <c r="R52" s="60"/>
      <c r="S52" s="72"/>
      <c r="T52" s="79"/>
      <c r="U52" s="84"/>
      <c r="V52" s="1"/>
      <c r="W52" s="79"/>
      <c r="X52" s="60"/>
      <c r="Y52" s="73">
        <v>43874</v>
      </c>
      <c r="Z52" s="79">
        <v>1</v>
      </c>
      <c r="AA52" s="84"/>
      <c r="AB52" s="1"/>
      <c r="AC52" s="79"/>
      <c r="AD52" s="60">
        <v>1</v>
      </c>
    </row>
    <row r="53" spans="1:36" x14ac:dyDescent="0.25">
      <c r="A53" s="72"/>
      <c r="B53" s="79"/>
      <c r="C53" s="84"/>
      <c r="D53" s="1"/>
      <c r="E53" s="79"/>
      <c r="F53" s="60"/>
      <c r="G53" s="72"/>
      <c r="H53" s="79"/>
      <c r="I53" s="84"/>
      <c r="J53" s="1"/>
      <c r="K53" s="79"/>
      <c r="L53" s="60"/>
      <c r="M53" s="72"/>
      <c r="N53" s="79"/>
      <c r="O53" s="84"/>
      <c r="P53" s="1"/>
      <c r="Q53" s="79"/>
      <c r="R53" s="60"/>
      <c r="S53" s="72"/>
      <c r="T53" s="79"/>
      <c r="U53" s="84"/>
      <c r="V53" s="1"/>
      <c r="W53" s="79"/>
      <c r="X53" s="60"/>
      <c r="Y53" s="73"/>
      <c r="Z53" s="79"/>
      <c r="AA53" s="84"/>
      <c r="AB53" s="1"/>
      <c r="AC53" s="79"/>
      <c r="AD53" s="60"/>
    </row>
    <row r="54" spans="1:36" x14ac:dyDescent="0.25">
      <c r="A54" s="72"/>
      <c r="B54" s="79"/>
      <c r="C54" s="84"/>
      <c r="D54" s="1"/>
      <c r="E54" s="79"/>
      <c r="F54" s="60"/>
      <c r="G54" s="72"/>
      <c r="H54" s="79"/>
      <c r="I54" s="84"/>
      <c r="J54" s="1"/>
      <c r="K54" s="79"/>
      <c r="L54" s="60"/>
      <c r="M54" s="72"/>
      <c r="N54" s="79"/>
      <c r="O54" s="84"/>
      <c r="P54" s="1"/>
      <c r="Q54" s="79"/>
      <c r="R54" s="60"/>
      <c r="S54" s="72"/>
      <c r="T54" s="79"/>
      <c r="U54" s="84"/>
      <c r="V54" s="1"/>
      <c r="W54" s="79"/>
      <c r="X54" s="60"/>
      <c r="Y54" s="73"/>
      <c r="Z54" s="79"/>
      <c r="AA54" s="84"/>
      <c r="AB54" s="1"/>
      <c r="AC54" s="79"/>
      <c r="AD54" s="60"/>
    </row>
    <row r="55" spans="1:36" x14ac:dyDescent="0.25">
      <c r="A55" s="72"/>
      <c r="B55" s="79"/>
      <c r="C55" s="84"/>
      <c r="D55" s="1"/>
      <c r="E55" s="79"/>
      <c r="F55" s="60"/>
      <c r="G55" s="72"/>
      <c r="H55" s="79"/>
      <c r="I55" s="84"/>
      <c r="J55" s="1"/>
      <c r="K55" s="79"/>
      <c r="L55" s="60"/>
      <c r="M55" s="72"/>
      <c r="N55" s="79"/>
      <c r="O55" s="84"/>
      <c r="P55" s="1"/>
      <c r="Q55" s="79"/>
      <c r="R55" s="60"/>
      <c r="S55" s="72"/>
      <c r="T55" s="79"/>
      <c r="U55" s="84"/>
      <c r="V55" s="1"/>
      <c r="W55" s="79"/>
      <c r="X55" s="60"/>
      <c r="Y55" s="73"/>
      <c r="Z55" s="79"/>
      <c r="AA55" s="84"/>
      <c r="AB55" s="1"/>
      <c r="AC55" s="79"/>
      <c r="AD55" s="60"/>
    </row>
    <row r="56" spans="1:36" x14ac:dyDescent="0.25">
      <c r="A56" s="72"/>
      <c r="B56" s="79"/>
      <c r="C56" s="84"/>
      <c r="D56" s="1"/>
      <c r="E56" s="79"/>
      <c r="F56" s="60"/>
      <c r="G56" s="72"/>
      <c r="H56" s="79"/>
      <c r="I56" s="84"/>
      <c r="J56" s="1"/>
      <c r="K56" s="79"/>
      <c r="L56" s="60"/>
      <c r="M56" s="72"/>
      <c r="N56" s="79"/>
      <c r="O56" s="84"/>
      <c r="P56" s="1"/>
      <c r="Q56" s="79"/>
      <c r="R56" s="60"/>
      <c r="S56" s="72"/>
      <c r="T56" s="79"/>
      <c r="U56" s="84"/>
      <c r="V56" s="1"/>
      <c r="W56" s="79"/>
      <c r="X56" s="60"/>
      <c r="Y56" s="73"/>
      <c r="Z56" s="79"/>
      <c r="AA56" s="84"/>
      <c r="AB56" s="1"/>
      <c r="AC56" s="79"/>
      <c r="AD56" s="60"/>
    </row>
    <row r="57" spans="1:36" x14ac:dyDescent="0.25">
      <c r="A57" s="72"/>
      <c r="B57" s="79"/>
      <c r="C57" s="84"/>
      <c r="D57" s="1"/>
      <c r="E57" s="79"/>
      <c r="F57" s="60"/>
      <c r="G57" s="72"/>
      <c r="H57" s="79"/>
      <c r="I57" s="84"/>
      <c r="J57" s="1"/>
      <c r="K57" s="79"/>
      <c r="L57" s="60"/>
      <c r="M57" s="72"/>
      <c r="N57" s="79"/>
      <c r="O57" s="84"/>
      <c r="P57" s="1"/>
      <c r="Q57" s="79"/>
      <c r="R57" s="60"/>
      <c r="S57" s="72"/>
      <c r="T57" s="79"/>
      <c r="U57" s="84"/>
      <c r="V57" s="1"/>
      <c r="W57" s="79"/>
      <c r="X57" s="60"/>
      <c r="Y57" s="73"/>
      <c r="Z57" s="79"/>
      <c r="AA57" s="84"/>
      <c r="AB57" s="1"/>
      <c r="AC57" s="79"/>
      <c r="AD57" s="60"/>
    </row>
    <row r="58" spans="1:36" x14ac:dyDescent="0.25">
      <c r="A58" s="72"/>
      <c r="B58" s="79"/>
      <c r="C58" s="84"/>
      <c r="D58" s="1"/>
      <c r="E58" s="79"/>
      <c r="F58" s="60"/>
      <c r="G58" s="72"/>
      <c r="H58" s="79"/>
      <c r="I58" s="84"/>
      <c r="J58" s="1"/>
      <c r="K58" s="79"/>
      <c r="L58" s="60"/>
      <c r="M58" s="72"/>
      <c r="N58" s="79"/>
      <c r="O58" s="84"/>
      <c r="P58" s="1"/>
      <c r="Q58" s="79"/>
      <c r="R58" s="60"/>
      <c r="S58" s="72"/>
      <c r="T58" s="79"/>
      <c r="U58" s="84"/>
      <c r="V58" s="1"/>
      <c r="W58" s="79"/>
      <c r="X58" s="60"/>
      <c r="Y58" s="73"/>
      <c r="Z58" s="79"/>
      <c r="AA58" s="84"/>
      <c r="AB58" s="1"/>
      <c r="AC58" s="79"/>
      <c r="AD58" s="60"/>
    </row>
    <row r="59" spans="1:36" x14ac:dyDescent="0.25">
      <c r="A59" s="72"/>
      <c r="B59" s="79"/>
      <c r="C59" s="84"/>
      <c r="D59" s="1"/>
      <c r="E59" s="79"/>
      <c r="F59" s="60"/>
      <c r="G59" s="72"/>
      <c r="H59" s="79"/>
      <c r="I59" s="84"/>
      <c r="J59" s="1"/>
      <c r="K59" s="79"/>
      <c r="L59" s="60"/>
      <c r="M59" s="72"/>
      <c r="N59" s="79"/>
      <c r="O59" s="84"/>
      <c r="P59" s="1"/>
      <c r="Q59" s="79"/>
      <c r="R59" s="60"/>
      <c r="S59" s="72"/>
      <c r="T59" s="79"/>
      <c r="U59" s="84"/>
      <c r="V59" s="1"/>
      <c r="W59" s="79"/>
      <c r="X59" s="60"/>
      <c r="Y59" s="73"/>
      <c r="Z59" s="79"/>
      <c r="AA59" s="84"/>
      <c r="AB59" s="1"/>
      <c r="AC59" s="79"/>
      <c r="AD59" s="60"/>
    </row>
    <row r="60" spans="1:36" x14ac:dyDescent="0.25">
      <c r="A60" s="140"/>
      <c r="B60" s="141"/>
      <c r="C60" s="142"/>
      <c r="E60" s="141"/>
      <c r="F60" s="143"/>
      <c r="G60" s="140"/>
      <c r="H60" s="141"/>
      <c r="I60" s="142"/>
      <c r="K60" s="141"/>
      <c r="L60" s="143"/>
      <c r="M60" s="140"/>
      <c r="N60" s="141"/>
      <c r="O60" s="142"/>
      <c r="Q60" s="141"/>
      <c r="R60" s="143"/>
      <c r="S60" s="72"/>
      <c r="T60" s="79"/>
      <c r="U60" s="84"/>
      <c r="V60" s="1"/>
      <c r="W60" s="79"/>
      <c r="X60" s="60"/>
      <c r="Y60" s="73"/>
      <c r="Z60" s="79"/>
      <c r="AA60" s="84"/>
      <c r="AB60" s="1"/>
      <c r="AC60" s="79"/>
      <c r="AD60" s="60"/>
    </row>
    <row r="61" spans="1:36" x14ac:dyDescent="0.25">
      <c r="A61" s="345" t="s">
        <v>1228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7"/>
      <c r="Y61" s="383" t="s">
        <v>1334</v>
      </c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5"/>
    </row>
    <row r="62" spans="1:36" x14ac:dyDescent="0.25">
      <c r="A62" s="351" t="s">
        <v>1044</v>
      </c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3"/>
      <c r="Y62" s="386" t="s">
        <v>661</v>
      </c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8"/>
    </row>
    <row r="63" spans="1:36" x14ac:dyDescent="0.25">
      <c r="A63" s="357" t="s">
        <v>95</v>
      </c>
      <c r="B63" s="358"/>
      <c r="C63" s="358"/>
      <c r="D63" s="358"/>
      <c r="E63" s="358"/>
      <c r="F63" s="359"/>
      <c r="G63" s="357" t="s">
        <v>114</v>
      </c>
      <c r="H63" s="358"/>
      <c r="I63" s="358"/>
      <c r="J63" s="358"/>
      <c r="K63" s="358"/>
      <c r="L63" s="359"/>
      <c r="M63" s="357" t="s">
        <v>103</v>
      </c>
      <c r="N63" s="358"/>
      <c r="O63" s="358"/>
      <c r="P63" s="358"/>
      <c r="Q63" s="358"/>
      <c r="R63" s="359"/>
      <c r="S63" s="357" t="s">
        <v>105</v>
      </c>
      <c r="T63" s="358"/>
      <c r="U63" s="358"/>
      <c r="V63" s="358"/>
      <c r="W63" s="358"/>
      <c r="X63" s="359"/>
      <c r="Y63" s="357" t="s">
        <v>103</v>
      </c>
      <c r="Z63" s="358"/>
      <c r="AA63" s="358"/>
      <c r="AB63" s="358"/>
      <c r="AC63" s="358"/>
      <c r="AD63" s="359"/>
      <c r="AE63" s="357" t="s">
        <v>105</v>
      </c>
      <c r="AF63" s="358"/>
      <c r="AG63" s="358"/>
      <c r="AH63" s="358"/>
      <c r="AI63" s="358"/>
      <c r="AJ63" s="359"/>
    </row>
    <row r="64" spans="1:36" x14ac:dyDescent="0.25">
      <c r="A64" s="360" t="s">
        <v>125</v>
      </c>
      <c r="B64" s="329"/>
      <c r="C64" s="361" t="s">
        <v>127</v>
      </c>
      <c r="D64" s="362"/>
      <c r="E64" s="329"/>
      <c r="F64" s="363" t="s">
        <v>90</v>
      </c>
      <c r="G64" s="360" t="s">
        <v>125</v>
      </c>
      <c r="H64" s="329"/>
      <c r="I64" s="361" t="s">
        <v>127</v>
      </c>
      <c r="J64" s="362"/>
      <c r="K64" s="329"/>
      <c r="L64" s="363" t="s">
        <v>90</v>
      </c>
      <c r="M64" s="360" t="s">
        <v>125</v>
      </c>
      <c r="N64" s="329"/>
      <c r="O64" s="361" t="s">
        <v>127</v>
      </c>
      <c r="P64" s="362"/>
      <c r="Q64" s="329"/>
      <c r="R64" s="363" t="s">
        <v>90</v>
      </c>
      <c r="S64" s="360" t="s">
        <v>125</v>
      </c>
      <c r="T64" s="329"/>
      <c r="U64" s="361" t="s">
        <v>127</v>
      </c>
      <c r="V64" s="362"/>
      <c r="W64" s="329"/>
      <c r="X64" s="363" t="s">
        <v>90</v>
      </c>
      <c r="Y64" s="360" t="s">
        <v>125</v>
      </c>
      <c r="Z64" s="329"/>
      <c r="AA64" s="361" t="s">
        <v>127</v>
      </c>
      <c r="AB64" s="362"/>
      <c r="AC64" s="329"/>
      <c r="AD64" s="363" t="s">
        <v>90</v>
      </c>
      <c r="AE64" s="360" t="s">
        <v>125</v>
      </c>
      <c r="AF64" s="329"/>
      <c r="AG64" s="361" t="s">
        <v>127</v>
      </c>
      <c r="AH64" s="362"/>
      <c r="AI64" s="329"/>
      <c r="AJ64" s="363" t="s">
        <v>90</v>
      </c>
    </row>
    <row r="65" spans="1:60" x14ac:dyDescent="0.25">
      <c r="A65" s="80" t="s">
        <v>1192</v>
      </c>
      <c r="B65" s="78" t="s">
        <v>89</v>
      </c>
      <c r="C65" s="31" t="s">
        <v>1039</v>
      </c>
      <c r="D65" s="77" t="s">
        <v>316</v>
      </c>
      <c r="E65" s="78" t="s">
        <v>89</v>
      </c>
      <c r="F65" s="364" t="s">
        <v>90</v>
      </c>
      <c r="G65" s="80" t="s">
        <v>1192</v>
      </c>
      <c r="H65" s="78" t="s">
        <v>89</v>
      </c>
      <c r="I65" s="31" t="s">
        <v>1039</v>
      </c>
      <c r="J65" s="77" t="s">
        <v>316</v>
      </c>
      <c r="K65" s="78" t="s">
        <v>89</v>
      </c>
      <c r="L65" s="364" t="s">
        <v>90</v>
      </c>
      <c r="M65" s="80" t="s">
        <v>1192</v>
      </c>
      <c r="N65" s="78" t="s">
        <v>89</v>
      </c>
      <c r="O65" s="31" t="s">
        <v>1039</v>
      </c>
      <c r="P65" s="77" t="s">
        <v>316</v>
      </c>
      <c r="Q65" s="78" t="s">
        <v>89</v>
      </c>
      <c r="R65" s="364" t="s">
        <v>90</v>
      </c>
      <c r="S65" s="80" t="s">
        <v>1192</v>
      </c>
      <c r="T65" s="78" t="s">
        <v>89</v>
      </c>
      <c r="U65" s="31" t="s">
        <v>1039</v>
      </c>
      <c r="V65" s="77" t="s">
        <v>316</v>
      </c>
      <c r="W65" s="78" t="s">
        <v>89</v>
      </c>
      <c r="X65" s="364" t="s">
        <v>90</v>
      </c>
      <c r="Y65" s="80" t="s">
        <v>1192</v>
      </c>
      <c r="Z65" s="78" t="s">
        <v>89</v>
      </c>
      <c r="AA65" s="31" t="s">
        <v>1039</v>
      </c>
      <c r="AB65" s="77" t="s">
        <v>316</v>
      </c>
      <c r="AC65" s="78" t="s">
        <v>89</v>
      </c>
      <c r="AD65" s="364" t="s">
        <v>90</v>
      </c>
      <c r="AE65" s="80" t="s">
        <v>1192</v>
      </c>
      <c r="AF65" s="78" t="s">
        <v>89</v>
      </c>
      <c r="AG65" s="31" t="s">
        <v>1039</v>
      </c>
      <c r="AH65" s="77" t="s">
        <v>316</v>
      </c>
      <c r="AI65" s="78" t="s">
        <v>89</v>
      </c>
      <c r="AJ65" s="364" t="s">
        <v>90</v>
      </c>
    </row>
    <row r="66" spans="1:60" x14ac:dyDescent="0.25">
      <c r="A66" s="73">
        <v>43525</v>
      </c>
      <c r="B66" s="79">
        <v>2</v>
      </c>
      <c r="C66" s="84">
        <v>43776</v>
      </c>
      <c r="D66" s="1" t="s">
        <v>356</v>
      </c>
      <c r="E66" s="79">
        <v>1</v>
      </c>
      <c r="F66" s="60">
        <f>B66-E66</f>
        <v>1</v>
      </c>
      <c r="G66" s="73">
        <v>43525</v>
      </c>
      <c r="H66" s="79">
        <v>2</v>
      </c>
      <c r="I66" s="84">
        <v>43656</v>
      </c>
      <c r="J66" s="1" t="s">
        <v>133</v>
      </c>
      <c r="K66" s="79">
        <v>1</v>
      </c>
      <c r="L66" s="60">
        <v>1</v>
      </c>
      <c r="M66" s="73">
        <v>43525</v>
      </c>
      <c r="N66" s="79">
        <v>2</v>
      </c>
      <c r="O66" s="30"/>
      <c r="P66" s="1"/>
      <c r="Q66" s="79"/>
      <c r="R66" s="60">
        <f>N66-Q66</f>
        <v>2</v>
      </c>
      <c r="S66" s="73">
        <v>43545</v>
      </c>
      <c r="T66" s="79">
        <v>1</v>
      </c>
      <c r="U66" s="84">
        <v>43545</v>
      </c>
      <c r="V66" s="1" t="s">
        <v>133</v>
      </c>
      <c r="W66" s="79">
        <v>1</v>
      </c>
      <c r="X66" s="60">
        <f>T66-W66</f>
        <v>0</v>
      </c>
      <c r="Y66" s="73">
        <v>43525</v>
      </c>
      <c r="Z66" s="79">
        <v>1</v>
      </c>
      <c r="AA66" s="30"/>
      <c r="AB66" s="1"/>
      <c r="AC66" s="79"/>
      <c r="AD66" s="60">
        <f>Z66-AC66</f>
        <v>1</v>
      </c>
      <c r="AE66" s="73">
        <v>43525</v>
      </c>
      <c r="AF66" s="79">
        <v>1</v>
      </c>
      <c r="AG66" s="30"/>
      <c r="AH66" s="1"/>
      <c r="AI66" s="79"/>
      <c r="AJ66" s="60">
        <f>AF66-AI66</f>
        <v>1</v>
      </c>
    </row>
    <row r="67" spans="1:60" x14ac:dyDescent="0.25">
      <c r="A67" s="115"/>
      <c r="B67" s="114"/>
      <c r="C67" s="84" t="s">
        <v>1032</v>
      </c>
      <c r="D67" s="1"/>
      <c r="E67" s="79">
        <v>1</v>
      </c>
      <c r="F67" s="60">
        <v>0</v>
      </c>
      <c r="G67" s="115"/>
      <c r="H67" s="114"/>
      <c r="I67" s="84">
        <v>44006</v>
      </c>
      <c r="J67" s="1" t="s">
        <v>133</v>
      </c>
      <c r="K67" s="79">
        <v>1</v>
      </c>
      <c r="L67" s="60">
        <v>0</v>
      </c>
      <c r="M67" s="72"/>
      <c r="N67" s="79"/>
      <c r="O67" s="30"/>
      <c r="P67" s="1"/>
      <c r="Q67" s="79"/>
      <c r="R67" s="60"/>
      <c r="S67" s="73">
        <v>43746</v>
      </c>
      <c r="T67" s="79">
        <v>1</v>
      </c>
      <c r="U67" s="84">
        <v>43746</v>
      </c>
      <c r="V67" s="1" t="s">
        <v>356</v>
      </c>
      <c r="W67" s="79">
        <v>1</v>
      </c>
      <c r="X67" s="60">
        <v>0</v>
      </c>
      <c r="Y67" s="73"/>
      <c r="Z67" s="79"/>
      <c r="AA67" s="139" t="s">
        <v>1220</v>
      </c>
      <c r="AB67" s="1"/>
      <c r="AC67" s="79">
        <v>1</v>
      </c>
      <c r="AD67" s="60">
        <v>0</v>
      </c>
      <c r="AE67" s="72"/>
      <c r="AF67" s="79"/>
      <c r="AG67" s="139" t="s">
        <v>1220</v>
      </c>
      <c r="AH67" s="1"/>
      <c r="AI67" s="79">
        <v>1</v>
      </c>
      <c r="AJ67" s="60">
        <v>0</v>
      </c>
    </row>
    <row r="68" spans="1:60" x14ac:dyDescent="0.25">
      <c r="A68" s="73">
        <v>43885</v>
      </c>
      <c r="B68" s="79">
        <v>1</v>
      </c>
      <c r="C68" s="84">
        <v>43885</v>
      </c>
      <c r="D68" s="1"/>
      <c r="E68" s="79">
        <v>1</v>
      </c>
      <c r="F68" s="60">
        <v>0</v>
      </c>
      <c r="G68" s="72"/>
      <c r="H68" s="79"/>
      <c r="I68" s="30"/>
      <c r="J68" s="1"/>
      <c r="K68" s="79"/>
      <c r="L68" s="60"/>
      <c r="M68" s="72"/>
      <c r="N68" s="79"/>
      <c r="O68" s="30"/>
      <c r="P68" s="1"/>
      <c r="Q68" s="79"/>
      <c r="R68" s="60"/>
      <c r="S68" s="115"/>
      <c r="T68" s="114"/>
      <c r="U68" s="30"/>
      <c r="V68" s="1"/>
      <c r="W68" s="79"/>
      <c r="X68" s="60"/>
      <c r="Y68" s="72"/>
      <c r="Z68" s="79"/>
      <c r="AA68" s="30"/>
      <c r="AB68" s="1"/>
      <c r="AC68" s="79"/>
      <c r="AD68" s="60"/>
      <c r="AE68" s="72"/>
      <c r="AF68" s="79"/>
      <c r="AG68" s="30"/>
      <c r="AH68" s="1"/>
      <c r="AI68" s="79"/>
      <c r="AJ68" s="60"/>
    </row>
    <row r="69" spans="1:60" x14ac:dyDescent="0.25">
      <c r="A69" s="72"/>
      <c r="B69" s="79"/>
      <c r="C69" s="84"/>
      <c r="D69" s="1"/>
      <c r="E69" s="79"/>
      <c r="F69" s="60"/>
      <c r="G69" s="72"/>
      <c r="H69" s="79"/>
      <c r="I69" s="30"/>
      <c r="J69" s="1"/>
      <c r="K69" s="79"/>
      <c r="L69" s="60"/>
      <c r="M69" s="72"/>
      <c r="N69" s="79"/>
      <c r="O69" s="30"/>
      <c r="P69" s="1"/>
      <c r="Q69" s="79"/>
      <c r="R69" s="60"/>
      <c r="S69" s="72"/>
      <c r="T69" s="79"/>
      <c r="U69" s="30"/>
      <c r="V69" s="1"/>
      <c r="W69" s="79"/>
      <c r="X69" s="60"/>
      <c r="Y69" s="72"/>
      <c r="Z69" s="79"/>
      <c r="AA69" s="30"/>
      <c r="AB69" s="1"/>
      <c r="AC69" s="79"/>
      <c r="AD69" s="60"/>
      <c r="AE69" s="72"/>
      <c r="AF69" s="79"/>
      <c r="AG69" s="30"/>
      <c r="AH69" s="1"/>
      <c r="AI69" s="79"/>
      <c r="AJ69" s="60"/>
    </row>
    <row r="70" spans="1:60" x14ac:dyDescent="0.25">
      <c r="A70" s="72"/>
      <c r="B70" s="79"/>
      <c r="C70" s="84"/>
      <c r="D70" s="1"/>
      <c r="E70" s="79"/>
      <c r="F70" s="60"/>
      <c r="G70" s="72"/>
      <c r="H70" s="79"/>
      <c r="I70" s="30"/>
      <c r="J70" s="1"/>
      <c r="K70" s="79"/>
      <c r="L70" s="60"/>
      <c r="M70" s="72"/>
      <c r="N70" s="79"/>
      <c r="O70" s="30"/>
      <c r="P70" s="1"/>
      <c r="Q70" s="79"/>
      <c r="R70" s="60"/>
      <c r="S70" s="72"/>
      <c r="T70" s="79"/>
      <c r="U70" s="30"/>
      <c r="V70" s="1"/>
      <c r="W70" s="79"/>
      <c r="X70" s="60"/>
      <c r="Y70" s="72"/>
      <c r="Z70" s="79"/>
      <c r="AA70" s="30"/>
      <c r="AB70" s="1"/>
      <c r="AC70" s="79"/>
      <c r="AD70" s="60"/>
      <c r="AE70" s="72"/>
      <c r="AF70" s="79"/>
      <c r="AG70" s="30"/>
      <c r="AH70" s="1"/>
      <c r="AI70" s="79"/>
      <c r="AJ70" s="60"/>
    </row>
    <row r="71" spans="1:60" x14ac:dyDescent="0.25">
      <c r="A71" s="72"/>
      <c r="B71" s="79"/>
      <c r="C71" s="84"/>
      <c r="D71" s="1"/>
      <c r="E71" s="79"/>
      <c r="F71" s="60"/>
      <c r="G71" s="72"/>
      <c r="H71" s="79"/>
      <c r="I71" s="30"/>
      <c r="J71" s="1"/>
      <c r="K71" s="79"/>
      <c r="L71" s="60"/>
      <c r="M71" s="72"/>
      <c r="N71" s="79"/>
      <c r="O71" s="30"/>
      <c r="P71" s="1"/>
      <c r="Q71" s="79"/>
      <c r="R71" s="60"/>
      <c r="S71" s="72"/>
      <c r="T71" s="79"/>
      <c r="U71" s="30"/>
      <c r="V71" s="1"/>
      <c r="W71" s="79"/>
      <c r="X71" s="60"/>
      <c r="Y71" s="72"/>
      <c r="Z71" s="79"/>
      <c r="AA71" s="30"/>
      <c r="AB71" s="1"/>
      <c r="AC71" s="79"/>
      <c r="AD71" s="60"/>
      <c r="AE71" s="72"/>
      <c r="AF71" s="79"/>
      <c r="AG71" s="30"/>
      <c r="AH71" s="1"/>
      <c r="AI71" s="79"/>
      <c r="AJ71" s="60"/>
    </row>
    <row r="72" spans="1:60" x14ac:dyDescent="0.25">
      <c r="A72" s="72"/>
      <c r="B72" s="79"/>
      <c r="C72" s="84"/>
      <c r="D72" s="1"/>
      <c r="E72" s="79"/>
      <c r="F72" s="60"/>
      <c r="G72" s="72"/>
      <c r="H72" s="79"/>
      <c r="I72" s="30"/>
      <c r="J72" s="1"/>
      <c r="K72" s="79"/>
      <c r="L72" s="60"/>
      <c r="M72" s="72"/>
      <c r="N72" s="79"/>
      <c r="O72" s="30"/>
      <c r="P72" s="1"/>
      <c r="Q72" s="79"/>
      <c r="R72" s="60"/>
      <c r="S72" s="72"/>
      <c r="T72" s="79"/>
      <c r="U72" s="30"/>
      <c r="V72" s="1"/>
      <c r="W72" s="79"/>
      <c r="X72" s="60"/>
      <c r="Y72" s="72"/>
      <c r="Z72" s="79"/>
      <c r="AA72" s="30"/>
      <c r="AB72" s="1"/>
      <c r="AC72" s="79"/>
      <c r="AD72" s="60"/>
      <c r="AE72" s="72"/>
      <c r="AF72" s="79"/>
      <c r="AG72" s="30"/>
      <c r="AH72" s="1"/>
      <c r="AI72" s="79"/>
      <c r="AJ72" s="60"/>
    </row>
    <row r="73" spans="1:60" x14ac:dyDescent="0.25">
      <c r="A73" s="72"/>
      <c r="B73" s="79"/>
      <c r="C73" s="84"/>
      <c r="D73" s="1"/>
      <c r="E73" s="79"/>
      <c r="F73" s="60"/>
      <c r="G73" s="72"/>
      <c r="H73" s="79"/>
      <c r="I73" s="30"/>
      <c r="J73" s="1"/>
      <c r="K73" s="79"/>
      <c r="L73" s="60"/>
      <c r="M73" s="72"/>
      <c r="N73" s="79"/>
      <c r="O73" s="30"/>
      <c r="P73" s="1"/>
      <c r="Q73" s="79"/>
      <c r="R73" s="60"/>
      <c r="S73" s="72"/>
      <c r="T73" s="79"/>
      <c r="U73" s="30"/>
      <c r="V73" s="1"/>
      <c r="W73" s="79"/>
      <c r="X73" s="60"/>
      <c r="Y73" s="72"/>
      <c r="Z73" s="79"/>
      <c r="AA73" s="30"/>
      <c r="AB73" s="1"/>
      <c r="AC73" s="79"/>
      <c r="AD73" s="60"/>
      <c r="AE73" s="72"/>
      <c r="AF73" s="79"/>
      <c r="AG73" s="30"/>
      <c r="AH73" s="1"/>
      <c r="AI73" s="79"/>
      <c r="AJ73" s="60"/>
    </row>
    <row r="74" spans="1:60" x14ac:dyDescent="0.25">
      <c r="A74" s="72"/>
      <c r="B74" s="79"/>
      <c r="C74" s="84"/>
      <c r="D74" s="1"/>
      <c r="E74" s="79"/>
      <c r="F74" s="60"/>
      <c r="G74" s="72"/>
      <c r="H74" s="79"/>
      <c r="I74" s="30"/>
      <c r="J74" s="1"/>
      <c r="K74" s="79"/>
      <c r="L74" s="60"/>
      <c r="M74" s="72"/>
      <c r="N74" s="79"/>
      <c r="O74" s="30"/>
      <c r="P74" s="1"/>
      <c r="Q74" s="79"/>
      <c r="R74" s="60"/>
      <c r="S74" s="72"/>
      <c r="T74" s="79"/>
      <c r="U74" s="30"/>
      <c r="V74" s="1"/>
      <c r="W74" s="79"/>
      <c r="X74" s="60"/>
      <c r="Y74" s="72"/>
      <c r="Z74" s="79"/>
      <c r="AA74" s="30"/>
      <c r="AB74" s="1"/>
      <c r="AC74" s="79"/>
      <c r="AD74" s="60"/>
      <c r="AE74" s="72"/>
      <c r="AF74" s="79"/>
      <c r="AG74" s="30"/>
      <c r="AH74" s="1"/>
      <c r="AI74" s="79"/>
      <c r="AJ74" s="60"/>
    </row>
    <row r="75" spans="1:60" x14ac:dyDescent="0.25">
      <c r="A75" s="72"/>
      <c r="B75" s="79"/>
      <c r="C75" s="84"/>
      <c r="D75" s="1"/>
      <c r="E75" s="79"/>
      <c r="F75" s="60"/>
      <c r="G75" s="72"/>
      <c r="H75" s="79"/>
      <c r="I75" s="30"/>
      <c r="J75" s="1"/>
      <c r="K75" s="79"/>
      <c r="L75" s="60"/>
      <c r="M75" s="72"/>
      <c r="N75" s="79"/>
      <c r="O75" s="30"/>
      <c r="P75" s="1"/>
      <c r="Q75" s="79"/>
      <c r="R75" s="60"/>
      <c r="S75" s="72"/>
      <c r="T75" s="79"/>
      <c r="U75" s="30"/>
      <c r="V75" s="1"/>
      <c r="W75" s="79"/>
      <c r="X75" s="60"/>
      <c r="Y75" s="72"/>
      <c r="Z75" s="79"/>
      <c r="AA75" s="30"/>
      <c r="AB75" s="1"/>
      <c r="AC75" s="79"/>
      <c r="AD75" s="60"/>
      <c r="AE75" s="72"/>
      <c r="AF75" s="79"/>
      <c r="AG75" s="30"/>
      <c r="AH75" s="1"/>
      <c r="AI75" s="79"/>
      <c r="AJ75" s="60"/>
    </row>
    <row r="76" spans="1:60" x14ac:dyDescent="0.25">
      <c r="A76" s="74"/>
      <c r="B76" s="81"/>
      <c r="C76" s="85"/>
      <c r="D76" s="75"/>
      <c r="E76" s="81"/>
      <c r="F76" s="76"/>
      <c r="G76" s="74"/>
      <c r="H76" s="81"/>
      <c r="I76" s="82"/>
      <c r="J76" s="75"/>
      <c r="K76" s="81"/>
      <c r="L76" s="76"/>
      <c r="M76" s="74"/>
      <c r="N76" s="81"/>
      <c r="O76" s="82"/>
      <c r="P76" s="75"/>
      <c r="Q76" s="81"/>
      <c r="R76" s="76"/>
      <c r="S76" s="74"/>
      <c r="T76" s="81"/>
      <c r="U76" s="82"/>
      <c r="V76" s="75"/>
      <c r="W76" s="81"/>
      <c r="X76" s="76"/>
      <c r="Y76" s="74"/>
      <c r="Z76" s="81"/>
      <c r="AA76" s="82"/>
      <c r="AB76" s="75"/>
      <c r="AC76" s="81"/>
      <c r="AD76" s="76"/>
      <c r="AE76" s="74"/>
      <c r="AF76" s="81"/>
      <c r="AG76" s="82"/>
      <c r="AH76" s="75"/>
      <c r="AI76" s="81"/>
      <c r="AJ76" s="76"/>
    </row>
    <row r="77" spans="1:60" x14ac:dyDescent="0.25">
      <c r="A77" s="371" t="s">
        <v>111</v>
      </c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3"/>
    </row>
    <row r="78" spans="1:60" x14ac:dyDescent="0.25">
      <c r="A78" s="389" t="s">
        <v>1135</v>
      </c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0"/>
      <c r="AT78" s="390"/>
      <c r="AU78" s="390"/>
      <c r="AV78" s="390"/>
      <c r="AW78" s="390"/>
      <c r="AX78" s="390"/>
      <c r="AY78" s="390"/>
      <c r="AZ78" s="390"/>
      <c r="BA78" s="390"/>
      <c r="BB78" s="390"/>
      <c r="BC78" s="390"/>
      <c r="BD78" s="390"/>
      <c r="BE78" s="390"/>
      <c r="BF78" s="390"/>
      <c r="BG78" s="390"/>
      <c r="BH78" s="391"/>
    </row>
    <row r="79" spans="1:60" x14ac:dyDescent="0.25">
      <c r="A79" s="357" t="s">
        <v>1250</v>
      </c>
      <c r="B79" s="358"/>
      <c r="C79" s="358"/>
      <c r="D79" s="358"/>
      <c r="E79" s="358"/>
      <c r="F79" s="359"/>
      <c r="G79" s="357" t="s">
        <v>1230</v>
      </c>
      <c r="H79" s="358"/>
      <c r="I79" s="358"/>
      <c r="J79" s="358"/>
      <c r="K79" s="358"/>
      <c r="L79" s="359"/>
      <c r="M79" s="357" t="s">
        <v>1222</v>
      </c>
      <c r="N79" s="358"/>
      <c r="O79" s="358"/>
      <c r="P79" s="358"/>
      <c r="Q79" s="358"/>
      <c r="R79" s="359"/>
      <c r="S79" s="357" t="s">
        <v>577</v>
      </c>
      <c r="T79" s="358"/>
      <c r="U79" s="358"/>
      <c r="V79" s="358"/>
      <c r="W79" s="358"/>
      <c r="X79" s="359"/>
      <c r="Y79" s="357" t="s">
        <v>580</v>
      </c>
      <c r="Z79" s="358"/>
      <c r="AA79" s="358"/>
      <c r="AB79" s="358"/>
      <c r="AC79" s="358"/>
      <c r="AD79" s="359"/>
      <c r="AE79" s="357" t="s">
        <v>720</v>
      </c>
      <c r="AF79" s="358"/>
      <c r="AG79" s="358"/>
      <c r="AH79" s="358"/>
      <c r="AI79" s="358"/>
      <c r="AJ79" s="359"/>
      <c r="AK79" s="357" t="s">
        <v>578</v>
      </c>
      <c r="AL79" s="358"/>
      <c r="AM79" s="358"/>
      <c r="AN79" s="358"/>
      <c r="AO79" s="358"/>
      <c r="AP79" s="359"/>
      <c r="AQ79" s="357" t="s">
        <v>708</v>
      </c>
      <c r="AR79" s="358"/>
      <c r="AS79" s="358"/>
      <c r="AT79" s="358"/>
      <c r="AU79" s="358"/>
      <c r="AV79" s="359"/>
      <c r="AW79" s="357" t="s">
        <v>579</v>
      </c>
      <c r="AX79" s="358"/>
      <c r="AY79" s="358"/>
      <c r="AZ79" s="358"/>
      <c r="BA79" s="358"/>
      <c r="BB79" s="359"/>
      <c r="BC79" s="357" t="s">
        <v>714</v>
      </c>
      <c r="BD79" s="358"/>
      <c r="BE79" s="358"/>
      <c r="BF79" s="358"/>
      <c r="BG79" s="358"/>
      <c r="BH79" s="359"/>
    </row>
    <row r="80" spans="1:60" x14ac:dyDescent="0.25">
      <c r="A80" s="360" t="s">
        <v>125</v>
      </c>
      <c r="B80" s="329"/>
      <c r="C80" s="361" t="s">
        <v>127</v>
      </c>
      <c r="D80" s="362"/>
      <c r="E80" s="329"/>
      <c r="F80" s="363" t="s">
        <v>90</v>
      </c>
      <c r="G80" s="360" t="s">
        <v>125</v>
      </c>
      <c r="H80" s="329"/>
      <c r="I80" s="361" t="s">
        <v>127</v>
      </c>
      <c r="J80" s="362"/>
      <c r="K80" s="329"/>
      <c r="L80" s="363" t="s">
        <v>90</v>
      </c>
      <c r="M80" s="360" t="s">
        <v>125</v>
      </c>
      <c r="N80" s="329"/>
      <c r="O80" s="361" t="s">
        <v>127</v>
      </c>
      <c r="P80" s="362"/>
      <c r="Q80" s="329"/>
      <c r="R80" s="363" t="s">
        <v>90</v>
      </c>
      <c r="S80" s="360" t="s">
        <v>125</v>
      </c>
      <c r="T80" s="329"/>
      <c r="U80" s="361" t="s">
        <v>127</v>
      </c>
      <c r="V80" s="362"/>
      <c r="W80" s="329"/>
      <c r="X80" s="363" t="s">
        <v>90</v>
      </c>
      <c r="Y80" s="360" t="s">
        <v>125</v>
      </c>
      <c r="Z80" s="329"/>
      <c r="AA80" s="361" t="s">
        <v>127</v>
      </c>
      <c r="AB80" s="362"/>
      <c r="AC80" s="329"/>
      <c r="AD80" s="363" t="s">
        <v>90</v>
      </c>
      <c r="AE80" s="360" t="s">
        <v>125</v>
      </c>
      <c r="AF80" s="329"/>
      <c r="AG80" s="361" t="s">
        <v>127</v>
      </c>
      <c r="AH80" s="362"/>
      <c r="AI80" s="329"/>
      <c r="AJ80" s="363" t="s">
        <v>90</v>
      </c>
      <c r="AK80" s="360" t="s">
        <v>125</v>
      </c>
      <c r="AL80" s="329"/>
      <c r="AM80" s="361" t="s">
        <v>127</v>
      </c>
      <c r="AN80" s="362"/>
      <c r="AO80" s="329"/>
      <c r="AP80" s="363" t="s">
        <v>90</v>
      </c>
      <c r="AQ80" s="360" t="s">
        <v>125</v>
      </c>
      <c r="AR80" s="329"/>
      <c r="AS80" s="361" t="s">
        <v>127</v>
      </c>
      <c r="AT80" s="362"/>
      <c r="AU80" s="329"/>
      <c r="AV80" s="363" t="s">
        <v>90</v>
      </c>
      <c r="AW80" s="360" t="s">
        <v>125</v>
      </c>
      <c r="AX80" s="329"/>
      <c r="AY80" s="361" t="s">
        <v>127</v>
      </c>
      <c r="AZ80" s="362"/>
      <c r="BA80" s="329"/>
      <c r="BB80" s="363" t="s">
        <v>90</v>
      </c>
      <c r="BC80" s="392" t="s">
        <v>125</v>
      </c>
      <c r="BD80" s="393"/>
      <c r="BE80" s="394" t="s">
        <v>127</v>
      </c>
      <c r="BF80" s="395"/>
      <c r="BG80" s="393"/>
      <c r="BH80" s="396" t="s">
        <v>90</v>
      </c>
    </row>
    <row r="81" spans="1:60" x14ac:dyDescent="0.25">
      <c r="A81" s="80" t="s">
        <v>1192</v>
      </c>
      <c r="B81" s="78" t="s">
        <v>89</v>
      </c>
      <c r="C81" s="31" t="s">
        <v>1039</v>
      </c>
      <c r="D81" s="77" t="s">
        <v>316</v>
      </c>
      <c r="E81" s="78" t="s">
        <v>89</v>
      </c>
      <c r="F81" s="364" t="s">
        <v>90</v>
      </c>
      <c r="G81" s="80" t="s">
        <v>1192</v>
      </c>
      <c r="H81" s="78" t="s">
        <v>89</v>
      </c>
      <c r="I81" s="31" t="s">
        <v>1039</v>
      </c>
      <c r="J81" s="77" t="s">
        <v>316</v>
      </c>
      <c r="K81" s="78" t="s">
        <v>89</v>
      </c>
      <c r="L81" s="364" t="s">
        <v>90</v>
      </c>
      <c r="M81" s="80" t="s">
        <v>1192</v>
      </c>
      <c r="N81" s="78" t="s">
        <v>89</v>
      </c>
      <c r="O81" s="31" t="s">
        <v>1039</v>
      </c>
      <c r="P81" s="77" t="s">
        <v>316</v>
      </c>
      <c r="Q81" s="78" t="s">
        <v>89</v>
      </c>
      <c r="R81" s="364" t="s">
        <v>90</v>
      </c>
      <c r="S81" s="80" t="s">
        <v>1192</v>
      </c>
      <c r="T81" s="78" t="s">
        <v>89</v>
      </c>
      <c r="U81" s="31" t="s">
        <v>1039</v>
      </c>
      <c r="V81" s="77" t="s">
        <v>316</v>
      </c>
      <c r="W81" s="78" t="s">
        <v>89</v>
      </c>
      <c r="X81" s="364" t="s">
        <v>90</v>
      </c>
      <c r="Y81" s="80" t="s">
        <v>1192</v>
      </c>
      <c r="Z81" s="78" t="s">
        <v>89</v>
      </c>
      <c r="AA81" s="31" t="s">
        <v>1039</v>
      </c>
      <c r="AB81" s="77" t="s">
        <v>316</v>
      </c>
      <c r="AC81" s="78" t="s">
        <v>89</v>
      </c>
      <c r="AD81" s="364" t="s">
        <v>90</v>
      </c>
      <c r="AE81" s="80" t="s">
        <v>1192</v>
      </c>
      <c r="AF81" s="78" t="s">
        <v>89</v>
      </c>
      <c r="AG81" s="31" t="s">
        <v>1039</v>
      </c>
      <c r="AH81" s="77" t="s">
        <v>316</v>
      </c>
      <c r="AI81" s="78" t="s">
        <v>89</v>
      </c>
      <c r="AJ81" s="364" t="s">
        <v>90</v>
      </c>
      <c r="AK81" s="80" t="s">
        <v>1192</v>
      </c>
      <c r="AL81" s="78" t="s">
        <v>89</v>
      </c>
      <c r="AM81" s="31" t="s">
        <v>1039</v>
      </c>
      <c r="AN81" s="77" t="s">
        <v>316</v>
      </c>
      <c r="AO81" s="78" t="s">
        <v>89</v>
      </c>
      <c r="AP81" s="364" t="s">
        <v>90</v>
      </c>
      <c r="AQ81" s="80" t="s">
        <v>1192</v>
      </c>
      <c r="AR81" s="78" t="s">
        <v>89</v>
      </c>
      <c r="AS81" s="31" t="s">
        <v>1039</v>
      </c>
      <c r="AT81" s="77" t="s">
        <v>316</v>
      </c>
      <c r="AU81" s="78" t="s">
        <v>89</v>
      </c>
      <c r="AV81" s="364" t="s">
        <v>90</v>
      </c>
      <c r="AW81" s="80" t="s">
        <v>1192</v>
      </c>
      <c r="AX81" s="78" t="s">
        <v>89</v>
      </c>
      <c r="AY81" s="31" t="s">
        <v>1039</v>
      </c>
      <c r="AZ81" s="77" t="s">
        <v>316</v>
      </c>
      <c r="BA81" s="78" t="s">
        <v>89</v>
      </c>
      <c r="BB81" s="364" t="s">
        <v>90</v>
      </c>
      <c r="BC81" s="80" t="s">
        <v>1192</v>
      </c>
      <c r="BD81" s="78" t="s">
        <v>89</v>
      </c>
      <c r="BE81" s="31" t="s">
        <v>1039</v>
      </c>
      <c r="BF81" s="77" t="s">
        <v>316</v>
      </c>
      <c r="BG81" s="78" t="s">
        <v>89</v>
      </c>
      <c r="BH81" s="364"/>
    </row>
    <row r="82" spans="1:60" x14ac:dyDescent="0.25">
      <c r="A82" s="73">
        <v>43525</v>
      </c>
      <c r="B82" s="79">
        <v>1</v>
      </c>
      <c r="C82" s="30"/>
      <c r="D82" s="1"/>
      <c r="E82" s="79"/>
      <c r="F82" s="60">
        <f>B82-E82</f>
        <v>1</v>
      </c>
      <c r="G82" s="73">
        <v>43525</v>
      </c>
      <c r="H82" s="79">
        <v>1</v>
      </c>
      <c r="I82" s="30"/>
      <c r="J82" s="1"/>
      <c r="K82" s="79"/>
      <c r="L82" s="60">
        <f>H82-K82</f>
        <v>1</v>
      </c>
      <c r="M82" s="73">
        <v>43525</v>
      </c>
      <c r="N82" s="79">
        <v>2</v>
      </c>
      <c r="O82" s="30"/>
      <c r="P82" s="1"/>
      <c r="Q82" s="79"/>
      <c r="R82" s="60">
        <f>N82-Q82</f>
        <v>2</v>
      </c>
      <c r="S82" s="73">
        <v>43525</v>
      </c>
      <c r="T82" s="79">
        <v>1</v>
      </c>
      <c r="U82" s="30"/>
      <c r="V82" s="1"/>
      <c r="W82" s="79"/>
      <c r="X82" s="60">
        <f>T82-W82</f>
        <v>1</v>
      </c>
      <c r="Y82" s="73">
        <v>43607</v>
      </c>
      <c r="Z82" s="79">
        <v>1</v>
      </c>
      <c r="AA82" s="84">
        <v>43607</v>
      </c>
      <c r="AB82" s="1" t="s">
        <v>118</v>
      </c>
      <c r="AC82" s="79">
        <v>1</v>
      </c>
      <c r="AD82" s="60">
        <f>Z82-AC82</f>
        <v>0</v>
      </c>
      <c r="AE82" s="73">
        <v>43525</v>
      </c>
      <c r="AF82" s="79">
        <v>1</v>
      </c>
      <c r="AG82" s="30"/>
      <c r="AH82" s="1"/>
      <c r="AI82" s="79"/>
      <c r="AJ82" s="60">
        <f>AF82-AI82</f>
        <v>1</v>
      </c>
      <c r="AK82" s="73">
        <v>43525</v>
      </c>
      <c r="AL82" s="79">
        <v>1</v>
      </c>
      <c r="AM82" s="30"/>
      <c r="AN82" s="1"/>
      <c r="AO82" s="79"/>
      <c r="AP82" s="60">
        <f>AL82-AO82</f>
        <v>1</v>
      </c>
      <c r="AQ82" s="73">
        <v>43525</v>
      </c>
      <c r="AR82" s="79">
        <v>1</v>
      </c>
      <c r="AS82" s="84">
        <v>43773</v>
      </c>
      <c r="AT82" s="1" t="s">
        <v>118</v>
      </c>
      <c r="AU82" s="79">
        <v>1</v>
      </c>
      <c r="AV82" s="60">
        <f>AR82-AU82</f>
        <v>0</v>
      </c>
      <c r="AW82" s="73">
        <v>43525</v>
      </c>
      <c r="AX82" s="79">
        <v>1</v>
      </c>
      <c r="AY82" s="30"/>
      <c r="AZ82" s="1"/>
      <c r="BA82" s="79"/>
      <c r="BB82" s="60">
        <f>AX82-BA82</f>
        <v>1</v>
      </c>
      <c r="BC82" s="73">
        <v>43525</v>
      </c>
      <c r="BD82" s="79">
        <v>1</v>
      </c>
      <c r="BE82" s="30"/>
      <c r="BF82" s="1"/>
      <c r="BG82" s="79"/>
      <c r="BH82" s="60">
        <f>BD82-BG82</f>
        <v>1</v>
      </c>
    </row>
    <row r="83" spans="1:60" x14ac:dyDescent="0.25">
      <c r="A83" s="72"/>
      <c r="B83" s="79"/>
      <c r="C83" s="30"/>
      <c r="D83" s="1"/>
      <c r="E83" s="79"/>
      <c r="F83" s="60"/>
      <c r="G83" s="72"/>
      <c r="H83" s="79"/>
      <c r="I83" s="30"/>
      <c r="J83" s="1"/>
      <c r="K83" s="79"/>
      <c r="L83" s="60"/>
      <c r="M83" s="73">
        <v>43979</v>
      </c>
      <c r="N83" s="79"/>
      <c r="O83" s="30" t="s">
        <v>1065</v>
      </c>
      <c r="P83" s="1"/>
      <c r="Q83" s="79"/>
      <c r="R83" s="60">
        <v>1</v>
      </c>
      <c r="S83" s="73">
        <v>43874</v>
      </c>
      <c r="T83" s="79">
        <v>1</v>
      </c>
      <c r="U83" s="30"/>
      <c r="V83" s="1"/>
      <c r="W83" s="79"/>
      <c r="X83" s="60">
        <v>2</v>
      </c>
      <c r="Y83" s="73">
        <v>43874</v>
      </c>
      <c r="Z83" s="79">
        <v>1</v>
      </c>
      <c r="AA83" s="30"/>
      <c r="AB83" s="1"/>
      <c r="AC83" s="79"/>
      <c r="AD83" s="60">
        <v>1</v>
      </c>
      <c r="AE83" s="72"/>
      <c r="AF83" s="79"/>
      <c r="AG83" s="30"/>
      <c r="AH83" s="1"/>
      <c r="AI83" s="79"/>
      <c r="AJ83" s="60"/>
      <c r="AK83" s="72"/>
      <c r="AL83" s="79"/>
      <c r="AM83" s="84">
        <v>44006</v>
      </c>
      <c r="AN83" s="1"/>
      <c r="AO83" s="79">
        <v>1</v>
      </c>
      <c r="AP83" s="60">
        <v>0</v>
      </c>
      <c r="AQ83" s="73">
        <v>43874</v>
      </c>
      <c r="AR83" s="79">
        <v>1</v>
      </c>
      <c r="AS83" s="30"/>
      <c r="AT83" s="1"/>
      <c r="AU83" s="79"/>
      <c r="AV83" s="60">
        <v>1</v>
      </c>
      <c r="AW83" s="73">
        <v>43763</v>
      </c>
      <c r="AX83" s="79">
        <v>1</v>
      </c>
      <c r="AY83" s="84">
        <v>43770</v>
      </c>
      <c r="AZ83" s="1"/>
      <c r="BA83" s="79">
        <v>1</v>
      </c>
      <c r="BB83" s="60">
        <v>1</v>
      </c>
      <c r="BC83" s="73">
        <v>43874</v>
      </c>
      <c r="BD83" s="79">
        <v>1</v>
      </c>
      <c r="BE83" s="30"/>
      <c r="BF83" s="1"/>
      <c r="BG83" s="79"/>
      <c r="BH83" s="60">
        <v>2</v>
      </c>
    </row>
    <row r="84" spans="1:60" x14ac:dyDescent="0.25">
      <c r="A84" s="72"/>
      <c r="B84" s="79"/>
      <c r="C84" s="30"/>
      <c r="D84" s="1"/>
      <c r="E84" s="79"/>
      <c r="F84" s="60"/>
      <c r="G84" s="72"/>
      <c r="H84" s="79"/>
      <c r="I84" s="30"/>
      <c r="J84" s="1"/>
      <c r="K84" s="79"/>
      <c r="L84" s="60"/>
      <c r="M84" s="72"/>
      <c r="N84" s="79"/>
      <c r="O84" s="30"/>
      <c r="P84" s="1"/>
      <c r="Q84" s="79"/>
      <c r="R84" s="60"/>
      <c r="S84" s="72"/>
      <c r="T84" s="79"/>
      <c r="U84" s="84">
        <v>44006</v>
      </c>
      <c r="V84" s="1"/>
      <c r="W84" s="79">
        <v>1</v>
      </c>
      <c r="X84" s="60">
        <v>1</v>
      </c>
      <c r="Y84" s="72"/>
      <c r="Z84" s="79"/>
      <c r="AA84" s="30"/>
      <c r="AB84" s="1"/>
      <c r="AC84" s="79"/>
      <c r="AD84" s="60"/>
      <c r="AE84" s="72"/>
      <c r="AF84" s="79"/>
      <c r="AG84" s="30"/>
      <c r="AH84" s="1"/>
      <c r="AI84" s="79"/>
      <c r="AJ84" s="60"/>
      <c r="AK84" s="72"/>
      <c r="AL84" s="79"/>
      <c r="AM84" s="30"/>
      <c r="AN84" s="1"/>
      <c r="AO84" s="79"/>
      <c r="AP84" s="60"/>
      <c r="AQ84" s="72"/>
      <c r="AR84" s="79"/>
      <c r="AS84" s="30"/>
      <c r="AT84" s="1"/>
      <c r="AU84" s="79"/>
      <c r="AV84" s="60"/>
      <c r="AW84" s="72"/>
      <c r="AX84" s="79"/>
      <c r="AY84" s="30"/>
      <c r="AZ84" s="1"/>
      <c r="BA84" s="79"/>
      <c r="BB84" s="60"/>
      <c r="BC84" s="72"/>
      <c r="BD84" s="79"/>
      <c r="BE84" s="84">
        <v>44006</v>
      </c>
      <c r="BF84" s="1"/>
      <c r="BG84" s="79">
        <v>1</v>
      </c>
      <c r="BH84" s="60">
        <v>1</v>
      </c>
    </row>
    <row r="85" spans="1:60" x14ac:dyDescent="0.25">
      <c r="A85" s="72"/>
      <c r="B85" s="79"/>
      <c r="C85" s="30"/>
      <c r="D85" s="1"/>
      <c r="E85" s="79"/>
      <c r="F85" s="60"/>
      <c r="G85" s="72"/>
      <c r="H85" s="79"/>
      <c r="I85" s="30"/>
      <c r="J85" s="1"/>
      <c r="K85" s="79"/>
      <c r="L85" s="60"/>
      <c r="M85" s="72"/>
      <c r="N85" s="79"/>
      <c r="O85" s="30"/>
      <c r="P85" s="1"/>
      <c r="Q85" s="79"/>
      <c r="R85" s="60"/>
      <c r="S85" s="72"/>
      <c r="T85" s="79"/>
      <c r="U85" s="30"/>
      <c r="V85" s="1"/>
      <c r="W85" s="79"/>
      <c r="X85" s="60"/>
      <c r="Y85" s="72"/>
      <c r="Z85" s="79"/>
      <c r="AA85" s="30"/>
      <c r="AB85" s="1"/>
      <c r="AC85" s="79"/>
      <c r="AD85" s="60"/>
      <c r="AE85" s="72"/>
      <c r="AF85" s="79"/>
      <c r="AG85" s="30"/>
      <c r="AH85" s="1"/>
      <c r="AI85" s="79"/>
      <c r="AJ85" s="60"/>
      <c r="AK85" s="72"/>
      <c r="AL85" s="79"/>
      <c r="AM85" s="30"/>
      <c r="AN85" s="1"/>
      <c r="AO85" s="79"/>
      <c r="AP85" s="60"/>
      <c r="AQ85" s="72"/>
      <c r="AR85" s="79"/>
      <c r="AS85" s="30"/>
      <c r="AT85" s="1"/>
      <c r="AU85" s="79"/>
      <c r="AV85" s="60"/>
      <c r="AW85" s="72"/>
      <c r="AX85" s="79"/>
      <c r="AY85" s="30"/>
      <c r="AZ85" s="1"/>
      <c r="BA85" s="79"/>
      <c r="BB85" s="60"/>
      <c r="BC85" s="72"/>
      <c r="BD85" s="79"/>
      <c r="BE85" s="30"/>
      <c r="BF85" s="1"/>
      <c r="BG85" s="79"/>
      <c r="BH85" s="60"/>
    </row>
    <row r="86" spans="1:60" x14ac:dyDescent="0.25">
      <c r="A86" s="72"/>
      <c r="B86" s="79"/>
      <c r="C86" s="30"/>
      <c r="D86" s="1"/>
      <c r="E86" s="79"/>
      <c r="F86" s="60"/>
      <c r="G86" s="72"/>
      <c r="H86" s="79"/>
      <c r="I86" s="30"/>
      <c r="J86" s="1"/>
      <c r="K86" s="79"/>
      <c r="L86" s="60"/>
      <c r="M86" s="72"/>
      <c r="N86" s="79"/>
      <c r="O86" s="30"/>
      <c r="P86" s="1"/>
      <c r="Q86" s="79"/>
      <c r="R86" s="60"/>
      <c r="S86" s="72"/>
      <c r="T86" s="79"/>
      <c r="U86" s="30"/>
      <c r="V86" s="1"/>
      <c r="W86" s="79"/>
      <c r="X86" s="60"/>
      <c r="Y86" s="72"/>
      <c r="Z86" s="79"/>
      <c r="AA86" s="30"/>
      <c r="AB86" s="1"/>
      <c r="AC86" s="79"/>
      <c r="AD86" s="60"/>
      <c r="AE86" s="72"/>
      <c r="AF86" s="79"/>
      <c r="AG86" s="30"/>
      <c r="AH86" s="1"/>
      <c r="AI86" s="79"/>
      <c r="AJ86" s="60"/>
      <c r="AK86" s="72"/>
      <c r="AL86" s="79"/>
      <c r="AM86" s="30"/>
      <c r="AN86" s="1"/>
      <c r="AO86" s="79"/>
      <c r="AP86" s="60"/>
      <c r="AQ86" s="72"/>
      <c r="AR86" s="79"/>
      <c r="AS86" s="30"/>
      <c r="AT86" s="1"/>
      <c r="AU86" s="79"/>
      <c r="AV86" s="60"/>
      <c r="AW86" s="72"/>
      <c r="AX86" s="79"/>
      <c r="AY86" s="30"/>
      <c r="AZ86" s="1"/>
      <c r="BA86" s="79"/>
      <c r="BB86" s="60"/>
      <c r="BC86" s="72"/>
      <c r="BD86" s="79"/>
      <c r="BE86" s="30"/>
      <c r="BF86" s="1"/>
      <c r="BG86" s="79"/>
      <c r="BH86" s="60"/>
    </row>
    <row r="87" spans="1:60" x14ac:dyDescent="0.25">
      <c r="A87" s="72"/>
      <c r="B87" s="79"/>
      <c r="C87" s="30"/>
      <c r="D87" s="1"/>
      <c r="E87" s="79"/>
      <c r="F87" s="60"/>
      <c r="G87" s="72"/>
      <c r="H87" s="79"/>
      <c r="I87" s="30"/>
      <c r="J87" s="1"/>
      <c r="K87" s="79"/>
      <c r="L87" s="60"/>
      <c r="M87" s="72"/>
      <c r="N87" s="79"/>
      <c r="O87" s="30"/>
      <c r="P87" s="1"/>
      <c r="Q87" s="79"/>
      <c r="R87" s="60"/>
      <c r="S87" s="72"/>
      <c r="T87" s="79"/>
      <c r="U87" s="30"/>
      <c r="V87" s="1"/>
      <c r="W87" s="79"/>
      <c r="X87" s="60"/>
      <c r="Y87" s="72"/>
      <c r="Z87" s="79"/>
      <c r="AA87" s="30"/>
      <c r="AB87" s="1"/>
      <c r="AC87" s="79"/>
      <c r="AD87" s="60"/>
      <c r="AE87" s="72"/>
      <c r="AF87" s="79"/>
      <c r="AG87" s="30"/>
      <c r="AH87" s="1"/>
      <c r="AI87" s="79"/>
      <c r="AJ87" s="60"/>
      <c r="AK87" s="72"/>
      <c r="AL87" s="79"/>
      <c r="AM87" s="30"/>
      <c r="AN87" s="1"/>
      <c r="AO87" s="79"/>
      <c r="AP87" s="60"/>
      <c r="AQ87" s="72"/>
      <c r="AR87" s="79"/>
      <c r="AS87" s="30"/>
      <c r="AT87" s="1"/>
      <c r="AU87" s="79"/>
      <c r="AV87" s="60"/>
      <c r="AW87" s="72"/>
      <c r="AX87" s="79"/>
      <c r="AY87" s="30"/>
      <c r="AZ87" s="1"/>
      <c r="BA87" s="79"/>
      <c r="BB87" s="60"/>
      <c r="BC87" s="72"/>
      <c r="BD87" s="79"/>
      <c r="BE87" s="30"/>
      <c r="BF87" s="1"/>
      <c r="BG87" s="79"/>
      <c r="BH87" s="60"/>
    </row>
    <row r="88" spans="1:60" x14ac:dyDescent="0.25">
      <c r="A88" s="72"/>
      <c r="B88" s="79"/>
      <c r="C88" s="30"/>
      <c r="D88" s="1"/>
      <c r="E88" s="79"/>
      <c r="F88" s="60"/>
      <c r="G88" s="72"/>
      <c r="H88" s="79"/>
      <c r="I88" s="30"/>
      <c r="J88" s="1"/>
      <c r="K88" s="79"/>
      <c r="L88" s="60"/>
      <c r="M88" s="72"/>
      <c r="N88" s="79"/>
      <c r="O88" s="30"/>
      <c r="P88" s="1"/>
      <c r="Q88" s="79"/>
      <c r="R88" s="60"/>
      <c r="S88" s="72"/>
      <c r="T88" s="79"/>
      <c r="U88" s="30"/>
      <c r="V88" s="1"/>
      <c r="W88" s="79"/>
      <c r="X88" s="60"/>
      <c r="Y88" s="72"/>
      <c r="Z88" s="79"/>
      <c r="AA88" s="30"/>
      <c r="AB88" s="1"/>
      <c r="AC88" s="79"/>
      <c r="AD88" s="60"/>
      <c r="AE88" s="72"/>
      <c r="AF88" s="79"/>
      <c r="AG88" s="30"/>
      <c r="AH88" s="1"/>
      <c r="AI88" s="79"/>
      <c r="AJ88" s="60"/>
      <c r="AK88" s="72"/>
      <c r="AL88" s="79"/>
      <c r="AM88" s="30"/>
      <c r="AN88" s="1"/>
      <c r="AO88" s="79"/>
      <c r="AP88" s="60"/>
      <c r="AQ88" s="72"/>
      <c r="AR88" s="79"/>
      <c r="AS88" s="30"/>
      <c r="AT88" s="1"/>
      <c r="AU88" s="79"/>
      <c r="AV88" s="60"/>
      <c r="AW88" s="72"/>
      <c r="AX88" s="79"/>
      <c r="AY88" s="30"/>
      <c r="AZ88" s="1"/>
      <c r="BA88" s="79"/>
      <c r="BB88" s="60"/>
      <c r="BC88" s="72"/>
      <c r="BD88" s="79"/>
      <c r="BE88" s="30"/>
      <c r="BF88" s="1"/>
      <c r="BG88" s="79"/>
      <c r="BH88" s="60"/>
    </row>
    <row r="89" spans="1:60" x14ac:dyDescent="0.25">
      <c r="A89" s="72"/>
      <c r="B89" s="79"/>
      <c r="C89" s="30"/>
      <c r="D89" s="1"/>
      <c r="E89" s="79"/>
      <c r="F89" s="60"/>
      <c r="G89" s="72"/>
      <c r="H89" s="79"/>
      <c r="I89" s="30"/>
      <c r="J89" s="1"/>
      <c r="K89" s="79"/>
      <c r="L89" s="60"/>
      <c r="M89" s="72"/>
      <c r="N89" s="79"/>
      <c r="O89" s="30"/>
      <c r="P89" s="1"/>
      <c r="Q89" s="79"/>
      <c r="R89" s="60"/>
      <c r="S89" s="72"/>
      <c r="T89" s="79"/>
      <c r="U89" s="30"/>
      <c r="V89" s="1"/>
      <c r="W89" s="79"/>
      <c r="X89" s="60"/>
      <c r="Y89" s="72"/>
      <c r="Z89" s="79"/>
      <c r="AA89" s="30"/>
      <c r="AB89" s="1"/>
      <c r="AC89" s="79"/>
      <c r="AD89" s="60"/>
      <c r="AE89" s="72"/>
      <c r="AF89" s="79"/>
      <c r="AG89" s="30"/>
      <c r="AH89" s="1"/>
      <c r="AI89" s="79"/>
      <c r="AJ89" s="60"/>
      <c r="AK89" s="72"/>
      <c r="AL89" s="79"/>
      <c r="AM89" s="30"/>
      <c r="AN89" s="1"/>
      <c r="AO89" s="79"/>
      <c r="AP89" s="60"/>
      <c r="AQ89" s="72"/>
      <c r="AR89" s="79"/>
      <c r="AS89" s="30"/>
      <c r="AT89" s="1"/>
      <c r="AU89" s="79"/>
      <c r="AV89" s="60"/>
      <c r="AW89" s="72"/>
      <c r="AX89" s="79"/>
      <c r="AY89" s="30"/>
      <c r="AZ89" s="1"/>
      <c r="BA89" s="79"/>
      <c r="BB89" s="60"/>
      <c r="BC89" s="72"/>
      <c r="BD89" s="79"/>
      <c r="BE89" s="30"/>
      <c r="BF89" s="1"/>
      <c r="BG89" s="79"/>
      <c r="BH89" s="60"/>
    </row>
    <row r="90" spans="1:60" x14ac:dyDescent="0.25">
      <c r="A90" s="72"/>
      <c r="B90" s="79"/>
      <c r="C90" s="30"/>
      <c r="D90" s="1"/>
      <c r="E90" s="79"/>
      <c r="F90" s="60"/>
      <c r="G90" s="72"/>
      <c r="H90" s="79"/>
      <c r="I90" s="30"/>
      <c r="J90" s="1"/>
      <c r="K90" s="79"/>
      <c r="L90" s="60"/>
      <c r="M90" s="72"/>
      <c r="N90" s="79"/>
      <c r="O90" s="30"/>
      <c r="P90" s="1"/>
      <c r="Q90" s="79"/>
      <c r="R90" s="60"/>
      <c r="S90" s="72"/>
      <c r="T90" s="79"/>
      <c r="U90" s="30"/>
      <c r="V90" s="1"/>
      <c r="W90" s="79"/>
      <c r="X90" s="60"/>
      <c r="Y90" s="72"/>
      <c r="Z90" s="79"/>
      <c r="AA90" s="30"/>
      <c r="AB90" s="1"/>
      <c r="AC90" s="79"/>
      <c r="AD90" s="60"/>
      <c r="AE90" s="72"/>
      <c r="AF90" s="79"/>
      <c r="AG90" s="30"/>
      <c r="AH90" s="1"/>
      <c r="AI90" s="79"/>
      <c r="AJ90" s="60"/>
      <c r="AK90" s="72"/>
      <c r="AL90" s="79"/>
      <c r="AM90" s="30"/>
      <c r="AN90" s="1"/>
      <c r="AO90" s="79"/>
      <c r="AP90" s="60"/>
      <c r="AQ90" s="72"/>
      <c r="AR90" s="79"/>
      <c r="AS90" s="30"/>
      <c r="AT90" s="1"/>
      <c r="AU90" s="79"/>
      <c r="AV90" s="60"/>
      <c r="AW90" s="72"/>
      <c r="AX90" s="79"/>
      <c r="AY90" s="30"/>
      <c r="AZ90" s="1"/>
      <c r="BA90" s="79"/>
      <c r="BB90" s="60"/>
      <c r="BC90" s="72"/>
      <c r="BD90" s="79"/>
      <c r="BE90" s="30"/>
      <c r="BF90" s="1"/>
      <c r="BG90" s="79"/>
      <c r="BH90" s="60"/>
    </row>
    <row r="91" spans="1:60" x14ac:dyDescent="0.25">
      <c r="A91" s="72"/>
      <c r="B91" s="79"/>
      <c r="C91" s="30"/>
      <c r="D91" s="1"/>
      <c r="E91" s="79"/>
      <c r="F91" s="60"/>
      <c r="G91" s="72"/>
      <c r="H91" s="79"/>
      <c r="I91" s="30"/>
      <c r="J91" s="1"/>
      <c r="K91" s="79"/>
      <c r="L91" s="60"/>
      <c r="M91" s="72"/>
      <c r="N91" s="79"/>
      <c r="O91" s="30"/>
      <c r="P91" s="1"/>
      <c r="Q91" s="79"/>
      <c r="R91" s="60"/>
      <c r="S91" s="72"/>
      <c r="T91" s="79"/>
      <c r="U91" s="30"/>
      <c r="V91" s="1"/>
      <c r="W91" s="79"/>
      <c r="X91" s="60"/>
      <c r="Y91" s="72"/>
      <c r="Z91" s="79"/>
      <c r="AA91" s="30"/>
      <c r="AB91" s="1"/>
      <c r="AC91" s="79"/>
      <c r="AD91" s="60"/>
      <c r="AE91" s="72"/>
      <c r="AF91" s="79"/>
      <c r="AG91" s="30"/>
      <c r="AH91" s="1"/>
      <c r="AI91" s="79"/>
      <c r="AJ91" s="60"/>
      <c r="AK91" s="72"/>
      <c r="AL91" s="79"/>
      <c r="AM91" s="30"/>
      <c r="AN91" s="1"/>
      <c r="AO91" s="79"/>
      <c r="AP91" s="60"/>
      <c r="AQ91" s="72"/>
      <c r="AR91" s="79"/>
      <c r="AS91" s="30"/>
      <c r="AT91" s="1"/>
      <c r="AU91" s="79"/>
      <c r="AV91" s="60"/>
      <c r="AW91" s="72"/>
      <c r="AX91" s="79"/>
      <c r="AY91" s="30"/>
      <c r="AZ91" s="1"/>
      <c r="BA91" s="79"/>
      <c r="BB91" s="60"/>
      <c r="BC91" s="72"/>
      <c r="BD91" s="79"/>
      <c r="BE91" s="30"/>
      <c r="BF91" s="1"/>
      <c r="BG91" s="79"/>
      <c r="BH91" s="60"/>
    </row>
    <row r="92" spans="1:60" x14ac:dyDescent="0.25">
      <c r="A92" s="74"/>
      <c r="B92" s="81"/>
      <c r="C92" s="82"/>
      <c r="D92" s="75"/>
      <c r="E92" s="81"/>
      <c r="F92" s="76"/>
      <c r="G92" s="74"/>
      <c r="H92" s="81"/>
      <c r="I92" s="82"/>
      <c r="J92" s="75"/>
      <c r="K92" s="81"/>
      <c r="L92" s="76"/>
      <c r="M92" s="74"/>
      <c r="N92" s="81"/>
      <c r="O92" s="82"/>
      <c r="P92" s="75"/>
      <c r="Q92" s="81"/>
      <c r="R92" s="76"/>
      <c r="S92" s="74"/>
      <c r="T92" s="81"/>
      <c r="U92" s="82"/>
      <c r="V92" s="75"/>
      <c r="W92" s="81"/>
      <c r="X92" s="76"/>
      <c r="Y92" s="74"/>
      <c r="Z92" s="81"/>
      <c r="AA92" s="82"/>
      <c r="AB92" s="75"/>
      <c r="AC92" s="81"/>
      <c r="AD92" s="76"/>
      <c r="AE92" s="74"/>
      <c r="AF92" s="81"/>
      <c r="AG92" s="82"/>
      <c r="AH92" s="75"/>
      <c r="AI92" s="81"/>
      <c r="AJ92" s="76"/>
      <c r="AK92" s="74"/>
      <c r="AL92" s="81"/>
      <c r="AM92" s="82"/>
      <c r="AN92" s="75"/>
      <c r="AO92" s="81"/>
      <c r="AP92" s="76"/>
      <c r="AQ92" s="74"/>
      <c r="AR92" s="81"/>
      <c r="AS92" s="82"/>
      <c r="AT92" s="75"/>
      <c r="AU92" s="81"/>
      <c r="AV92" s="76"/>
      <c r="AW92" s="74"/>
      <c r="AX92" s="81"/>
      <c r="AY92" s="82"/>
      <c r="AZ92" s="75"/>
      <c r="BA92" s="81"/>
      <c r="BB92" s="76"/>
      <c r="BC92" s="74"/>
      <c r="BD92" s="81"/>
      <c r="BE92" s="82"/>
      <c r="BF92" s="75"/>
      <c r="BG92" s="81"/>
      <c r="BH92" s="76"/>
    </row>
  </sheetData>
  <mergeCells count="118">
    <mergeCell ref="BC80:BD80"/>
    <mergeCell ref="BE80:BG80"/>
    <mergeCell ref="BH80:BH81"/>
    <mergeCell ref="AK80:AL80"/>
    <mergeCell ref="AM80:AO80"/>
    <mergeCell ref="AP80:AP81"/>
    <mergeCell ref="AQ80:AR80"/>
    <mergeCell ref="AS80:AU80"/>
    <mergeCell ref="AV80:AV81"/>
    <mergeCell ref="AW80:AX80"/>
    <mergeCell ref="AY80:BA80"/>
    <mergeCell ref="BB80:BB81"/>
    <mergeCell ref="S80:T80"/>
    <mergeCell ref="U80:W80"/>
    <mergeCell ref="X80:X81"/>
    <mergeCell ref="Y80:Z80"/>
    <mergeCell ref="AA80:AC80"/>
    <mergeCell ref="AD80:AD81"/>
    <mergeCell ref="AE80:AF80"/>
    <mergeCell ref="AG80:AI80"/>
    <mergeCell ref="AJ80:AJ81"/>
    <mergeCell ref="A80:B80"/>
    <mergeCell ref="C80:E80"/>
    <mergeCell ref="F80:F81"/>
    <mergeCell ref="G80:H80"/>
    <mergeCell ref="I80:K80"/>
    <mergeCell ref="L80:L81"/>
    <mergeCell ref="M80:N80"/>
    <mergeCell ref="O80:Q80"/>
    <mergeCell ref="R80:R81"/>
    <mergeCell ref="A77:BH77"/>
    <mergeCell ref="A78:BH78"/>
    <mergeCell ref="A79:F79"/>
    <mergeCell ref="G79:L79"/>
    <mergeCell ref="M79:R79"/>
    <mergeCell ref="S79:X79"/>
    <mergeCell ref="Y79:AD79"/>
    <mergeCell ref="AE79:AJ79"/>
    <mergeCell ref="AK79:AP79"/>
    <mergeCell ref="AQ79:AV79"/>
    <mergeCell ref="AW79:BB79"/>
    <mergeCell ref="BC79:BH79"/>
    <mergeCell ref="S64:T64"/>
    <mergeCell ref="U64:W64"/>
    <mergeCell ref="X64:X65"/>
    <mergeCell ref="Y64:Z64"/>
    <mergeCell ref="AA64:AC64"/>
    <mergeCell ref="AD64:AD65"/>
    <mergeCell ref="AE64:AF64"/>
    <mergeCell ref="AG64:AI64"/>
    <mergeCell ref="AJ64:AJ65"/>
    <mergeCell ref="A64:B64"/>
    <mergeCell ref="C64:E64"/>
    <mergeCell ref="F64:F65"/>
    <mergeCell ref="G64:H64"/>
    <mergeCell ref="I64:K64"/>
    <mergeCell ref="L64:L65"/>
    <mergeCell ref="M64:N64"/>
    <mergeCell ref="O64:Q64"/>
    <mergeCell ref="R64:R65"/>
    <mergeCell ref="A61:X61"/>
    <mergeCell ref="Y61:AJ61"/>
    <mergeCell ref="A62:X62"/>
    <mergeCell ref="Y62:AJ62"/>
    <mergeCell ref="A63:F63"/>
    <mergeCell ref="G63:L63"/>
    <mergeCell ref="M63:R63"/>
    <mergeCell ref="S63:X63"/>
    <mergeCell ref="Y63:AD63"/>
    <mergeCell ref="AE63:AJ63"/>
    <mergeCell ref="A48:F48"/>
    <mergeCell ref="G48:L48"/>
    <mergeCell ref="M48:R48"/>
    <mergeCell ref="S48:X48"/>
    <mergeCell ref="Y48:AD48"/>
    <mergeCell ref="A49:B49"/>
    <mergeCell ref="C49:E49"/>
    <mergeCell ref="F49:F50"/>
    <mergeCell ref="G49:H49"/>
    <mergeCell ref="I49:K49"/>
    <mergeCell ref="L49:L50"/>
    <mergeCell ref="M49:N49"/>
    <mergeCell ref="O49:Q49"/>
    <mergeCell ref="R49:R50"/>
    <mergeCell ref="S49:T49"/>
    <mergeCell ref="U49:W49"/>
    <mergeCell ref="X49:X50"/>
    <mergeCell ref="Y49:Z49"/>
    <mergeCell ref="AA49:AC49"/>
    <mergeCell ref="AD49:AD50"/>
    <mergeCell ref="A46:F46"/>
    <mergeCell ref="G46:L46"/>
    <mergeCell ref="M46:R46"/>
    <mergeCell ref="S46:X46"/>
    <mergeCell ref="Y46:AD46"/>
    <mergeCell ref="A47:F47"/>
    <mergeCell ref="G47:L47"/>
    <mergeCell ref="M47:R47"/>
    <mergeCell ref="S47:X47"/>
    <mergeCell ref="Y47:AD47"/>
    <mergeCell ref="A4:B4"/>
    <mergeCell ref="C4:E4"/>
    <mergeCell ref="F4:F5"/>
    <mergeCell ref="G4:H4"/>
    <mergeCell ref="I4:K4"/>
    <mergeCell ref="L4:L5"/>
    <mergeCell ref="M4:N4"/>
    <mergeCell ref="O4:Q4"/>
    <mergeCell ref="R4:R5"/>
    <mergeCell ref="A1:F1"/>
    <mergeCell ref="G1:L1"/>
    <mergeCell ref="M1:R1"/>
    <mergeCell ref="A2:F2"/>
    <mergeCell ref="G2:L2"/>
    <mergeCell ref="M2:R2"/>
    <mergeCell ref="A3:F3"/>
    <mergeCell ref="G3:L3"/>
    <mergeCell ref="M3:R3"/>
  </mergeCells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K108"/>
  <sheetViews>
    <sheetView topLeftCell="A76" zoomScaleNormal="100" zoomScaleSheetLayoutView="100" workbookViewId="0">
      <selection activeCell="C33" sqref="C33"/>
    </sheetView>
  </sheetViews>
  <sheetFormatPr defaultColWidth="8.9140625" defaultRowHeight="16" x14ac:dyDescent="0.25"/>
  <cols>
    <col min="1" max="1" width="14.83203125" style="70" bestFit="1" customWidth="1"/>
    <col min="2" max="2" width="10" style="70" bestFit="1" customWidth="1"/>
    <col min="3" max="3" width="74.6640625" style="70" bestFit="1" customWidth="1"/>
    <col min="4" max="4" width="8.1640625" style="70" bestFit="1" customWidth="1"/>
    <col min="5" max="5" width="8.08203125" style="70" bestFit="1" customWidth="1"/>
    <col min="6" max="6" width="11.08203125" style="70" bestFit="1" customWidth="1"/>
    <col min="7" max="7" width="4.1640625" style="10" bestFit="1" customWidth="1"/>
    <col min="8" max="9" width="7.4140625" style="70" bestFit="1" customWidth="1"/>
    <col min="10" max="10" width="7.08203125" style="10" bestFit="1" customWidth="1"/>
    <col min="11" max="11" width="11.4140625" style="10" bestFit="1" customWidth="1"/>
    <col min="12" max="16384" width="8.9140625" style="70"/>
  </cols>
  <sheetData>
    <row r="1" spans="1:11" x14ac:dyDescent="0.25">
      <c r="A1" s="164" t="s">
        <v>1074</v>
      </c>
      <c r="B1" s="164" t="s">
        <v>1038</v>
      </c>
      <c r="C1" s="164" t="s">
        <v>1054</v>
      </c>
      <c r="D1" s="164" t="s">
        <v>109</v>
      </c>
      <c r="E1" s="164" t="s">
        <v>1049</v>
      </c>
      <c r="F1" s="164" t="s">
        <v>1034</v>
      </c>
      <c r="G1" s="164" t="s">
        <v>128</v>
      </c>
      <c r="H1" s="164" t="s">
        <v>115</v>
      </c>
      <c r="I1" s="164" t="s">
        <v>1050</v>
      </c>
      <c r="J1" s="164" t="s">
        <v>1130</v>
      </c>
      <c r="K1" s="164"/>
    </row>
    <row r="2" spans="1:11" x14ac:dyDescent="0.25">
      <c r="A2" s="10" t="s">
        <v>1235</v>
      </c>
      <c r="B2" s="171" t="s">
        <v>339</v>
      </c>
      <c r="C2" s="171" t="s">
        <v>1238</v>
      </c>
      <c r="D2" s="10" t="s">
        <v>719</v>
      </c>
      <c r="E2" s="10" t="s">
        <v>1052</v>
      </c>
      <c r="F2" s="171" t="s">
        <v>1046</v>
      </c>
      <c r="G2" s="10">
        <v>1</v>
      </c>
      <c r="H2" s="172">
        <v>2794000</v>
      </c>
      <c r="I2" s="172">
        <v>2794000</v>
      </c>
      <c r="J2" s="10">
        <v>4</v>
      </c>
    </row>
    <row r="3" spans="1:11" x14ac:dyDescent="0.25">
      <c r="A3" s="10" t="s">
        <v>1366</v>
      </c>
      <c r="B3" s="171" t="s">
        <v>1073</v>
      </c>
      <c r="C3" s="171" t="s">
        <v>1604</v>
      </c>
      <c r="D3" s="10" t="s">
        <v>719</v>
      </c>
      <c r="E3" s="10" t="s">
        <v>1045</v>
      </c>
      <c r="F3" s="171" t="s">
        <v>1046</v>
      </c>
      <c r="G3" s="10">
        <v>1</v>
      </c>
      <c r="H3" s="172">
        <v>836000</v>
      </c>
      <c r="I3" s="172">
        <v>836000</v>
      </c>
      <c r="J3" s="10">
        <v>5</v>
      </c>
    </row>
    <row r="4" spans="1:11" x14ac:dyDescent="0.25">
      <c r="A4" s="10" t="s">
        <v>1363</v>
      </c>
      <c r="B4" s="171" t="s">
        <v>1073</v>
      </c>
      <c r="C4" s="171" t="s">
        <v>573</v>
      </c>
      <c r="D4" s="10" t="s">
        <v>719</v>
      </c>
      <c r="E4" s="10" t="s">
        <v>1045</v>
      </c>
      <c r="F4" s="171" t="s">
        <v>1046</v>
      </c>
      <c r="G4" s="10">
        <v>1</v>
      </c>
      <c r="H4" s="172">
        <v>836000</v>
      </c>
      <c r="I4" s="172">
        <v>836000</v>
      </c>
      <c r="J4" s="10">
        <v>5</v>
      </c>
    </row>
    <row r="5" spans="1:11" x14ac:dyDescent="0.25">
      <c r="A5" s="10" t="s">
        <v>1370</v>
      </c>
      <c r="B5" s="171" t="s">
        <v>1037</v>
      </c>
      <c r="C5" s="171" t="s">
        <v>558</v>
      </c>
      <c r="D5" s="10" t="s">
        <v>710</v>
      </c>
      <c r="E5" s="10" t="s">
        <v>1052</v>
      </c>
      <c r="F5" s="171" t="s">
        <v>1046</v>
      </c>
      <c r="G5" s="10">
        <v>1</v>
      </c>
      <c r="H5" s="172">
        <v>657680</v>
      </c>
      <c r="I5" s="172">
        <v>657680</v>
      </c>
      <c r="J5" s="10">
        <v>5</v>
      </c>
    </row>
    <row r="6" spans="1:11" x14ac:dyDescent="0.25">
      <c r="A6" s="165" t="s">
        <v>1349</v>
      </c>
      <c r="B6" s="166" t="s">
        <v>1037</v>
      </c>
      <c r="C6" s="166" t="s">
        <v>418</v>
      </c>
      <c r="D6" s="173" t="s">
        <v>648</v>
      </c>
      <c r="E6" s="165" t="s">
        <v>1052</v>
      </c>
      <c r="F6" s="166" t="s">
        <v>1046</v>
      </c>
      <c r="G6" s="165">
        <v>1</v>
      </c>
      <c r="H6" s="167">
        <v>1105340</v>
      </c>
      <c r="I6" s="167">
        <v>1105340</v>
      </c>
      <c r="J6" s="165">
        <v>5</v>
      </c>
      <c r="K6" s="165" t="s">
        <v>712</v>
      </c>
    </row>
    <row r="7" spans="1:11" x14ac:dyDescent="0.25">
      <c r="A7" s="168" t="s">
        <v>1274</v>
      </c>
      <c r="B7" s="169" t="s">
        <v>339</v>
      </c>
      <c r="C7" s="169" t="s">
        <v>592</v>
      </c>
      <c r="D7" s="168" t="s">
        <v>718</v>
      </c>
      <c r="E7" s="168" t="s">
        <v>1052</v>
      </c>
      <c r="F7" s="169" t="s">
        <v>1046</v>
      </c>
      <c r="G7" s="168">
        <v>1</v>
      </c>
      <c r="H7" s="170">
        <v>2490970</v>
      </c>
      <c r="I7" s="170">
        <v>2490970</v>
      </c>
      <c r="J7" s="168">
        <v>5</v>
      </c>
      <c r="K7" s="168"/>
    </row>
    <row r="8" spans="1:11" x14ac:dyDescent="0.25">
      <c r="A8" s="10" t="s">
        <v>1225</v>
      </c>
      <c r="B8" s="171" t="s">
        <v>1037</v>
      </c>
      <c r="C8" s="171" t="s">
        <v>1245</v>
      </c>
      <c r="D8" s="10" t="s">
        <v>711</v>
      </c>
      <c r="E8" s="10" t="s">
        <v>1057</v>
      </c>
      <c r="F8" s="171" t="s">
        <v>1062</v>
      </c>
      <c r="G8" s="10">
        <v>1</v>
      </c>
      <c r="H8" s="172">
        <v>660000</v>
      </c>
      <c r="I8" s="172">
        <v>660000</v>
      </c>
      <c r="J8" s="10">
        <v>5</v>
      </c>
    </row>
    <row r="9" spans="1:11" x14ac:dyDescent="0.25">
      <c r="A9" s="10" t="s">
        <v>1225</v>
      </c>
      <c r="B9" s="171" t="s">
        <v>1037</v>
      </c>
      <c r="C9" s="171" t="s">
        <v>1245</v>
      </c>
      <c r="D9" s="10" t="s">
        <v>713</v>
      </c>
      <c r="E9" s="10" t="s">
        <v>1052</v>
      </c>
      <c r="F9" s="171" t="s">
        <v>1062</v>
      </c>
      <c r="G9" s="10">
        <v>1</v>
      </c>
      <c r="H9" s="172">
        <v>704000</v>
      </c>
      <c r="I9" s="172">
        <v>704000</v>
      </c>
      <c r="J9" s="10">
        <v>5</v>
      </c>
    </row>
    <row r="10" spans="1:11" x14ac:dyDescent="0.25">
      <c r="A10" s="10" t="s">
        <v>1225</v>
      </c>
      <c r="B10" s="171" t="s">
        <v>1037</v>
      </c>
      <c r="C10" s="171" t="s">
        <v>1245</v>
      </c>
      <c r="D10" s="10" t="s">
        <v>709</v>
      </c>
      <c r="E10" s="10" t="s">
        <v>1052</v>
      </c>
      <c r="F10" s="171" t="s">
        <v>1062</v>
      </c>
      <c r="G10" s="10">
        <v>1</v>
      </c>
      <c r="H10" s="172">
        <v>704000</v>
      </c>
      <c r="I10" s="172">
        <v>704000</v>
      </c>
      <c r="J10" s="10">
        <v>5</v>
      </c>
    </row>
    <row r="11" spans="1:11" x14ac:dyDescent="0.25">
      <c r="A11" s="10" t="s">
        <v>1225</v>
      </c>
      <c r="B11" s="171" t="s">
        <v>1037</v>
      </c>
      <c r="C11" s="171" t="s">
        <v>1245</v>
      </c>
      <c r="D11" s="10" t="s">
        <v>715</v>
      </c>
      <c r="E11" s="10" t="s">
        <v>1057</v>
      </c>
      <c r="F11" s="171" t="s">
        <v>1062</v>
      </c>
      <c r="G11" s="10">
        <v>1</v>
      </c>
      <c r="H11" s="172">
        <v>499000</v>
      </c>
      <c r="I11" s="172">
        <v>499000</v>
      </c>
      <c r="J11" s="10">
        <v>5</v>
      </c>
    </row>
    <row r="12" spans="1:11" x14ac:dyDescent="0.25">
      <c r="A12" s="10" t="s">
        <v>1225</v>
      </c>
      <c r="B12" s="171" t="s">
        <v>1037</v>
      </c>
      <c r="C12" s="171" t="s">
        <v>1245</v>
      </c>
      <c r="D12" s="10" t="s">
        <v>717</v>
      </c>
      <c r="E12" s="10" t="s">
        <v>1052</v>
      </c>
      <c r="F12" s="171" t="s">
        <v>1062</v>
      </c>
      <c r="G12" s="10">
        <v>2</v>
      </c>
      <c r="H12" s="172">
        <v>1464720</v>
      </c>
      <c r="I12" s="172">
        <v>2929440</v>
      </c>
      <c r="J12" s="10">
        <v>5</v>
      </c>
    </row>
    <row r="13" spans="1:11" x14ac:dyDescent="0.25">
      <c r="A13" s="10" t="s">
        <v>1236</v>
      </c>
      <c r="B13" s="171" t="s">
        <v>1037</v>
      </c>
      <c r="C13" s="171" t="s">
        <v>556</v>
      </c>
      <c r="D13" s="10" t="s">
        <v>659</v>
      </c>
      <c r="E13" s="10" t="s">
        <v>1052</v>
      </c>
      <c r="F13" s="171" t="s">
        <v>1062</v>
      </c>
      <c r="G13" s="10">
        <v>1</v>
      </c>
      <c r="H13" s="172">
        <v>915200</v>
      </c>
      <c r="I13" s="172">
        <v>915200</v>
      </c>
      <c r="J13" s="10">
        <v>5</v>
      </c>
    </row>
    <row r="14" spans="1:11" x14ac:dyDescent="0.25">
      <c r="A14" s="10" t="s">
        <v>1239</v>
      </c>
      <c r="B14" s="171" t="s">
        <v>1037</v>
      </c>
      <c r="C14" s="171" t="s">
        <v>586</v>
      </c>
      <c r="D14" s="10" t="s">
        <v>440</v>
      </c>
      <c r="E14" s="10" t="s">
        <v>1052</v>
      </c>
      <c r="F14" s="171" t="s">
        <v>1062</v>
      </c>
      <c r="G14" s="10">
        <v>1</v>
      </c>
      <c r="H14" s="172">
        <v>817300</v>
      </c>
      <c r="I14" s="172">
        <v>817300</v>
      </c>
      <c r="J14" s="10">
        <v>5</v>
      </c>
    </row>
    <row r="15" spans="1:11" s="163" customFormat="1" x14ac:dyDescent="0.25">
      <c r="A15" s="165" t="s">
        <v>1293</v>
      </c>
      <c r="B15" s="166" t="s">
        <v>1037</v>
      </c>
      <c r="C15" s="166" t="s">
        <v>571</v>
      </c>
      <c r="D15" s="165" t="s">
        <v>666</v>
      </c>
      <c r="E15" s="165" t="s">
        <v>1052</v>
      </c>
      <c r="F15" s="166" t="s">
        <v>1062</v>
      </c>
      <c r="G15" s="165">
        <v>2</v>
      </c>
      <c r="H15" s="167">
        <v>663205</v>
      </c>
      <c r="I15" s="167">
        <v>1326410</v>
      </c>
      <c r="J15" s="165">
        <v>5</v>
      </c>
      <c r="K15" s="165" t="s">
        <v>356</v>
      </c>
    </row>
    <row r="16" spans="1:11" x14ac:dyDescent="0.25">
      <c r="A16" s="168" t="s">
        <v>1326</v>
      </c>
      <c r="B16" s="169" t="s">
        <v>1037</v>
      </c>
      <c r="C16" s="169" t="s">
        <v>560</v>
      </c>
      <c r="D16" s="168" t="s">
        <v>644</v>
      </c>
      <c r="E16" s="168" t="s">
        <v>1052</v>
      </c>
      <c r="F16" s="169" t="s">
        <v>1062</v>
      </c>
      <c r="G16" s="168">
        <v>1</v>
      </c>
      <c r="H16" s="170">
        <v>442370</v>
      </c>
      <c r="I16" s="170">
        <v>442370</v>
      </c>
      <c r="J16" s="168">
        <v>6</v>
      </c>
      <c r="K16" s="168" t="s">
        <v>1111</v>
      </c>
    </row>
    <row r="17" spans="1:11" x14ac:dyDescent="0.25">
      <c r="A17" s="10" t="s">
        <v>1225</v>
      </c>
      <c r="B17" s="171" t="s">
        <v>1037</v>
      </c>
      <c r="C17" s="171" t="s">
        <v>1245</v>
      </c>
      <c r="D17" s="10" t="s">
        <v>715</v>
      </c>
      <c r="E17" s="10" t="s">
        <v>1057</v>
      </c>
      <c r="F17" s="171" t="s">
        <v>1056</v>
      </c>
      <c r="G17" s="10">
        <v>1</v>
      </c>
      <c r="H17" s="172">
        <v>499000</v>
      </c>
      <c r="I17" s="172">
        <v>499000</v>
      </c>
      <c r="J17" s="10">
        <v>5</v>
      </c>
    </row>
    <row r="18" spans="1:11" x14ac:dyDescent="0.25">
      <c r="A18" s="10" t="s">
        <v>1239</v>
      </c>
      <c r="B18" s="171" t="s">
        <v>1037</v>
      </c>
      <c r="C18" s="171" t="s">
        <v>586</v>
      </c>
      <c r="D18" s="10" t="s">
        <v>659</v>
      </c>
      <c r="E18" s="10" t="s">
        <v>1052</v>
      </c>
      <c r="F18" s="171" t="s">
        <v>1056</v>
      </c>
      <c r="G18" s="10">
        <v>1</v>
      </c>
      <c r="H18" s="172">
        <v>1193500</v>
      </c>
      <c r="I18" s="172">
        <v>1193500</v>
      </c>
      <c r="J18" s="10">
        <v>5</v>
      </c>
    </row>
    <row r="19" spans="1:11" x14ac:dyDescent="0.25">
      <c r="A19" s="10" t="s">
        <v>1330</v>
      </c>
      <c r="B19" s="171" t="s">
        <v>1073</v>
      </c>
      <c r="C19" s="171" t="s">
        <v>417</v>
      </c>
      <c r="D19" s="10" t="s">
        <v>649</v>
      </c>
      <c r="E19" s="10" t="s">
        <v>1057</v>
      </c>
      <c r="F19" s="171" t="s">
        <v>1056</v>
      </c>
      <c r="G19" s="10">
        <v>1</v>
      </c>
      <c r="H19" s="172">
        <v>4667400</v>
      </c>
      <c r="I19" s="172">
        <v>4667400</v>
      </c>
      <c r="J19" s="10">
        <v>5</v>
      </c>
    </row>
    <row r="20" spans="1:11" x14ac:dyDescent="0.25">
      <c r="A20" s="168" t="s">
        <v>1322</v>
      </c>
      <c r="B20" s="169" t="s">
        <v>1037</v>
      </c>
      <c r="C20" s="169" t="s">
        <v>552</v>
      </c>
      <c r="D20" s="168" t="s">
        <v>665</v>
      </c>
      <c r="E20" s="168" t="s">
        <v>1052</v>
      </c>
      <c r="F20" s="169" t="s">
        <v>1056</v>
      </c>
      <c r="G20" s="168">
        <v>1</v>
      </c>
      <c r="H20" s="170">
        <v>631780</v>
      </c>
      <c r="I20" s="170">
        <v>631780</v>
      </c>
      <c r="J20" s="168">
        <v>5</v>
      </c>
      <c r="K20" s="168"/>
    </row>
    <row r="21" spans="1:11" x14ac:dyDescent="0.25">
      <c r="A21" s="168" t="s">
        <v>1274</v>
      </c>
      <c r="B21" s="169" t="s">
        <v>339</v>
      </c>
      <c r="C21" s="169" t="s">
        <v>592</v>
      </c>
      <c r="D21" s="168" t="s">
        <v>671</v>
      </c>
      <c r="E21" s="168" t="s">
        <v>1052</v>
      </c>
      <c r="F21" s="169" t="s">
        <v>1056</v>
      </c>
      <c r="G21" s="168">
        <v>1</v>
      </c>
      <c r="H21" s="170">
        <v>2490970</v>
      </c>
      <c r="I21" s="170">
        <v>2490970</v>
      </c>
      <c r="J21" s="168">
        <v>6</v>
      </c>
      <c r="K21" s="168"/>
    </row>
    <row r="22" spans="1:11" x14ac:dyDescent="0.25">
      <c r="A22" s="10" t="s">
        <v>1225</v>
      </c>
      <c r="B22" s="171" t="s">
        <v>1037</v>
      </c>
      <c r="C22" s="171" t="s">
        <v>1245</v>
      </c>
      <c r="D22" s="10" t="s">
        <v>700</v>
      </c>
      <c r="E22" s="10" t="s">
        <v>1052</v>
      </c>
      <c r="F22" s="171" t="s">
        <v>1053</v>
      </c>
      <c r="G22" s="10">
        <v>2</v>
      </c>
      <c r="H22" s="172">
        <v>568700</v>
      </c>
      <c r="I22" s="172">
        <v>1137400</v>
      </c>
      <c r="J22" s="10">
        <v>5</v>
      </c>
    </row>
    <row r="23" spans="1:11" x14ac:dyDescent="0.25">
      <c r="A23" s="10" t="s">
        <v>1232</v>
      </c>
      <c r="B23" s="171" t="s">
        <v>1037</v>
      </c>
      <c r="C23" s="171" t="s">
        <v>570</v>
      </c>
      <c r="D23" s="10" t="s">
        <v>700</v>
      </c>
      <c r="E23" s="10" t="s">
        <v>1052</v>
      </c>
      <c r="F23" s="171" t="s">
        <v>1053</v>
      </c>
      <c r="G23" s="10">
        <v>2</v>
      </c>
      <c r="H23" s="172">
        <v>295900</v>
      </c>
      <c r="I23" s="172">
        <v>591800</v>
      </c>
      <c r="J23" s="10">
        <v>5</v>
      </c>
    </row>
    <row r="24" spans="1:11" x14ac:dyDescent="0.25">
      <c r="A24" s="10" t="s">
        <v>1225</v>
      </c>
      <c r="B24" s="171" t="s">
        <v>1037</v>
      </c>
      <c r="C24" s="171" t="s">
        <v>1245</v>
      </c>
      <c r="D24" s="10" t="s">
        <v>702</v>
      </c>
      <c r="E24" s="10" t="s">
        <v>1057</v>
      </c>
      <c r="F24" s="171" t="s">
        <v>1053</v>
      </c>
      <c r="G24" s="10">
        <v>1</v>
      </c>
      <c r="H24" s="172">
        <v>1090430</v>
      </c>
      <c r="I24" s="172">
        <v>1090430</v>
      </c>
      <c r="J24" s="10">
        <v>5</v>
      </c>
    </row>
    <row r="25" spans="1:11" x14ac:dyDescent="0.25">
      <c r="A25" s="10" t="s">
        <v>1225</v>
      </c>
      <c r="B25" s="171" t="s">
        <v>1037</v>
      </c>
      <c r="C25" s="171" t="s">
        <v>1245</v>
      </c>
      <c r="D25" s="10" t="s">
        <v>703</v>
      </c>
      <c r="E25" s="10" t="s">
        <v>1052</v>
      </c>
      <c r="F25" s="171" t="s">
        <v>1053</v>
      </c>
      <c r="G25" s="10">
        <v>2</v>
      </c>
      <c r="H25" s="172">
        <v>962500</v>
      </c>
      <c r="I25" s="172">
        <v>1925000</v>
      </c>
      <c r="J25" s="10">
        <v>5</v>
      </c>
    </row>
    <row r="26" spans="1:11" x14ac:dyDescent="0.25">
      <c r="A26" s="10" t="s">
        <v>1359</v>
      </c>
      <c r="B26" s="171" t="s">
        <v>339</v>
      </c>
      <c r="C26" s="171" t="s">
        <v>563</v>
      </c>
      <c r="D26" s="10" t="s">
        <v>701</v>
      </c>
      <c r="E26" s="10" t="s">
        <v>1057</v>
      </c>
      <c r="F26" s="171" t="s">
        <v>1053</v>
      </c>
      <c r="G26" s="10">
        <v>1</v>
      </c>
      <c r="H26" s="172">
        <v>2820000</v>
      </c>
      <c r="I26" s="172">
        <v>2820000</v>
      </c>
      <c r="J26" s="10">
        <v>4</v>
      </c>
    </row>
    <row r="27" spans="1:11" x14ac:dyDescent="0.25">
      <c r="A27" s="10" t="s">
        <v>1248</v>
      </c>
      <c r="B27" s="171" t="s">
        <v>1073</v>
      </c>
      <c r="C27" s="171" t="s">
        <v>2</v>
      </c>
      <c r="D27" s="10" t="s">
        <v>701</v>
      </c>
      <c r="E27" s="10" t="s">
        <v>1045</v>
      </c>
      <c r="F27" s="171" t="s">
        <v>1053</v>
      </c>
      <c r="G27" s="10">
        <v>1</v>
      </c>
      <c r="H27" s="172">
        <v>757000</v>
      </c>
      <c r="I27" s="172">
        <v>757000</v>
      </c>
      <c r="J27" s="10">
        <v>5</v>
      </c>
    </row>
    <row r="28" spans="1:11" x14ac:dyDescent="0.25">
      <c r="A28" s="10" t="s">
        <v>1345</v>
      </c>
      <c r="B28" s="171" t="s">
        <v>1073</v>
      </c>
      <c r="C28" s="171" t="s">
        <v>1570</v>
      </c>
      <c r="D28" s="10" t="s">
        <v>701</v>
      </c>
      <c r="E28" s="10" t="s">
        <v>1045</v>
      </c>
      <c r="F28" s="171" t="s">
        <v>1053</v>
      </c>
      <c r="G28" s="10">
        <v>1</v>
      </c>
      <c r="H28" s="172">
        <v>757000</v>
      </c>
      <c r="I28" s="172">
        <v>757000</v>
      </c>
      <c r="J28" s="10">
        <v>5</v>
      </c>
    </row>
    <row r="29" spans="1:11" x14ac:dyDescent="0.25">
      <c r="A29" s="165" t="s">
        <v>1242</v>
      </c>
      <c r="B29" s="166" t="s">
        <v>339</v>
      </c>
      <c r="C29" s="166" t="s">
        <v>1586</v>
      </c>
      <c r="D29" s="165" t="s">
        <v>668</v>
      </c>
      <c r="E29" s="165" t="s">
        <v>1052</v>
      </c>
      <c r="F29" s="166" t="s">
        <v>1053</v>
      </c>
      <c r="G29" s="165">
        <v>1</v>
      </c>
      <c r="H29" s="167">
        <v>4125150</v>
      </c>
      <c r="I29" s="167">
        <v>4125150</v>
      </c>
      <c r="J29" s="165">
        <v>5</v>
      </c>
      <c r="K29" s="165" t="s">
        <v>1058</v>
      </c>
    </row>
    <row r="30" spans="1:11" x14ac:dyDescent="0.25">
      <c r="A30" s="168" t="s">
        <v>1254</v>
      </c>
      <c r="B30" s="169" t="s">
        <v>1037</v>
      </c>
      <c r="C30" s="169" t="s">
        <v>585</v>
      </c>
      <c r="D30" s="168" t="s">
        <v>665</v>
      </c>
      <c r="E30" s="168" t="s">
        <v>1052</v>
      </c>
      <c r="F30" s="169" t="s">
        <v>1053</v>
      </c>
      <c r="G30" s="168">
        <v>1</v>
      </c>
      <c r="H30" s="170">
        <v>775500</v>
      </c>
      <c r="I30" s="170">
        <v>775500</v>
      </c>
      <c r="J30" s="168">
        <v>5</v>
      </c>
      <c r="K30" s="168"/>
    </row>
    <row r="31" spans="1:11" x14ac:dyDescent="0.25">
      <c r="A31" s="168" t="s">
        <v>1322</v>
      </c>
      <c r="B31" s="169" t="s">
        <v>1037</v>
      </c>
      <c r="C31" s="169" t="s">
        <v>552</v>
      </c>
      <c r="D31" s="168" t="s">
        <v>665</v>
      </c>
      <c r="E31" s="168" t="s">
        <v>1052</v>
      </c>
      <c r="F31" s="169" t="s">
        <v>1053</v>
      </c>
      <c r="G31" s="168">
        <v>1</v>
      </c>
      <c r="H31" s="170">
        <v>631780</v>
      </c>
      <c r="I31" s="170">
        <v>631780</v>
      </c>
      <c r="J31" s="168">
        <v>5</v>
      </c>
      <c r="K31" s="168"/>
    </row>
    <row r="32" spans="1:11" x14ac:dyDescent="0.25">
      <c r="A32" s="10" t="s">
        <v>1221</v>
      </c>
      <c r="B32" s="171" t="s">
        <v>339</v>
      </c>
      <c r="C32" s="171" t="s">
        <v>694</v>
      </c>
      <c r="D32" s="10" t="s">
        <v>450</v>
      </c>
      <c r="E32" s="10" t="s">
        <v>1052</v>
      </c>
      <c r="F32" s="171" t="s">
        <v>1068</v>
      </c>
      <c r="G32" s="10">
        <v>1</v>
      </c>
      <c r="H32" s="172">
        <v>4235000</v>
      </c>
      <c r="I32" s="172">
        <v>4235000</v>
      </c>
      <c r="J32" s="10">
        <v>5</v>
      </c>
    </row>
    <row r="33" spans="1:11" x14ac:dyDescent="0.25">
      <c r="A33" s="10" t="s">
        <v>1225</v>
      </c>
      <c r="B33" s="171" t="s">
        <v>1037</v>
      </c>
      <c r="C33" s="171" t="s">
        <v>1245</v>
      </c>
      <c r="D33" s="10" t="s">
        <v>447</v>
      </c>
      <c r="E33" s="10" t="s">
        <v>1052</v>
      </c>
      <c r="F33" s="171" t="s">
        <v>143</v>
      </c>
      <c r="G33" s="10">
        <v>1</v>
      </c>
      <c r="H33" s="172">
        <v>660000</v>
      </c>
      <c r="I33" s="172">
        <v>660000</v>
      </c>
      <c r="J33" s="10">
        <v>5</v>
      </c>
    </row>
    <row r="34" spans="1:11" x14ac:dyDescent="0.25">
      <c r="A34" s="10" t="s">
        <v>1243</v>
      </c>
      <c r="B34" s="171" t="s">
        <v>1069</v>
      </c>
      <c r="C34" s="171" t="s">
        <v>587</v>
      </c>
      <c r="D34" s="10" t="s">
        <v>698</v>
      </c>
      <c r="E34" s="10" t="s">
        <v>1052</v>
      </c>
      <c r="F34" s="171" t="s">
        <v>131</v>
      </c>
      <c r="G34" s="10">
        <v>1</v>
      </c>
      <c r="H34" s="172">
        <v>400000</v>
      </c>
      <c r="I34" s="172">
        <v>400000</v>
      </c>
      <c r="J34" s="10">
        <v>5</v>
      </c>
    </row>
    <row r="35" spans="1:11" x14ac:dyDescent="0.25">
      <c r="A35" s="10" t="s">
        <v>1226</v>
      </c>
      <c r="B35" s="171" t="s">
        <v>1037</v>
      </c>
      <c r="C35" s="171" t="s">
        <v>567</v>
      </c>
      <c r="D35" s="10" t="s">
        <v>698</v>
      </c>
      <c r="E35" s="10" t="s">
        <v>1052</v>
      </c>
      <c r="F35" s="171" t="s">
        <v>131</v>
      </c>
      <c r="G35" s="10">
        <v>1</v>
      </c>
      <c r="H35" s="172">
        <v>780000</v>
      </c>
      <c r="I35" s="172">
        <v>780000</v>
      </c>
      <c r="J35" s="10">
        <v>5</v>
      </c>
    </row>
    <row r="36" spans="1:11" x14ac:dyDescent="0.25">
      <c r="A36" s="168" t="s">
        <v>1337</v>
      </c>
      <c r="B36" s="169" t="s">
        <v>339</v>
      </c>
      <c r="C36" s="169" t="s">
        <v>1559</v>
      </c>
      <c r="D36" s="168" t="s">
        <v>651</v>
      </c>
      <c r="E36" s="168" t="s">
        <v>1052</v>
      </c>
      <c r="F36" s="169" t="s">
        <v>131</v>
      </c>
      <c r="G36" s="168">
        <v>1</v>
      </c>
      <c r="H36" s="170">
        <v>3099360</v>
      </c>
      <c r="I36" s="170">
        <v>3099360</v>
      </c>
      <c r="J36" s="168">
        <v>5</v>
      </c>
      <c r="K36" s="168"/>
    </row>
    <row r="37" spans="1:11" x14ac:dyDescent="0.25">
      <c r="A37" s="168" t="s">
        <v>1312</v>
      </c>
      <c r="B37" s="169" t="s">
        <v>1069</v>
      </c>
      <c r="C37" s="169" t="s">
        <v>562</v>
      </c>
      <c r="D37" s="168" t="s">
        <v>672</v>
      </c>
      <c r="E37" s="168" t="s">
        <v>1057</v>
      </c>
      <c r="F37" s="169" t="s">
        <v>131</v>
      </c>
      <c r="G37" s="168">
        <v>1</v>
      </c>
      <c r="H37" s="170">
        <v>261400</v>
      </c>
      <c r="I37" s="170">
        <v>261400</v>
      </c>
      <c r="J37" s="168">
        <v>5</v>
      </c>
      <c r="K37" s="168"/>
    </row>
    <row r="38" spans="1:11" x14ac:dyDescent="0.25">
      <c r="A38" s="10" t="s">
        <v>1316</v>
      </c>
      <c r="B38" s="171" t="s">
        <v>1037</v>
      </c>
      <c r="C38" s="171" t="s">
        <v>561</v>
      </c>
      <c r="D38" s="10" t="s">
        <v>441</v>
      </c>
      <c r="E38" s="10" t="s">
        <v>1057</v>
      </c>
      <c r="F38" s="171" t="s">
        <v>122</v>
      </c>
      <c r="G38" s="10">
        <v>1</v>
      </c>
      <c r="H38" s="172">
        <v>303930</v>
      </c>
      <c r="I38" s="172">
        <v>303930</v>
      </c>
      <c r="J38" s="10">
        <v>5</v>
      </c>
    </row>
    <row r="39" spans="1:11" x14ac:dyDescent="0.25">
      <c r="A39" s="10" t="s">
        <v>1225</v>
      </c>
      <c r="B39" s="171" t="s">
        <v>1037</v>
      </c>
      <c r="C39" s="171" t="s">
        <v>1245</v>
      </c>
      <c r="D39" s="10" t="s">
        <v>441</v>
      </c>
      <c r="E39" s="10" t="s">
        <v>1052</v>
      </c>
      <c r="F39" s="171" t="s">
        <v>122</v>
      </c>
      <c r="G39" s="10">
        <v>1</v>
      </c>
      <c r="H39" s="172">
        <v>786500</v>
      </c>
      <c r="I39" s="172">
        <v>786500</v>
      </c>
      <c r="J39" s="10">
        <v>5</v>
      </c>
    </row>
    <row r="40" spans="1:11" x14ac:dyDescent="0.25">
      <c r="A40" s="10" t="s">
        <v>1225</v>
      </c>
      <c r="B40" s="171" t="s">
        <v>1037</v>
      </c>
      <c r="C40" s="171" t="s">
        <v>1245</v>
      </c>
      <c r="D40" s="10" t="s">
        <v>437</v>
      </c>
      <c r="E40" s="10" t="s">
        <v>1052</v>
      </c>
      <c r="F40" s="171" t="s">
        <v>122</v>
      </c>
      <c r="G40" s="10">
        <v>1</v>
      </c>
      <c r="H40" s="172">
        <v>3920400</v>
      </c>
      <c r="I40" s="172">
        <v>3920400</v>
      </c>
      <c r="J40" s="10">
        <v>5</v>
      </c>
    </row>
    <row r="41" spans="1:11" x14ac:dyDescent="0.25">
      <c r="A41" s="10" t="s">
        <v>1335</v>
      </c>
      <c r="B41" s="171" t="s">
        <v>339</v>
      </c>
      <c r="C41" s="171" t="s">
        <v>1618</v>
      </c>
      <c r="D41" s="10" t="s">
        <v>705</v>
      </c>
      <c r="E41" s="10" t="s">
        <v>1057</v>
      </c>
      <c r="F41" s="171" t="s">
        <v>1072</v>
      </c>
      <c r="G41" s="10">
        <v>1</v>
      </c>
      <c r="H41" s="172">
        <v>2772000</v>
      </c>
      <c r="I41" s="172">
        <v>2772000</v>
      </c>
      <c r="J41" s="10">
        <v>4</v>
      </c>
    </row>
    <row r="42" spans="1:11" x14ac:dyDescent="0.25">
      <c r="A42" s="10" t="s">
        <v>1325</v>
      </c>
      <c r="B42" s="171" t="s">
        <v>1073</v>
      </c>
      <c r="C42" s="171" t="s">
        <v>1557</v>
      </c>
      <c r="D42" s="10" t="s">
        <v>705</v>
      </c>
      <c r="E42" s="10" t="s">
        <v>1045</v>
      </c>
      <c r="F42" s="171" t="s">
        <v>1072</v>
      </c>
      <c r="G42" s="10">
        <v>1</v>
      </c>
      <c r="H42" s="172">
        <v>832700</v>
      </c>
      <c r="I42" s="172">
        <v>832700</v>
      </c>
      <c r="J42" s="10">
        <v>5</v>
      </c>
    </row>
    <row r="43" spans="1:11" x14ac:dyDescent="0.25">
      <c r="A43" s="10" t="s">
        <v>1248</v>
      </c>
      <c r="B43" s="171" t="s">
        <v>1073</v>
      </c>
      <c r="C43" s="171" t="s">
        <v>2</v>
      </c>
      <c r="D43" s="10" t="s">
        <v>705</v>
      </c>
      <c r="E43" s="10" t="s">
        <v>1045</v>
      </c>
      <c r="F43" s="171" t="s">
        <v>1072</v>
      </c>
      <c r="G43" s="10">
        <v>1</v>
      </c>
      <c r="H43" s="172">
        <v>832700</v>
      </c>
      <c r="I43" s="172">
        <v>832700</v>
      </c>
      <c r="J43" s="10">
        <v>5</v>
      </c>
    </row>
    <row r="44" spans="1:11" x14ac:dyDescent="0.25">
      <c r="A44" s="10" t="s">
        <v>1225</v>
      </c>
      <c r="B44" s="171" t="s">
        <v>1037</v>
      </c>
      <c r="C44" s="171" t="s">
        <v>1245</v>
      </c>
      <c r="D44" s="10" t="s">
        <v>697</v>
      </c>
      <c r="E44" s="10" t="s">
        <v>1057</v>
      </c>
      <c r="F44" s="171" t="s">
        <v>324</v>
      </c>
      <c r="G44" s="10">
        <v>1</v>
      </c>
      <c r="H44" s="172">
        <v>363000</v>
      </c>
      <c r="I44" s="172">
        <v>363000</v>
      </c>
      <c r="J44" s="10">
        <v>5</v>
      </c>
    </row>
    <row r="45" spans="1:11" x14ac:dyDescent="0.25">
      <c r="A45" s="168" t="s">
        <v>1309</v>
      </c>
      <c r="B45" s="169" t="s">
        <v>1073</v>
      </c>
      <c r="C45" s="169" t="s">
        <v>1750</v>
      </c>
      <c r="D45" s="168" t="s">
        <v>446</v>
      </c>
      <c r="E45" s="168" t="s">
        <v>1052</v>
      </c>
      <c r="F45" s="169" t="s">
        <v>324</v>
      </c>
      <c r="G45" s="168">
        <v>1</v>
      </c>
      <c r="H45" s="170">
        <v>8690000</v>
      </c>
      <c r="I45" s="170">
        <v>8690000</v>
      </c>
      <c r="J45" s="168">
        <v>5</v>
      </c>
      <c r="K45" s="168"/>
    </row>
    <row r="46" spans="1:11" x14ac:dyDescent="0.25">
      <c r="A46" s="10" t="s">
        <v>1340</v>
      </c>
      <c r="B46" s="171" t="s">
        <v>1037</v>
      </c>
      <c r="C46" s="171" t="s">
        <v>588</v>
      </c>
      <c r="D46" s="10" t="s">
        <v>439</v>
      </c>
      <c r="E46" s="10" t="s">
        <v>1057</v>
      </c>
      <c r="F46" s="171" t="s">
        <v>324</v>
      </c>
      <c r="G46" s="10">
        <v>1</v>
      </c>
      <c r="H46" s="172">
        <v>244000</v>
      </c>
      <c r="I46" s="172">
        <v>244000</v>
      </c>
      <c r="J46" s="10">
        <v>5</v>
      </c>
    </row>
    <row r="47" spans="1:11" x14ac:dyDescent="0.25">
      <c r="A47" s="10" t="s">
        <v>1338</v>
      </c>
      <c r="B47" s="171" t="s">
        <v>1037</v>
      </c>
      <c r="C47" s="171" t="s">
        <v>569</v>
      </c>
      <c r="D47" s="10" t="s">
        <v>706</v>
      </c>
      <c r="E47" s="10" t="s">
        <v>1052</v>
      </c>
      <c r="F47" s="171" t="s">
        <v>324</v>
      </c>
      <c r="G47" s="10">
        <v>1</v>
      </c>
      <c r="H47" s="172">
        <v>263070</v>
      </c>
      <c r="I47" s="172">
        <v>263070</v>
      </c>
      <c r="J47" s="10">
        <v>5</v>
      </c>
    </row>
    <row r="48" spans="1:11" x14ac:dyDescent="0.25">
      <c r="A48" s="10" t="s">
        <v>1225</v>
      </c>
      <c r="B48" s="171" t="s">
        <v>1037</v>
      </c>
      <c r="C48" s="171" t="s">
        <v>1245</v>
      </c>
      <c r="D48" s="10" t="s">
        <v>462</v>
      </c>
      <c r="E48" s="10" t="s">
        <v>1052</v>
      </c>
      <c r="F48" s="171" t="s">
        <v>344</v>
      </c>
      <c r="G48" s="10">
        <v>1</v>
      </c>
      <c r="H48" s="172">
        <v>459800</v>
      </c>
      <c r="I48" s="172">
        <v>459800</v>
      </c>
      <c r="J48" s="10">
        <v>5</v>
      </c>
    </row>
    <row r="49" spans="1:11" x14ac:dyDescent="0.25">
      <c r="A49" s="168" t="s">
        <v>1338</v>
      </c>
      <c r="B49" s="169" t="s">
        <v>1037</v>
      </c>
      <c r="C49" s="169" t="s">
        <v>569</v>
      </c>
      <c r="D49" s="168" t="s">
        <v>706</v>
      </c>
      <c r="E49" s="168" t="s">
        <v>1052</v>
      </c>
      <c r="F49" s="169" t="s">
        <v>344</v>
      </c>
      <c r="G49" s="168">
        <v>1</v>
      </c>
      <c r="H49" s="170">
        <v>263070</v>
      </c>
      <c r="I49" s="170">
        <v>263070</v>
      </c>
      <c r="J49" s="168">
        <v>5</v>
      </c>
      <c r="K49" s="168"/>
    </row>
    <row r="50" spans="1:11" x14ac:dyDescent="0.25">
      <c r="A50" s="10" t="s">
        <v>1225</v>
      </c>
      <c r="B50" s="171" t="s">
        <v>1037</v>
      </c>
      <c r="C50" s="171" t="s">
        <v>1245</v>
      </c>
      <c r="D50" s="10" t="s">
        <v>438</v>
      </c>
      <c r="E50" s="10" t="s">
        <v>1052</v>
      </c>
      <c r="F50" s="171" t="s">
        <v>312</v>
      </c>
      <c r="G50" s="10">
        <v>1</v>
      </c>
      <c r="H50" s="172">
        <v>267410</v>
      </c>
      <c r="I50" s="172">
        <v>267410</v>
      </c>
      <c r="J50" s="10">
        <v>5</v>
      </c>
    </row>
    <row r="51" spans="1:11" x14ac:dyDescent="0.25">
      <c r="A51" s="10" t="s">
        <v>1225</v>
      </c>
      <c r="B51" s="171" t="s">
        <v>1037</v>
      </c>
      <c r="C51" s="171" t="s">
        <v>1245</v>
      </c>
      <c r="D51" s="10" t="s">
        <v>699</v>
      </c>
      <c r="E51" s="10" t="s">
        <v>1052</v>
      </c>
      <c r="F51" s="171" t="s">
        <v>312</v>
      </c>
      <c r="G51" s="10">
        <v>1</v>
      </c>
      <c r="H51" s="172">
        <v>665280</v>
      </c>
      <c r="I51" s="172">
        <v>665280</v>
      </c>
      <c r="J51" s="10">
        <v>5</v>
      </c>
    </row>
    <row r="52" spans="1:11" x14ac:dyDescent="0.25">
      <c r="A52" s="168" t="s">
        <v>1337</v>
      </c>
      <c r="B52" s="169" t="s">
        <v>339</v>
      </c>
      <c r="C52" s="169" t="s">
        <v>1559</v>
      </c>
      <c r="D52" s="168" t="s">
        <v>668</v>
      </c>
      <c r="E52" s="168" t="s">
        <v>1052</v>
      </c>
      <c r="F52" s="169" t="s">
        <v>312</v>
      </c>
      <c r="G52" s="168">
        <v>1</v>
      </c>
      <c r="H52" s="170">
        <v>3638540</v>
      </c>
      <c r="I52" s="170">
        <v>3638540</v>
      </c>
      <c r="J52" s="168">
        <v>5</v>
      </c>
      <c r="K52" s="168"/>
    </row>
    <row r="53" spans="1:11" x14ac:dyDescent="0.25">
      <c r="A53" s="10" t="s">
        <v>1364</v>
      </c>
      <c r="B53" s="171" t="s">
        <v>1037</v>
      </c>
      <c r="C53" s="171" t="s">
        <v>557</v>
      </c>
      <c r="D53" s="10" t="s">
        <v>704</v>
      </c>
      <c r="E53" s="10" t="s">
        <v>1057</v>
      </c>
      <c r="F53" s="171" t="s">
        <v>312</v>
      </c>
      <c r="G53" s="10">
        <v>1</v>
      </c>
      <c r="H53" s="172">
        <v>146840</v>
      </c>
      <c r="I53" s="172">
        <v>146840</v>
      </c>
      <c r="J53" s="10">
        <v>5</v>
      </c>
    </row>
    <row r="54" spans="1:11" x14ac:dyDescent="0.25">
      <c r="A54" s="168" t="s">
        <v>1350</v>
      </c>
      <c r="B54" s="169" t="s">
        <v>1073</v>
      </c>
      <c r="C54" s="169" t="s">
        <v>564</v>
      </c>
      <c r="D54" s="168" t="s">
        <v>656</v>
      </c>
      <c r="E54" s="168" t="s">
        <v>1052</v>
      </c>
      <c r="F54" s="169" t="s">
        <v>312</v>
      </c>
      <c r="G54" s="168">
        <v>1</v>
      </c>
      <c r="H54" s="170">
        <v>826100</v>
      </c>
      <c r="I54" s="170">
        <v>826100</v>
      </c>
      <c r="J54" s="168">
        <v>5</v>
      </c>
      <c r="K54" s="168"/>
    </row>
    <row r="55" spans="1:11" x14ac:dyDescent="0.25">
      <c r="A55" s="10" t="s">
        <v>1336</v>
      </c>
      <c r="B55" s="171" t="s">
        <v>1037</v>
      </c>
      <c r="C55" s="171" t="s">
        <v>693</v>
      </c>
      <c r="D55" s="10" t="s">
        <v>707</v>
      </c>
      <c r="E55" s="10" t="s">
        <v>1052</v>
      </c>
      <c r="F55" s="171" t="s">
        <v>158</v>
      </c>
      <c r="G55" s="10">
        <v>1</v>
      </c>
      <c r="H55" s="172">
        <v>346000</v>
      </c>
      <c r="I55" s="172">
        <v>346000</v>
      </c>
      <c r="J55" s="10">
        <v>5</v>
      </c>
    </row>
    <row r="56" spans="1:11" x14ac:dyDescent="0.25">
      <c r="A56" s="168" t="s">
        <v>1320</v>
      </c>
      <c r="B56" s="169" t="s">
        <v>1073</v>
      </c>
      <c r="C56" s="169" t="s">
        <v>691</v>
      </c>
      <c r="D56" s="168" t="s">
        <v>670</v>
      </c>
      <c r="E56" s="168" t="s">
        <v>1052</v>
      </c>
      <c r="F56" s="169" t="s">
        <v>158</v>
      </c>
      <c r="G56" s="168">
        <v>1</v>
      </c>
      <c r="H56" s="170">
        <v>424270</v>
      </c>
      <c r="I56" s="170">
        <v>424270</v>
      </c>
      <c r="J56" s="168">
        <v>6</v>
      </c>
      <c r="K56" s="168"/>
    </row>
    <row r="57" spans="1:11" x14ac:dyDescent="0.25">
      <c r="A57" s="10" t="s">
        <v>1367</v>
      </c>
      <c r="B57" s="171" t="s">
        <v>1069</v>
      </c>
      <c r="C57" s="171" t="s">
        <v>583</v>
      </c>
      <c r="D57" s="10" t="s">
        <v>449</v>
      </c>
      <c r="E57" s="10" t="s">
        <v>1057</v>
      </c>
      <c r="F57" s="171" t="s">
        <v>124</v>
      </c>
      <c r="G57" s="10">
        <v>1</v>
      </c>
      <c r="H57" s="172">
        <v>110000</v>
      </c>
      <c r="I57" s="172">
        <v>110000</v>
      </c>
      <c r="J57" s="10">
        <v>5</v>
      </c>
    </row>
    <row r="58" spans="1:11" x14ac:dyDescent="0.25">
      <c r="A58" s="10" t="s">
        <v>1313</v>
      </c>
      <c r="B58" s="171" t="s">
        <v>1037</v>
      </c>
      <c r="C58" s="171" t="s">
        <v>554</v>
      </c>
      <c r="D58" s="10" t="s">
        <v>448</v>
      </c>
      <c r="E58" s="10" t="s">
        <v>1057</v>
      </c>
      <c r="F58" s="171" t="s">
        <v>124</v>
      </c>
      <c r="G58" s="10">
        <v>1</v>
      </c>
      <c r="H58" s="172">
        <v>542910</v>
      </c>
      <c r="I58" s="172">
        <v>542910</v>
      </c>
      <c r="J58" s="10">
        <v>5</v>
      </c>
    </row>
    <row r="59" spans="1:11" x14ac:dyDescent="0.25">
      <c r="A59" s="10" t="s">
        <v>1356</v>
      </c>
      <c r="B59" s="171" t="s">
        <v>1069</v>
      </c>
      <c r="C59" s="171" t="s">
        <v>1616</v>
      </c>
      <c r="D59" s="10" t="s">
        <v>444</v>
      </c>
      <c r="E59" s="10" t="s">
        <v>1057</v>
      </c>
      <c r="F59" s="171" t="s">
        <v>124</v>
      </c>
      <c r="G59" s="10">
        <v>1</v>
      </c>
      <c r="H59" s="172">
        <v>600000</v>
      </c>
      <c r="I59" s="172">
        <v>600000</v>
      </c>
      <c r="J59" s="10">
        <v>5</v>
      </c>
    </row>
    <row r="60" spans="1:11" x14ac:dyDescent="0.25">
      <c r="A60" s="10" t="s">
        <v>1225</v>
      </c>
      <c r="B60" s="171" t="s">
        <v>1037</v>
      </c>
      <c r="C60" s="171" t="s">
        <v>1245</v>
      </c>
      <c r="D60" s="10" t="s">
        <v>452</v>
      </c>
      <c r="E60" s="10" t="s">
        <v>1057</v>
      </c>
      <c r="F60" s="171" t="s">
        <v>1079</v>
      </c>
      <c r="G60" s="10">
        <v>1</v>
      </c>
      <c r="H60" s="172">
        <v>900000</v>
      </c>
      <c r="I60" s="172">
        <v>900000</v>
      </c>
      <c r="J60" s="10">
        <v>5</v>
      </c>
    </row>
    <row r="61" spans="1:11" x14ac:dyDescent="0.25">
      <c r="A61" s="10" t="s">
        <v>1310</v>
      </c>
      <c r="B61" s="171" t="s">
        <v>1037</v>
      </c>
      <c r="C61" s="171" t="s">
        <v>581</v>
      </c>
      <c r="D61" s="10" t="s">
        <v>657</v>
      </c>
      <c r="E61" s="10" t="s">
        <v>1052</v>
      </c>
      <c r="F61" s="171" t="s">
        <v>1079</v>
      </c>
      <c r="G61" s="10">
        <v>1</v>
      </c>
      <c r="H61" s="172">
        <v>221180</v>
      </c>
      <c r="I61" s="172">
        <v>221180</v>
      </c>
      <c r="J61" s="10">
        <v>5</v>
      </c>
    </row>
    <row r="62" spans="1:11" x14ac:dyDescent="0.25">
      <c r="A62" s="10" t="s">
        <v>1236</v>
      </c>
      <c r="B62" s="171" t="s">
        <v>1037</v>
      </c>
      <c r="C62" s="171" t="s">
        <v>556</v>
      </c>
      <c r="D62" s="10" t="s">
        <v>446</v>
      </c>
      <c r="E62" s="10" t="s">
        <v>1052</v>
      </c>
      <c r="F62" s="171" t="s">
        <v>113</v>
      </c>
      <c r="G62" s="10">
        <v>1</v>
      </c>
      <c r="H62" s="172">
        <v>915200</v>
      </c>
      <c r="I62" s="172">
        <v>915200</v>
      </c>
      <c r="J62" s="10">
        <v>5</v>
      </c>
    </row>
    <row r="63" spans="1:11" x14ac:dyDescent="0.25">
      <c r="A63" s="168" t="s">
        <v>1311</v>
      </c>
      <c r="B63" s="169" t="s">
        <v>339</v>
      </c>
      <c r="C63" s="169" t="s">
        <v>594</v>
      </c>
      <c r="D63" s="168" t="s">
        <v>645</v>
      </c>
      <c r="E63" s="168" t="s">
        <v>1052</v>
      </c>
      <c r="F63" s="169" t="s">
        <v>1091</v>
      </c>
      <c r="G63" s="168">
        <v>1</v>
      </c>
      <c r="H63" s="170">
        <v>2974970</v>
      </c>
      <c r="I63" s="170">
        <v>2974970</v>
      </c>
      <c r="J63" s="168">
        <v>6</v>
      </c>
      <c r="K63" s="168"/>
    </row>
    <row r="64" spans="1:11" x14ac:dyDescent="0.25">
      <c r="A64" s="10" t="s">
        <v>1328</v>
      </c>
      <c r="B64" s="171" t="s">
        <v>1059</v>
      </c>
      <c r="C64" s="171" t="s">
        <v>575</v>
      </c>
      <c r="D64" s="10" t="s">
        <v>466</v>
      </c>
      <c r="E64" s="10" t="s">
        <v>1057</v>
      </c>
      <c r="F64" s="171" t="s">
        <v>112</v>
      </c>
      <c r="G64" s="10">
        <v>1</v>
      </c>
      <c r="H64" s="172">
        <v>8470000</v>
      </c>
      <c r="I64" s="172">
        <v>8470000</v>
      </c>
      <c r="J64" s="10">
        <v>10</v>
      </c>
    </row>
    <row r="65" spans="1:11" x14ac:dyDescent="0.25">
      <c r="A65" s="10" t="s">
        <v>1308</v>
      </c>
      <c r="B65" s="171" t="s">
        <v>339</v>
      </c>
      <c r="C65" s="171" t="s">
        <v>689</v>
      </c>
      <c r="D65" s="10" t="s">
        <v>459</v>
      </c>
      <c r="E65" s="10" t="s">
        <v>1052</v>
      </c>
      <c r="F65" s="171" t="s">
        <v>146</v>
      </c>
      <c r="G65" s="10">
        <v>1</v>
      </c>
      <c r="H65" s="172">
        <v>4752000</v>
      </c>
      <c r="I65" s="172">
        <v>4752000</v>
      </c>
      <c r="J65" s="10">
        <v>5</v>
      </c>
    </row>
    <row r="66" spans="1:11" x14ac:dyDescent="0.25">
      <c r="A66" s="10" t="s">
        <v>1348</v>
      </c>
      <c r="B66" s="171" t="s">
        <v>1069</v>
      </c>
      <c r="C66" s="171" t="s">
        <v>550</v>
      </c>
      <c r="D66" s="10" t="s">
        <v>465</v>
      </c>
      <c r="E66" s="10" t="s">
        <v>1057</v>
      </c>
      <c r="F66" s="171" t="s">
        <v>146</v>
      </c>
      <c r="G66" s="10">
        <v>1</v>
      </c>
      <c r="H66" s="172">
        <v>630000</v>
      </c>
      <c r="I66" s="172">
        <v>630000</v>
      </c>
      <c r="J66" s="10">
        <v>5</v>
      </c>
    </row>
    <row r="67" spans="1:11" x14ac:dyDescent="0.25">
      <c r="A67" s="168" t="s">
        <v>1313</v>
      </c>
      <c r="B67" s="169" t="s">
        <v>1037</v>
      </c>
      <c r="C67" s="169" t="s">
        <v>554</v>
      </c>
      <c r="D67" s="168" t="s">
        <v>650</v>
      </c>
      <c r="E67" s="168" t="s">
        <v>1057</v>
      </c>
      <c r="F67" s="169" t="s">
        <v>146</v>
      </c>
      <c r="G67" s="168">
        <v>1</v>
      </c>
      <c r="H67" s="170">
        <v>542910</v>
      </c>
      <c r="I67" s="170">
        <v>542910</v>
      </c>
      <c r="J67" s="168">
        <v>5</v>
      </c>
      <c r="K67" s="168"/>
    </row>
    <row r="68" spans="1:11" x14ac:dyDescent="0.25">
      <c r="A68" s="168" t="s">
        <v>1305</v>
      </c>
      <c r="B68" s="169" t="s">
        <v>1059</v>
      </c>
      <c r="C68" s="169" t="s">
        <v>548</v>
      </c>
      <c r="D68" s="168" t="s">
        <v>655</v>
      </c>
      <c r="E68" s="168" t="s">
        <v>1052</v>
      </c>
      <c r="F68" s="169" t="s">
        <v>146</v>
      </c>
      <c r="G68" s="168">
        <v>1</v>
      </c>
      <c r="H68" s="170">
        <v>6746230</v>
      </c>
      <c r="I68" s="170">
        <v>6746230</v>
      </c>
      <c r="J68" s="168">
        <v>5</v>
      </c>
      <c r="K68" s="168"/>
    </row>
    <row r="69" spans="1:11" x14ac:dyDescent="0.25">
      <c r="A69" s="165" t="s">
        <v>1293</v>
      </c>
      <c r="B69" s="166" t="s">
        <v>1037</v>
      </c>
      <c r="C69" s="166" t="s">
        <v>571</v>
      </c>
      <c r="D69" s="165" t="s">
        <v>664</v>
      </c>
      <c r="E69" s="165" t="s">
        <v>1052</v>
      </c>
      <c r="F69" s="166" t="s">
        <v>1063</v>
      </c>
      <c r="G69" s="165">
        <v>1</v>
      </c>
      <c r="H69" s="167">
        <v>663200</v>
      </c>
      <c r="I69" s="167">
        <v>663200</v>
      </c>
      <c r="J69" s="165">
        <v>5</v>
      </c>
      <c r="K69" s="165"/>
    </row>
    <row r="70" spans="1:11" x14ac:dyDescent="0.25">
      <c r="A70" s="168" t="s">
        <v>1349</v>
      </c>
      <c r="B70" s="169" t="s">
        <v>1037</v>
      </c>
      <c r="C70" s="169" t="s">
        <v>418</v>
      </c>
      <c r="D70" s="174" t="s">
        <v>667</v>
      </c>
      <c r="E70" s="168" t="s">
        <v>1052</v>
      </c>
      <c r="F70" s="169" t="s">
        <v>1063</v>
      </c>
      <c r="G70" s="168">
        <v>1</v>
      </c>
      <c r="H70" s="170">
        <v>1105340</v>
      </c>
      <c r="I70" s="170">
        <v>1105340</v>
      </c>
      <c r="J70" s="168">
        <v>5</v>
      </c>
      <c r="K70" s="168"/>
    </row>
    <row r="71" spans="1:11" x14ac:dyDescent="0.25">
      <c r="A71" s="168" t="s">
        <v>1322</v>
      </c>
      <c r="B71" s="169" t="s">
        <v>1037</v>
      </c>
      <c r="C71" s="169" t="s">
        <v>552</v>
      </c>
      <c r="D71" s="168" t="s">
        <v>665</v>
      </c>
      <c r="E71" s="168" t="s">
        <v>1052</v>
      </c>
      <c r="F71" s="169" t="s">
        <v>1063</v>
      </c>
      <c r="G71" s="168">
        <v>1</v>
      </c>
      <c r="H71" s="170">
        <v>631780</v>
      </c>
      <c r="I71" s="170">
        <v>631780</v>
      </c>
      <c r="J71" s="168">
        <v>5</v>
      </c>
      <c r="K71" s="168" t="s">
        <v>1055</v>
      </c>
    </row>
    <row r="72" spans="1:11" x14ac:dyDescent="0.25">
      <c r="A72" s="10" t="s">
        <v>1225</v>
      </c>
      <c r="B72" s="171" t="s">
        <v>1037</v>
      </c>
      <c r="C72" s="171" t="s">
        <v>1245</v>
      </c>
      <c r="D72" s="10" t="s">
        <v>5</v>
      </c>
      <c r="E72" s="10" t="s">
        <v>1057</v>
      </c>
      <c r="F72" s="171" t="s">
        <v>119</v>
      </c>
      <c r="G72" s="10">
        <v>1</v>
      </c>
      <c r="H72" s="172">
        <v>374000</v>
      </c>
      <c r="I72" s="172">
        <v>374000</v>
      </c>
      <c r="J72" s="10">
        <v>5</v>
      </c>
    </row>
    <row r="73" spans="1:11" x14ac:dyDescent="0.25">
      <c r="A73" s="10" t="s">
        <v>1352</v>
      </c>
      <c r="B73" s="171" t="s">
        <v>1061</v>
      </c>
      <c r="C73" s="171" t="s">
        <v>582</v>
      </c>
      <c r="D73" s="10" t="s">
        <v>435</v>
      </c>
      <c r="E73" s="10" t="s">
        <v>1057</v>
      </c>
      <c r="F73" s="171" t="s">
        <v>1066</v>
      </c>
      <c r="G73" s="10">
        <v>1</v>
      </c>
      <c r="H73" s="172">
        <v>197430</v>
      </c>
      <c r="I73" s="172">
        <v>197430</v>
      </c>
      <c r="J73" s="10">
        <v>5</v>
      </c>
    </row>
    <row r="74" spans="1:11" x14ac:dyDescent="0.25">
      <c r="A74" s="10" t="s">
        <v>1225</v>
      </c>
      <c r="B74" s="171" t="s">
        <v>1037</v>
      </c>
      <c r="C74" s="171" t="s">
        <v>1245</v>
      </c>
      <c r="D74" s="10" t="s">
        <v>442</v>
      </c>
      <c r="E74" s="10" t="s">
        <v>1052</v>
      </c>
      <c r="F74" s="171" t="s">
        <v>443</v>
      </c>
      <c r="G74" s="10">
        <v>2</v>
      </c>
      <c r="H74" s="172">
        <v>567050</v>
      </c>
      <c r="I74" s="172">
        <v>1134100</v>
      </c>
      <c r="J74" s="10">
        <v>5</v>
      </c>
    </row>
    <row r="75" spans="1:11" x14ac:dyDescent="0.25">
      <c r="A75" s="10" t="s">
        <v>1236</v>
      </c>
      <c r="B75" s="171" t="s">
        <v>1037</v>
      </c>
      <c r="C75" s="171" t="s">
        <v>556</v>
      </c>
      <c r="D75" s="10" t="s">
        <v>1524</v>
      </c>
      <c r="E75" s="10" t="s">
        <v>1052</v>
      </c>
      <c r="F75" s="171" t="s">
        <v>1051</v>
      </c>
      <c r="G75" s="10">
        <v>1</v>
      </c>
      <c r="H75" s="172">
        <v>880000</v>
      </c>
      <c r="I75" s="172">
        <v>880000</v>
      </c>
      <c r="J75" s="10">
        <v>5</v>
      </c>
    </row>
    <row r="76" spans="1:11" x14ac:dyDescent="0.25">
      <c r="A76" s="10" t="s">
        <v>1299</v>
      </c>
      <c r="B76" s="171" t="s">
        <v>1073</v>
      </c>
      <c r="C76" s="171" t="s">
        <v>549</v>
      </c>
      <c r="D76" s="10" t="s">
        <v>445</v>
      </c>
      <c r="E76" s="10" t="s">
        <v>1052</v>
      </c>
      <c r="F76" s="171" t="s">
        <v>1051</v>
      </c>
      <c r="G76" s="10">
        <v>1</v>
      </c>
      <c r="H76" s="172">
        <v>2475000</v>
      </c>
      <c r="I76" s="172">
        <v>2475000</v>
      </c>
      <c r="J76" s="10">
        <v>5</v>
      </c>
    </row>
    <row r="77" spans="1:11" x14ac:dyDescent="0.25">
      <c r="A77" s="10" t="s">
        <v>1239</v>
      </c>
      <c r="B77" s="171" t="s">
        <v>1037</v>
      </c>
      <c r="C77" s="171" t="s">
        <v>586</v>
      </c>
      <c r="D77" s="10" t="s">
        <v>440</v>
      </c>
      <c r="E77" s="10" t="s">
        <v>1052</v>
      </c>
      <c r="F77" s="171" t="s">
        <v>1051</v>
      </c>
      <c r="G77" s="10">
        <v>1</v>
      </c>
      <c r="H77" s="172">
        <v>817300</v>
      </c>
      <c r="I77" s="172">
        <v>817300</v>
      </c>
      <c r="J77" s="10">
        <v>5</v>
      </c>
    </row>
    <row r="78" spans="1:11" x14ac:dyDescent="0.25">
      <c r="A78" s="168" t="s">
        <v>1353</v>
      </c>
      <c r="B78" s="169" t="s">
        <v>339</v>
      </c>
      <c r="C78" s="169" t="s">
        <v>593</v>
      </c>
      <c r="D78" s="168" t="s">
        <v>4</v>
      </c>
      <c r="E78" s="168" t="s">
        <v>1052</v>
      </c>
      <c r="F78" s="169" t="s">
        <v>1051</v>
      </c>
      <c r="G78" s="168">
        <v>1</v>
      </c>
      <c r="H78" s="170">
        <v>2999440</v>
      </c>
      <c r="I78" s="170">
        <v>2999440</v>
      </c>
      <c r="J78" s="168">
        <v>4</v>
      </c>
      <c r="K78" s="168"/>
    </row>
    <row r="79" spans="1:11" x14ac:dyDescent="0.25">
      <c r="A79" s="168" t="s">
        <v>1327</v>
      </c>
      <c r="B79" s="169" t="s">
        <v>1037</v>
      </c>
      <c r="C79" s="169" t="s">
        <v>1</v>
      </c>
      <c r="D79" s="168" t="s">
        <v>652</v>
      </c>
      <c r="E79" s="168" t="s">
        <v>1052</v>
      </c>
      <c r="F79" s="169" t="s">
        <v>1051</v>
      </c>
      <c r="G79" s="168">
        <v>1</v>
      </c>
      <c r="H79" s="170">
        <v>2919680</v>
      </c>
      <c r="I79" s="170">
        <v>2919680</v>
      </c>
      <c r="J79" s="168">
        <v>5</v>
      </c>
      <c r="K79" s="168"/>
    </row>
    <row r="80" spans="1:11" x14ac:dyDescent="0.25">
      <c r="A80" s="10" t="s">
        <v>1259</v>
      </c>
      <c r="B80" s="171" t="s">
        <v>1037</v>
      </c>
      <c r="C80" s="171" t="s">
        <v>690</v>
      </c>
      <c r="D80" s="10" t="s">
        <v>436</v>
      </c>
      <c r="E80" s="10" t="s">
        <v>1057</v>
      </c>
      <c r="F80" s="171" t="s">
        <v>1067</v>
      </c>
      <c r="G80" s="10">
        <v>1</v>
      </c>
      <c r="H80" s="172">
        <v>380000</v>
      </c>
      <c r="I80" s="172">
        <v>380000</v>
      </c>
      <c r="J80" s="10">
        <v>5</v>
      </c>
    </row>
    <row r="81" spans="1:11" x14ac:dyDescent="0.25">
      <c r="A81" s="10" t="s">
        <v>1304</v>
      </c>
      <c r="B81" s="171" t="s">
        <v>1069</v>
      </c>
      <c r="C81" s="171" t="s">
        <v>551</v>
      </c>
      <c r="D81" s="10" t="s">
        <v>658</v>
      </c>
      <c r="E81" s="10" t="s">
        <v>1052</v>
      </c>
      <c r="F81" s="171" t="s">
        <v>1067</v>
      </c>
      <c r="G81" s="10">
        <v>1</v>
      </c>
      <c r="H81" s="172">
        <v>381700</v>
      </c>
      <c r="I81" s="172">
        <v>381700</v>
      </c>
      <c r="J81" s="10">
        <v>5</v>
      </c>
    </row>
    <row r="82" spans="1:11" x14ac:dyDescent="0.25">
      <c r="A82" s="168" t="s">
        <v>1299</v>
      </c>
      <c r="B82" s="169" t="s">
        <v>1073</v>
      </c>
      <c r="C82" s="169" t="s">
        <v>549</v>
      </c>
      <c r="D82" s="168" t="s">
        <v>658</v>
      </c>
      <c r="E82" s="168" t="s">
        <v>1052</v>
      </c>
      <c r="F82" s="169" t="s">
        <v>1067</v>
      </c>
      <c r="G82" s="168">
        <v>1</v>
      </c>
      <c r="H82" s="170">
        <v>2475000</v>
      </c>
      <c r="I82" s="170">
        <v>2475000</v>
      </c>
      <c r="J82" s="168">
        <v>5</v>
      </c>
      <c r="K82" s="168"/>
    </row>
    <row r="83" spans="1:11" x14ac:dyDescent="0.25">
      <c r="A83" s="168" t="s">
        <v>1237</v>
      </c>
      <c r="B83" s="169" t="s">
        <v>339</v>
      </c>
      <c r="C83" s="169" t="s">
        <v>553</v>
      </c>
      <c r="D83" s="168" t="s">
        <v>662</v>
      </c>
      <c r="E83" s="168" t="s">
        <v>1052</v>
      </c>
      <c r="F83" s="169" t="s">
        <v>1067</v>
      </c>
      <c r="G83" s="168">
        <v>1</v>
      </c>
      <c r="H83" s="170">
        <v>2896000</v>
      </c>
      <c r="I83" s="170">
        <v>2896000</v>
      </c>
      <c r="J83" s="168">
        <v>5</v>
      </c>
      <c r="K83" s="168"/>
    </row>
    <row r="84" spans="1:11" x14ac:dyDescent="0.25">
      <c r="A84" s="10" t="s">
        <v>1368</v>
      </c>
      <c r="B84" s="171" t="s">
        <v>1073</v>
      </c>
      <c r="C84" s="171" t="s">
        <v>574</v>
      </c>
      <c r="D84" s="10" t="s">
        <v>1519</v>
      </c>
      <c r="E84" s="10" t="s">
        <v>1045</v>
      </c>
      <c r="F84" s="171" t="s">
        <v>1067</v>
      </c>
      <c r="G84" s="10">
        <v>1</v>
      </c>
      <c r="H84" s="172">
        <v>825690</v>
      </c>
      <c r="I84" s="172">
        <v>825690</v>
      </c>
      <c r="J84" s="10">
        <v>5</v>
      </c>
    </row>
    <row r="85" spans="1:11" x14ac:dyDescent="0.25">
      <c r="A85" s="10" t="s">
        <v>1225</v>
      </c>
      <c r="B85" s="171" t="s">
        <v>1037</v>
      </c>
      <c r="C85" s="171" t="s">
        <v>1245</v>
      </c>
      <c r="D85" s="10" t="s">
        <v>717</v>
      </c>
      <c r="E85" s="10" t="s">
        <v>1052</v>
      </c>
      <c r="F85" s="171" t="s">
        <v>191</v>
      </c>
      <c r="G85" s="10">
        <v>1</v>
      </c>
      <c r="H85" s="172">
        <v>1464730</v>
      </c>
      <c r="I85" s="172">
        <v>1464730</v>
      </c>
      <c r="J85" s="10">
        <v>5</v>
      </c>
    </row>
    <row r="86" spans="1:11" x14ac:dyDescent="0.25">
      <c r="A86" s="10" t="s">
        <v>1347</v>
      </c>
      <c r="B86" s="171" t="s">
        <v>1037</v>
      </c>
      <c r="C86" s="171" t="s">
        <v>1548</v>
      </c>
      <c r="D86" s="10" t="s">
        <v>1525</v>
      </c>
      <c r="E86" s="10" t="s">
        <v>1057</v>
      </c>
      <c r="F86" s="171" t="s">
        <v>191</v>
      </c>
      <c r="G86" s="10">
        <v>1</v>
      </c>
      <c r="H86" s="172">
        <v>187000</v>
      </c>
      <c r="I86" s="172">
        <v>187000</v>
      </c>
      <c r="J86" s="10">
        <v>5</v>
      </c>
    </row>
    <row r="87" spans="1:11" x14ac:dyDescent="0.25">
      <c r="A87" s="10" t="s">
        <v>1236</v>
      </c>
      <c r="B87" s="171" t="s">
        <v>1037</v>
      </c>
      <c r="C87" s="171" t="s">
        <v>556</v>
      </c>
      <c r="D87" s="10" t="s">
        <v>1522</v>
      </c>
      <c r="E87" s="10" t="s">
        <v>1052</v>
      </c>
      <c r="F87" s="171" t="s">
        <v>191</v>
      </c>
      <c r="G87" s="10">
        <v>1</v>
      </c>
      <c r="H87" s="172">
        <v>915200</v>
      </c>
      <c r="I87" s="172">
        <v>915200</v>
      </c>
      <c r="J87" s="10">
        <v>5</v>
      </c>
    </row>
    <row r="88" spans="1:11" x14ac:dyDescent="0.25">
      <c r="A88" s="10" t="s">
        <v>1367</v>
      </c>
      <c r="B88" s="171" t="s">
        <v>1069</v>
      </c>
      <c r="C88" s="171" t="s">
        <v>583</v>
      </c>
      <c r="D88" s="10" t="s">
        <v>1529</v>
      </c>
      <c r="E88" s="10" t="s">
        <v>1057</v>
      </c>
      <c r="F88" s="171" t="s">
        <v>191</v>
      </c>
      <c r="G88" s="10">
        <v>1</v>
      </c>
      <c r="H88" s="172">
        <v>176000</v>
      </c>
      <c r="I88" s="172">
        <v>176000</v>
      </c>
      <c r="J88" s="10">
        <v>5</v>
      </c>
    </row>
    <row r="89" spans="1:11" x14ac:dyDescent="0.25">
      <c r="A89" s="10" t="s">
        <v>1293</v>
      </c>
      <c r="B89" s="171" t="s">
        <v>1037</v>
      </c>
      <c r="C89" s="171" t="s">
        <v>571</v>
      </c>
      <c r="D89" s="10" t="s">
        <v>440</v>
      </c>
      <c r="E89" s="10" t="s">
        <v>1052</v>
      </c>
      <c r="F89" s="171" t="s">
        <v>191</v>
      </c>
      <c r="G89" s="10">
        <v>1</v>
      </c>
      <c r="H89" s="172">
        <v>660000</v>
      </c>
      <c r="I89" s="172">
        <v>660000</v>
      </c>
      <c r="J89" s="10">
        <v>5</v>
      </c>
    </row>
    <row r="90" spans="1:11" x14ac:dyDescent="0.25">
      <c r="A90" s="168" t="s">
        <v>1358</v>
      </c>
      <c r="B90" s="169" t="s">
        <v>1037</v>
      </c>
      <c r="C90" s="169" t="s">
        <v>568</v>
      </c>
      <c r="D90" s="168" t="s">
        <v>1521</v>
      </c>
      <c r="E90" s="168" t="s">
        <v>1052</v>
      </c>
      <c r="F90" s="169" t="s">
        <v>191</v>
      </c>
      <c r="G90" s="168">
        <v>1</v>
      </c>
      <c r="H90" s="170">
        <v>774150</v>
      </c>
      <c r="I90" s="170">
        <v>774150</v>
      </c>
      <c r="J90" s="168">
        <v>5</v>
      </c>
      <c r="K90" s="168"/>
    </row>
    <row r="91" spans="1:11" x14ac:dyDescent="0.25">
      <c r="A91" s="168" t="s">
        <v>1322</v>
      </c>
      <c r="B91" s="169" t="s">
        <v>1037</v>
      </c>
      <c r="C91" s="169" t="s">
        <v>552</v>
      </c>
      <c r="D91" s="168" t="s">
        <v>642</v>
      </c>
      <c r="E91" s="168" t="s">
        <v>1052</v>
      </c>
      <c r="F91" s="169" t="s">
        <v>191</v>
      </c>
      <c r="G91" s="168">
        <v>1</v>
      </c>
      <c r="H91" s="170">
        <v>586140</v>
      </c>
      <c r="I91" s="170">
        <v>586140</v>
      </c>
      <c r="J91" s="168">
        <v>5</v>
      </c>
      <c r="K91" s="168"/>
    </row>
    <row r="92" spans="1:11" x14ac:dyDescent="0.25">
      <c r="A92" s="168" t="s">
        <v>1324</v>
      </c>
      <c r="B92" s="169" t="s">
        <v>339</v>
      </c>
      <c r="C92" s="169" t="s">
        <v>595</v>
      </c>
      <c r="D92" s="168" t="s">
        <v>646</v>
      </c>
      <c r="E92" s="168" t="s">
        <v>1052</v>
      </c>
      <c r="F92" s="169" t="s">
        <v>191</v>
      </c>
      <c r="G92" s="168">
        <v>1</v>
      </c>
      <c r="H92" s="170">
        <v>2986780</v>
      </c>
      <c r="I92" s="170">
        <v>2986780</v>
      </c>
      <c r="J92" s="168">
        <v>5</v>
      </c>
      <c r="K92" s="168"/>
    </row>
    <row r="93" spans="1:11" x14ac:dyDescent="0.25">
      <c r="A93" s="10" t="s">
        <v>1293</v>
      </c>
      <c r="B93" s="171" t="s">
        <v>1037</v>
      </c>
      <c r="C93" s="171" t="s">
        <v>571</v>
      </c>
      <c r="D93" s="10" t="s">
        <v>706</v>
      </c>
      <c r="E93" s="10" t="s">
        <v>1052</v>
      </c>
      <c r="F93" s="171" t="s">
        <v>191</v>
      </c>
      <c r="G93" s="10">
        <v>1</v>
      </c>
      <c r="H93" s="172">
        <v>585830</v>
      </c>
      <c r="I93" s="172">
        <v>585830</v>
      </c>
      <c r="J93" s="10">
        <v>5</v>
      </c>
    </row>
    <row r="94" spans="1:11" x14ac:dyDescent="0.25">
      <c r="A94" s="168" t="s">
        <v>1344</v>
      </c>
      <c r="B94" s="169" t="s">
        <v>1037</v>
      </c>
      <c r="C94" s="169" t="s">
        <v>3</v>
      </c>
      <c r="D94" s="168" t="s">
        <v>653</v>
      </c>
      <c r="E94" s="168" t="s">
        <v>1052</v>
      </c>
      <c r="F94" s="169" t="s">
        <v>191</v>
      </c>
      <c r="G94" s="168">
        <v>1</v>
      </c>
      <c r="H94" s="170">
        <v>1404540</v>
      </c>
      <c r="I94" s="170">
        <v>1404540</v>
      </c>
      <c r="J94" s="168">
        <v>6</v>
      </c>
      <c r="K94" s="168"/>
    </row>
    <row r="101" spans="1:1" x14ac:dyDescent="0.25">
      <c r="A101" s="70" t="s">
        <v>1736</v>
      </c>
    </row>
    <row r="102" spans="1:1" x14ac:dyDescent="0.25">
      <c r="A102" s="70" t="s">
        <v>1752</v>
      </c>
    </row>
    <row r="103" spans="1:1" x14ac:dyDescent="0.25">
      <c r="A103" s="70" t="s">
        <v>1747</v>
      </c>
    </row>
    <row r="104" spans="1:1" x14ac:dyDescent="0.25">
      <c r="A104" s="70" t="s">
        <v>1757</v>
      </c>
    </row>
    <row r="105" spans="1:1" x14ac:dyDescent="0.25">
      <c r="A105" s="70" t="s">
        <v>1733</v>
      </c>
    </row>
    <row r="106" spans="1:1" x14ac:dyDescent="0.25">
      <c r="A106" s="70" t="s">
        <v>1761</v>
      </c>
    </row>
    <row r="107" spans="1:1" x14ac:dyDescent="0.25">
      <c r="A107" s="70" t="s">
        <v>1748</v>
      </c>
    </row>
    <row r="108" spans="1:1" x14ac:dyDescent="0.25">
      <c r="A108" s="70" t="s">
        <v>1754</v>
      </c>
    </row>
  </sheetData>
  <sortState xmlns:xlrd2="http://schemas.microsoft.com/office/spreadsheetml/2017/richdata2" ref="A2:K94">
    <sortCondition ref="F2:F94"/>
    <sortCondition ref="D2:D94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3</vt:i4>
      </vt:variant>
    </vt:vector>
  </HeadingPairs>
  <TitlesOfParts>
    <vt:vector size="15" baseType="lpstr">
      <vt:lpstr>PC</vt:lpstr>
      <vt:lpstr>메일머지용</vt:lpstr>
      <vt:lpstr>교직원용 IP</vt:lpstr>
      <vt:lpstr>학생용 IP</vt:lpstr>
      <vt:lpstr>정보화기기 명부</vt:lpstr>
      <vt:lpstr>인창고 관련 사이트</vt:lpstr>
      <vt:lpstr>프린터 IP</vt:lpstr>
      <vt:lpstr>AP현황</vt:lpstr>
      <vt:lpstr>전자칠판</vt:lpstr>
      <vt:lpstr>교실충전함</vt:lpstr>
      <vt:lpstr>Sheet2</vt:lpstr>
      <vt:lpstr>Sheet1</vt:lpstr>
      <vt:lpstr>'교직원용 IP'!Print_Area</vt:lpstr>
      <vt:lpstr>'프린터 IP'!Print_Area</vt:lpstr>
      <vt:lpstr>'학생용 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진국현</dc:creator>
  <cp:lastModifiedBy>Yongcheon Kim</cp:lastModifiedBy>
  <cp:revision>93</cp:revision>
  <cp:lastPrinted>2025-09-26T03:22:33Z</cp:lastPrinted>
  <dcterms:created xsi:type="dcterms:W3CDTF">2018-02-06T01:38:01Z</dcterms:created>
  <dcterms:modified xsi:type="dcterms:W3CDTF">2026-02-19T18:08:11Z</dcterms:modified>
  <cp:version>1100.0100.01</cp:version>
</cp:coreProperties>
</file>